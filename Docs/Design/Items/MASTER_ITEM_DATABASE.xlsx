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474cad90fb0494d" /></Relationships>
</file>

<file path=xl/workbook.xml><?xml version="1.0" encoding="utf-8"?>
<x:workbook xmlns:x="http://schemas.openxmlformats.org/spreadsheetml/2006/main">
  <x:sheets>
    <x:sheet xmlns:r="http://schemas.openxmlformats.org/officeDocument/2006/relationships" name="Items" sheetId="1" r:id="Red4bba61c7e14e16"/>
    <x:sheet xmlns:r="http://schemas.openxmlformats.org/officeDocument/2006/relationships" name="Variants" sheetId="2" r:id="Raa114bb9b3024825"/>
    <x:sheet xmlns:r="http://schemas.openxmlformats.org/officeDocument/2006/relationships" name="Recipes" sheetId="3" r:id="R47341b3a2a904038"/>
    <x:sheet xmlns:r="http://schemas.openxmlformats.org/officeDocument/2006/relationships" name="Categories" sheetId="4" r:id="Rb9a59c007d104eed"/>
    <x:sheet xmlns:r="http://schemas.openxmlformats.org/officeDocument/2006/relationships" name="Guide" sheetId="5" r:id="Rdf212593b3ff4d91"/>
    <x:sheet xmlns:r="http://schemas.openxmlformats.org/officeDocument/2006/relationships" name="Resource chains" sheetId="6" r:id="Rb682feb467404a72"/>
    <x:sheet xmlns:r="http://schemas.openxmlformats.org/officeDocument/2006/relationships" name="Creature concepts" sheetId="7" r:id="R6d49e958e5444edf"/>
    <x:sheet xmlns:r="http://schemas.openxmlformats.org/officeDocument/2006/relationships" name="Chemical concepts" sheetId="8" r:id="R97f1d772b20b481b"/>
    <x:sheet xmlns:r="http://schemas.openxmlformats.org/officeDocument/2006/relationships" name="Container concepts" sheetId="9" r:id="Rbfb54fe4256d4cd0"/>
    <x:sheet xmlns:r="http://schemas.openxmlformats.org/officeDocument/2006/relationships" name="Equipment concepts" sheetId="10" r:id="Rcc8df0dc42a84ca8"/>
    <x:sheet xmlns:r="http://schemas.openxmlformats.org/officeDocument/2006/relationships" name="Canister concepts" sheetId="11" r:id="Rff9f77631a61446b"/>
    <x:sheet xmlns:r="http://schemas.openxmlformats.org/officeDocument/2006/relationships" name="Taxonomy" sheetId="12" r:id="R1921d5c3e42c4510"/>
    <x:sheet xmlns:r="http://schemas.openxmlformats.org/officeDocument/2006/relationships" name="Item uses" sheetId="13" r:id="R5d3bcf120504400a"/>
    <x:sheet xmlns:r="http://schemas.openxmlformats.org/officeDocument/2006/relationships" name="Material routes" sheetId="14" r:id="R01bb40ed2d3b45f6"/>
    <x:sheet xmlns:r="http://schemas.openxmlformats.org/officeDocument/2006/relationships" name="Regional demand" sheetId="15" r:id="Ra4d510493e6247ee"/>
    <x:sheet xmlns:r="http://schemas.openxmlformats.org/officeDocument/2006/relationships" name="Crafting recipes" sheetId="16" r:id="Rb2506d5dc682408c"/>
    <x:sheet xmlns:r="http://schemas.openxmlformats.org/officeDocument/2006/relationships" name="Crafting browser" sheetId="17" r:id="R71ac5c9ad2c84044"/>
    <x:sheet xmlns:r="http://schemas.openxmlformats.org/officeDocument/2006/relationships" name="Material branches" sheetId="18" r:id="R2a4df16e981c4a3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6">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70">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cellXfs>
  <x:cellStyles count="1">
    <x:cellStyle name="Normal" xfId="0"/>
  </x:cellStyles>
  <x:dxfs count="8">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patternType="solid">
          <x:bgColor rgb="FFFFF0D9"/>
        </x:patternFill>
      </x:fill>
    </x:dxf>
    <x:dxf>
      <x:font>
        <x:color rgb="FF87521B"/>
      </x:font>
      <x:fill>
        <x:patternFill patternType="solid">
          <x:bgColor rgb="FFFFF0D9"/>
        </x:patternFill>
      </x:fill>
    </x:dxf>
    <x:dxf>
      <x:font>
        <x:color rgb="FF87521B"/>
      </x:font>
      <x:fill>
        <x:patternFill patternType="solid">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0c88b3c7e941b5" /><Relationship Type="http://schemas.openxmlformats.org/officeDocument/2006/relationships/theme" Target="/xl/theme/theme1.xml" Id="Rff52bcb0f33c46dc" /><Relationship Type="http://schemas.microsoft.com/office/2022/11/relationships/FeaturePropertyBag" Target="/xl/featurePropertyBag/featurePropertyBag.xml" Id="Rc7a86006fde54904" /><Relationship Type="http://schemas.openxmlformats.org/officeDocument/2006/relationships/sharedStrings" Target="/xl/sharedStrings.xml" Id="R9fef3e7020294101" /><Relationship Type="http://schemas.openxmlformats.org/officeDocument/2006/relationships/worksheet" Target="/xl/worksheets/sheet1.xml" Id="Red4bba61c7e14e16" /><Relationship Type="http://schemas.openxmlformats.org/officeDocument/2006/relationships/worksheet" Target="/xl/worksheets/sheet2.xml" Id="Raa114bb9b3024825" /><Relationship Type="http://schemas.openxmlformats.org/officeDocument/2006/relationships/worksheet" Target="/xl/worksheets/sheet3.xml" Id="R47341b3a2a904038" /><Relationship Type="http://schemas.openxmlformats.org/officeDocument/2006/relationships/worksheet" Target="/xl/worksheets/sheet4.xml" Id="Rb9a59c007d104eed" /><Relationship Type="http://schemas.openxmlformats.org/officeDocument/2006/relationships/worksheet" Target="/xl/worksheets/sheet5.xml" Id="Rdf212593b3ff4d91" /><Relationship Type="http://schemas.openxmlformats.org/officeDocument/2006/relationships/worksheet" Target="/xl/worksheets/sheet6.xml" Id="Rb682feb467404a72" /><Relationship Type="http://schemas.openxmlformats.org/officeDocument/2006/relationships/worksheet" Target="/xl/worksheets/sheet7.xml" Id="R6d49e958e5444edf" /><Relationship Type="http://schemas.openxmlformats.org/officeDocument/2006/relationships/worksheet" Target="/xl/worksheets/sheet8.xml" Id="R97f1d772b20b481b" /><Relationship Type="http://schemas.openxmlformats.org/officeDocument/2006/relationships/worksheet" Target="/xl/worksheets/sheet9.xml" Id="Rbfb54fe4256d4cd0" /><Relationship Type="http://schemas.openxmlformats.org/officeDocument/2006/relationships/worksheet" Target="/xl/worksheets/sheet10.xml" Id="Rcc8df0dc42a84ca8" /><Relationship Type="http://schemas.openxmlformats.org/officeDocument/2006/relationships/worksheet" Target="/xl/worksheets/sheet11.xml" Id="Rff9f77631a61446b" /><Relationship Type="http://schemas.openxmlformats.org/officeDocument/2006/relationships/worksheet" Target="/xl/worksheets/sheet12.xml" Id="R1921d5c3e42c4510" /><Relationship Type="http://schemas.openxmlformats.org/officeDocument/2006/relationships/worksheet" Target="/xl/worksheets/sheet13.xml" Id="R5d3bcf120504400a" /><Relationship Type="http://schemas.openxmlformats.org/officeDocument/2006/relationships/worksheet" Target="/xl/worksheets/sheet14.xml" Id="R01bb40ed2d3b45f6" /><Relationship Type="http://schemas.openxmlformats.org/officeDocument/2006/relationships/worksheet" Target="/xl/worksheets/sheet15.xml" Id="Ra4d510493e6247ee" /><Relationship Type="http://schemas.openxmlformats.org/officeDocument/2006/relationships/worksheet" Target="/xl/worksheets/sheet16.xml" Id="Rb2506d5dc682408c" /><Relationship Type="http://schemas.openxmlformats.org/officeDocument/2006/relationships/worksheet" Target="/xl/worksheets/sheet17.xml" Id="R71ac5c9ad2c84044" /><Relationship Type="http://schemas.openxmlformats.org/officeDocument/2006/relationships/worksheet" Target="/xl/worksheets/sheet18.xml" Id="R2a4df16e981c4a3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447" headerRowCount="1" totalsRowCount="0" totalsRowShown="0">
  <x:autoFilter ref="A5:AN447"/>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7" headerRowCount="1" totalsRowCount="0" totalsRowShown="0">
  <x:autoFilter ref="A5:E4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05" headerRowCount="1" totalsRowCount="0" totalsRowShown="0">
  <x:autoFilter ref="A5:B205"/>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13" headerRowCount="1" totalsRowCount="0" totalsRowShown="0">
  <x:autoFilter ref="A5:C21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606" headerRowCount="1" totalsRowCount="0" totalsRowShown="0">
  <x:autoFilter ref="A5:F60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86" headerRowCount="1" totalsRowCount="0" totalsRowShown="0">
  <x:autoFilter ref="A5:Q28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118" headerRowCount="1" totalsRowCount="0" totalsRowShown="0">
  <x:autoFilter ref="A5:M118"/>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73" headerRowCount="1" totalsRowCount="0" totalsRowShown="0">
  <x:autoFilter ref="A5:V173"/>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16" headerRowCount="1" totalsRowCount="0" totalsRowShown="0">
  <x:autoFilter ref="A5:H16"/>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c9de47f251b455c" /></Relationships>
</file>

<file path=xl/worksheets/_rels/sheet2.xml.rels>&#65279;<?xml version="1.0" encoding="utf-8"?><Relationships xmlns="http://schemas.openxmlformats.org/package/2006/relationships"><Relationship Type="http://schemas.openxmlformats.org/officeDocument/2006/relationships/table" Target="/xl/tables/table2.xml" Id="Reb1acbe4322148ce" /></Relationships>
</file>

<file path=xl/worksheets/_rels/sheet3.xml.rels>&#65279;<?xml version="1.0" encoding="utf-8"?><Relationships xmlns="http://schemas.openxmlformats.org/package/2006/relationships"><Relationship Type="http://schemas.openxmlformats.org/officeDocument/2006/relationships/table" Target="/xl/tables/table3.xml" Id="R15fc7d6dcb7b4171" /></Relationships>
</file>

<file path=xl/worksheets/_rels/sheet4.xml.rels>&#65279;<?xml version="1.0" encoding="utf-8"?><Relationships xmlns="http://schemas.openxmlformats.org/package/2006/relationships"><Relationship Type="http://schemas.openxmlformats.org/officeDocument/2006/relationships/table" Target="/xl/tables/table4.xml" Id="Rbc5461070c4d46fc" /></Relationships>
</file>

<file path=xl/worksheets/_rels/sheet5.xml.rels>&#65279;<?xml version="1.0" encoding="utf-8"?><Relationships xmlns="http://schemas.openxmlformats.org/package/2006/relationships"><Relationship Type="http://schemas.openxmlformats.org/officeDocument/2006/relationships/table" Target="/xl/tables/table5.xml" Id="R84e381400a094994" /></Relationships>
</file>

<file path=xl/worksheets/_rels/sheet6.xml.rels>&#65279;<?xml version="1.0" encoding="utf-8"?><Relationships xmlns="http://schemas.openxmlformats.org/package/2006/relationships"><Relationship Type="http://schemas.openxmlformats.org/officeDocument/2006/relationships/table" Target="/xl/tables/table6.xml" Id="R40ccc99253d4467e" /></Relationships>
</file>

<file path=xl/worksheets/_rels/sheet7.xml.rels>&#65279;<?xml version="1.0" encoding="utf-8"?><Relationships xmlns="http://schemas.openxmlformats.org/package/2006/relationships"><Relationship Type="http://schemas.openxmlformats.org/officeDocument/2006/relationships/table" Target="/xl/tables/table7.xml" Id="Rbaec61e39e864605" /></Relationships>
</file>

<file path=xl/worksheets/_rels/sheet8.xml.rels>&#65279;<?xml version="1.0" encoding="utf-8"?><Relationships xmlns="http://schemas.openxmlformats.org/package/2006/relationships"><Relationship Type="http://schemas.openxmlformats.org/officeDocument/2006/relationships/table" Target="/xl/tables/table8.xml" Id="R9e9194ba289b4d76" /></Relationships>
</file>

<file path=xl/worksheets/_rels/sheet9.xml.rels>&#65279;<?xml version="1.0" encoding="utf-8"?><Relationships xmlns="http://schemas.openxmlformats.org/package/2006/relationships"><Relationship Type="http://schemas.openxmlformats.org/officeDocument/2006/relationships/table" Target="/xl/tables/table9.xml" Id="R4f5319269b054473" /></Relationships>
</file>

<file path=xl/worksheets/_rels/sheet10.xml.rels>&#65279;<?xml version="1.0" encoding="utf-8"?><Relationships xmlns="http://schemas.openxmlformats.org/package/2006/relationships"><Relationship Type="http://schemas.openxmlformats.org/officeDocument/2006/relationships/table" Target="/xl/tables/table10.xml" Id="R537be887931e4eed" /></Relationships>
</file>

<file path=xl/worksheets/_rels/sheet11.xml.rels>&#65279;<?xml version="1.0" encoding="utf-8"?><Relationships xmlns="http://schemas.openxmlformats.org/package/2006/relationships"><Relationship Type="http://schemas.openxmlformats.org/officeDocument/2006/relationships/table" Target="/xl/tables/table11.xml" Id="Rf98ea19843c04b67" /></Relationships>
</file>

<file path=xl/worksheets/_rels/sheet12.xml.rels>&#65279;<?xml version="1.0" encoding="utf-8"?><Relationships xmlns="http://schemas.openxmlformats.org/package/2006/relationships"><Relationship Type="http://schemas.openxmlformats.org/officeDocument/2006/relationships/table" Target="/xl/tables/table12.xml" Id="R6a1c4f01426d4368" /></Relationships>
</file>

<file path=xl/worksheets/_rels/sheet13.xml.rels>&#65279;<?xml version="1.0" encoding="utf-8"?><Relationships xmlns="http://schemas.openxmlformats.org/package/2006/relationships"><Relationship Type="http://schemas.openxmlformats.org/officeDocument/2006/relationships/table" Target="/xl/tables/table13.xml" Id="R750776228caa4d5d" /></Relationships>
</file>

<file path=xl/worksheets/_rels/sheet14.xml.rels>&#65279;<?xml version="1.0" encoding="utf-8"?><Relationships xmlns="http://schemas.openxmlformats.org/package/2006/relationships"><Relationship Type="http://schemas.openxmlformats.org/officeDocument/2006/relationships/table" Target="/xl/tables/table14.xml" Id="R3e69ccde898d425e" /></Relationships>
</file>

<file path=xl/worksheets/_rels/sheet15.xml.rels>&#65279;<?xml version="1.0" encoding="utf-8"?><Relationships xmlns="http://schemas.openxmlformats.org/package/2006/relationships"><Relationship Type="http://schemas.openxmlformats.org/officeDocument/2006/relationships/table" Target="/xl/tables/table15.xml" Id="R0a6efee4ef284265" /></Relationships>
</file>

<file path=xl/worksheets/_rels/sheet16.xml.rels>&#65279;<?xml version="1.0" encoding="utf-8"?><Relationships xmlns="http://schemas.openxmlformats.org/package/2006/relationships"><Relationship Type="http://schemas.openxmlformats.org/officeDocument/2006/relationships/table" Target="/xl/tables/table16.xml" Id="R5aa926fcf3fc4a06" /></Relationships>
</file>

<file path=xl/worksheets/_rels/sheet17.xml.rels>&#65279;<?xml version="1.0" encoding="utf-8"?><Relationships xmlns="http://schemas.openxmlformats.org/package/2006/relationships"><Relationship Type="http://schemas.openxmlformats.org/officeDocument/2006/relationships/table" Target="/xl/tables/table17.xml" Id="Rec1951073a504e0d" /></Relationships>
</file>

<file path=xl/worksheets/_rels/sheet18.xml.rels>&#65279;<?xml version="1.0" encoding="utf-8"?><Relationships xmlns="http://schemas.openxmlformats.org/package/2006/relationships"><Relationship Type="http://schemas.openxmlformats.org/officeDocument/2006/relationships/table" Target="/xl/tables/table18.xml" Id="R750bf8b6b1324e80"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48" customHeight="1">
      <x:c r="A6" s="9" t="str">
        <x:v>lab.salvage.drive_assembly</x:v>
      </x:c>
      <x:c r="B6" s="9" t="str">
        <x:v>Drive Assembly</x:v>
      </x:c>
      <x:c r="C6" s="4" t="str">
        <x:v>Unassigned</x:v>
      </x:c>
      <x:c r="D6" s="9" t="str">
        <x:v>Crafting components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crafting components; salvage; crafting component; recovered part; recovered machinery; machinery repair; mixed / unresolved; assembly; existing definition; ; unassigned; not applicable; component</x:v>
      </x:c>
      <x:c r="AF6" s="4" t="str">
        <x:v>From current item description. Proposed uses retain their existing approval status.</x:v>
      </x:c>
      <x:c r="AG6" s="4" t="str">
        <x:v>Choose a material/part route before assigning a tier. Processing-stage labels alone do not prove chain depth.</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status/completeness",IF(C6="T0","Raw entry feed; no production route","No production route listed"))</x:f>
        <x:v>No production route listed</x:v>
      </x:c>
      <x:c r="AN6" s="14" t="n">
        <x:f>IF(C6="T0",0,IF(C6="T1",1,IF(C6="T2",2,IF(C6="T3",3,IF(C6="T4",4,IF(C6="Unassigned",98,99))))))</x:f>
        <x:v>98</x:v>
      </x:c>
      <x:c r="AZ6"/>
      <x:c r="BA6"/>
      <x:c r="BB6"/>
      <x:c r="BC6"/>
      <x:c r="BD6"/>
      <x:c r="BE6"/>
      <x:c r="BF6"/>
      <x:c r="BG6"/>
      <x:c r="BH6"/>
      <x:c r="BI6"/>
      <x:c r="BJ6"/>
      <x:c r="BK6"/>
      <x:c r="BL6"/>
      <x:c r="BM6"/>
      <x:c r="BN6"/>
      <x:c r="BO6"/>
      <x:c r="BP6"/>
      <x:c r="BQ6"/>
      <x:c r="BR6"/>
      <x:c r="BS6"/>
      <x:c r="BT6"/>
      <x:c r="BU6"/>
      <x:c r="BV6"/>
      <x:c r="BW6"/>
      <x:c r="BX6"/>
      <x:c r="BY6"/>
      <x:c r="BZ6"/>
      <x:c r="CA6"/>
      <x:c r="CB6"/>
      <x:c r="CC6"/>
    </x:row>
    <x:row r="7" ht="48" customHeight="1">
      <x:c r="A7" s="4" t="str">
        <x:v>lab.salvage.metal_plate</x:v>
      </x:c>
      <x:c r="B7" s="4" t="str">
        <x:v>Metal Plate</x:v>
      </x:c>
      <x:c r="C7" s="4" t="str">
        <x:v>Unassigned</x:v>
      </x:c>
      <x:c r="D7" s="4" t="str">
        <x:v>Crafting components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crafting components; salvage; crafting component; recovered part; recovered machinery; fabrication; metal; solid part; existing definition; ; unassigned; not applicable; component</x:v>
      </x:c>
      <x:c r="AF7" s="4" t="str">
        <x:v>From current item description. Proposed uses retain their existing approval status.</x:v>
      </x:c>
      <x:c r="AG7" s="4" t="str">
        <x:v>Choose a material/part route before assigning a tier. Processing-stage labels alone do not prove chain depth.</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status/completeness",IF(C7="T0","Raw entry feed; no production route","No production route listed"))</x:f>
        <x:v>No production route listed</x:v>
      </x:c>
      <x:c r="AN7" s="14" t="n">
        <x:f>IF(C7="T0",0,IF(C7="T1",1,IF(C7="T2",2,IF(C7="T3",3,IF(C7="T4",4,IF(C7="Unassigned",98,99))))))</x:f>
        <x:v>98</x:v>
      </x:c>
      <x:c r="AZ7"/>
      <x:c r="BA7"/>
      <x:c r="BB7"/>
      <x:c r="BC7"/>
      <x:c r="BD7"/>
      <x:c r="BE7"/>
      <x:c r="BF7"/>
      <x:c r="BG7"/>
      <x:c r="BH7"/>
      <x:c r="BI7"/>
      <x:c r="BJ7"/>
      <x:c r="BK7"/>
      <x:c r="BL7"/>
      <x:c r="BM7"/>
      <x:c r="BN7"/>
      <x:c r="BO7"/>
      <x:c r="BP7"/>
      <x:c r="BQ7"/>
      <x:c r="BR7"/>
      <x:c r="BS7"/>
      <x:c r="BT7"/>
      <x:c r="BU7"/>
      <x:c r="BV7"/>
      <x:c r="BW7"/>
      <x:c r="BX7"/>
      <x:c r="BY7"/>
      <x:c r="BZ7"/>
      <x:c r="CA7"/>
      <x:c r="CB7"/>
      <x:c r="CC7"/>
    </x:row>
    <x:row r="8" ht="48" customHeight="1">
      <x:c r="A8" s="9" t="str">
        <x:v>lab.salvage.wire_bundle</x:v>
      </x:c>
      <x:c r="B8" s="9" t="str">
        <x:v>Wire Bundle</x:v>
      </x:c>
      <x:c r="C8" s="4" t="str">
        <x:v>Unassigned</x:v>
      </x:c>
      <x:c r="D8" s="9" t="str">
        <x:v>Crafting components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crafting components; salvage; crafting component; recovered part; recovered machinery; electrical work; metal; bundle; existing definition; ; unassigned; not applicable; component</x:v>
      </x:c>
      <x:c r="AF8" s="4" t="str">
        <x:v>From current item description. Proposed uses retain their existing approval status.</x:v>
      </x:c>
      <x:c r="AG8" s="4" t="str">
        <x:v>Choose a material/part route before assigning a tier. Processing-stage labels alone do not prove chain depth.</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status/completeness",IF(C8="T0","Raw entry feed; no production route","No production route listed"))</x:f>
        <x:v>No production route listed</x:v>
      </x:c>
      <x:c r="AN8" s="14" t="n">
        <x:f>IF(C8="T0",0,IF(C8="T1",1,IF(C8="T2",2,IF(C8="T3",3,IF(C8="T4",4,IF(C8="Unassigned",98,99))))))</x:f>
        <x:v>98</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str">
        <x:v>Equipment</x:v>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equipment; survival; container; finished item; living culture; survival provision; mixed / unresolved; assembly; existing definition; injury treatment; not applicable; unassigned; finished item</x:v>
      </x:c>
      <x:c r="AF9" s="4" t="str">
        <x:v>From current item description. Proposed uses retain their existing approval status.</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status/completeness",IF(C9="T0","Raw entry feed; no production route","No production route listed"))</x:f>
        <x:v>No production route listed</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str">
        <x:v>Equipment</x:v>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equipment; clothing; wearable; finished item; unresolved; clothing; unresolved; garment; existing definition; camp rest; not applicable; unassigned; finished item</x:v>
      </x:c>
      <x:c r="AF10" s="4" t="str">
        <x:v>From current item description. Proposed uses retain their existing approval status.</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status/completeness",IF(C10="T0","Raw entry feed; no production route","No production route listed"))</x:f>
        <x:v>No production route listed</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str">
        <x:v>Equipment</x:v>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equipment; excavation; tool; finished item; unresolved; excavation; mixed / unresolved; assembly; existing definition; ; not applicable; unassigned; finished item</x:v>
      </x:c>
      <x:c r="AF11" s="4" t="str">
        <x:v>From current item description. Proposed uses retain their existing approval status.</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status/completeness",IF(C11="T0","Raw entry feed; no production route","No production route listed"))</x:f>
        <x:v>No production route listed</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str">
        <x:v>Equipment</x:v>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equipment; harvesting; tool; finished item; unresolved; resource collection; mixed / unresolved; assembly; existing definition; ; not applicable; unassigned; finished item</x:v>
      </x:c>
      <x:c r="AF12" s="4" t="str">
        <x:v>From current item description. Proposed uses retain their existing approval status.</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status/completeness",IF(C12="T0","Raw entry feed; no production route","No production route listed"))</x:f>
        <x:v>No production route listed</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str">
        <x:v>Equipment</x:v>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equipment; traversal; tool; finished item; unresolved; traversal; mixed / unresolved; assembly; existing definition; ; not applicable; unassigned; finished item</x:v>
      </x:c>
      <x:c r="AF13" s="4" t="str">
        <x:v>From current item description. Proposed uses retain their existing approval status.</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status/completeness",IF(C13="T0","Raw entry feed; no production route","No production route listed"))</x:f>
        <x:v>No production route listed</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str">
        <x:v>Equipment</x:v>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equipment; clothing; wearable; finished item; unresolved; clothing; unresolved; garment; existing definition; ; not applicable; unassigned; finished item</x:v>
      </x:c>
      <x:c r="AF14" s="4" t="str">
        <x:v>From current item description. Proposed uses retain their existing approval status.</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status/completeness",IF(C14="T0","Raw entry feed; no production route","No production route listed"))</x:f>
        <x:v>No production route listed</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kit</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kit; finished item; unresolved; camp rest; mixed / unresolved; assembly; existing definition; sun shading; vertical sun shade shelter; not applicable; unassigned; finished item</x:v>
      </x:c>
      <x:c r="AF17" s="4" t="str">
        <x:v>From current item description. Proposed uses retain their existing approval status.</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status/completeness",IF(C17="T0","Raw entry feed; no production route","No production route listed"))</x:f>
        <x:v>No production route listed</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resources; airborne resource; raw material; raw; atmospheric; energy processing; unresolved; particles; existing definition; ; t0; not applicable; material</x:v>
      </x:c>
      <x:c r="AF18" s="4" t="str">
        <x:v>From current item description. Proposed uses retain their existing approval status.</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48" customHeight="1">
      <x:c r="A19" s="4" t="str">
        <x:v>lab.ironstone.aggregate</x:v>
      </x:c>
      <x:c r="B19" s="4" t="str">
        <x:v>Coarse Aggregate</x:v>
      </x:c>
      <x:c r="C19" s="4" t="str">
        <x:v>Unassigned</x:v>
      </x:c>
      <x:c r="D19" s="4" t="str">
        <x:v>Resources</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resources; processed mineral; processed material; processed intermediate; geological; use unresolved; mineral; particles; existing definition; ; unassigned; not applicable; material</x:v>
      </x:c>
      <x:c r="AF19" s="4" t="str">
        <x:v>From current item description. Proposed uses retain their existing approval status.</x:v>
      </x:c>
      <x:c r="AG19" s="4" t="str">
        <x:v>Choose a material/part route before assigning a tier. Processing-stage labels alone do not prove chain depth.</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0</x:v>
      </x:c>
      <x:c r="AL19" s="4" t="n">
        <x:f>COUNTIFS('Material routes'!$D$6:$D$1005,A19,'Material routes'!$C$6:$C$1005,"Tool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98</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Resources</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resources; processed mineral; processed material; processed intermediate; geological; metal refining; mineral; particles; existing definition; ; t1; not applicable; material</x:v>
      </x:c>
      <x:c r="AF20" s="4" t="str">
        <x:v>From current item description. Proposed uses retain their existing approval status.</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resources; raw mineral; raw material; raw; geological; metal refining; mineral; rock; existing definition; fabrication; unprocessed iron rich stone; t0; not applicable; material</x:v>
      </x:c>
      <x:c r="AF21" s="4" t="str">
        <x:v>From current item description. Proposed uses retain their existing approval status.</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48" customHeight="1">
      <x:c r="A22" s="9" t="str">
        <x:v>lab.ironstone.mineral_dust</x:v>
      </x:c>
      <x:c r="B22" s="9" t="str">
        <x:v>Mineral Dust</x:v>
      </x:c>
      <x:c r="C22" s="4" t="str">
        <x:v>Unassigned</x:v>
      </x:c>
      <x:c r="D22" s="9" t="str">
        <x:v>Resources</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resources; processed mineral; processed material; processed intermediate; geological; use unresolved; mineral; particles; existing definition; ; unassigned; not applicable; material</x:v>
      </x:c>
      <x:c r="AF22" s="4" t="str">
        <x:v>From current item description. Proposed uses retain their existing approval status.</x:v>
      </x:c>
      <x:c r="AG22" s="4" t="str">
        <x:v>Choose a material/part route before assigning a tier. Processing-stage labels alone do not prove chain depth.</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98</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48" customHeight="1">
      <x:c r="A23" s="4" t="str">
        <x:v>lab.ironstone.sand</x:v>
      </x:c>
      <x:c r="B23" s="4" t="str">
        <x:v>Mineral Sand</x:v>
      </x:c>
      <x:c r="C23" s="4" t="str">
        <x:v>Unassigned</x:v>
      </x:c>
      <x:c r="D23" s="4" t="str">
        <x:v>Resources</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resources; processed mineral; processed material; processed intermediate; geological; use unresolved; mineral; particles; existing definition; ; unassigned; not applicable; material</x:v>
      </x:c>
      <x:c r="AF23" s="4" t="str">
        <x:v>From current item description. Proposed uses retain their existing approval status.</x:v>
      </x:c>
      <x:c r="AG23" s="4" t="str">
        <x:v>Choose a material/part route before assigning a tier. Processing-stage labels alone do not prove chain depth.</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98</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str">
        <x:v>Equipment</x:v>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equipment; magnetic recovery; tool; finished item; manufactured / unresolved; resource collection; mixed / unresolved; assembly; author direction; work holding; not applicable; unassigned; finished item</x:v>
      </x:c>
      <x:c r="AF24" s="4" t="str">
        <x:v>From current item description. Proposed uses retain their existing approval status.</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status/completeness",IF(C24="T0","Raw entry feed; no production route","No production route listed"))</x:f>
        <x:v>No production route listed</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str">
        <x:v>Equipment</x:v>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equipment; charge management; tool; finished item; manufactured / unresolved; static management; mixed / unresolved; assembly; author direction; ; not applicable; unassigned; finished item</x:v>
      </x:c>
      <x:c r="AF25" s="4" t="str">
        <x:v>From current item description. Proposed uses retain their existing approval status.</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resources; raw mineral; raw material; raw; geological; metal refining; mineral; rock; proposal; magnetic tools; t0; not applicable; material</x:v>
      </x:c>
      <x:c r="AF26" s="4" t="str">
        <x:v>From current item description. Proposed uses retain their existing approval status.</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resources; raw mineral; raw material; raw; geological; surface finishing; mineral; particles; proposal; glass and ceramics; t0; not applicable; material</x:v>
      </x:c>
      <x:c r="AF27" s="4" t="str">
        <x:v>From current item description. Proposed uses retain their existing approval status.</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3</x:v>
      </x:c>
      <x:c r="AL27" s="4" t="n">
        <x:f>COUNTIFS('Material routes'!$D$6:$D$1005,A27,'Material routes'!$C$6:$C$1005,"Tool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resources; raw mineral; raw material; raw; geological; glass and ceramics; mineral; rock; proposal; electrical insulation; t0; not applicable; material</x:v>
      </x:c>
      <x:c r="AF28" s="4" t="str">
        <x:v>From current item description. Proposed uses retain their existing approval status.</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2</x:v>
      </x:c>
      <x:c r="AL28" s="4" t="n">
        <x:f>COUNTIFS('Material routes'!$D$6:$D$1005,A28,'Material routes'!$C$6:$C$1005,"Tool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resources; raw mineral; raw material; raw; geological; glass and ceramics; mineral; rock; proposal; ; t0; not applicable; material</x:v>
      </x:c>
      <x:c r="AF29" s="4" t="str">
        <x:v>From current item description. Proposed uses retain their existing approval status.</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resources; raw mineral; raw material; raw; geological; binding and construction; mineral; rock; proposal; ; t0; not applicable; material</x:v>
      </x:c>
      <x:c r="AF30" s="4" t="str">
        <x:v>From current item description. Proposed uses retain their existing approval status.</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2</x:v>
      </x:c>
      <x:c r="AL30" s="4" t="n">
        <x:f>COUNTIFS('Material routes'!$D$6:$D$1005,A30,'Material routes'!$C$6:$C$1005,"Tool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resources; raw mineral; raw material; raw; geological; culture support; mineral; particles; proposal; ; t0; not applicable; material</x:v>
      </x:c>
      <x:c r="AF31" s="4" t="str">
        <x:v>From current item description. Proposed uses retain their existing approval status.</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1</x:v>
      </x:c>
      <x:c r="AL31" s="4" t="n">
        <x:f>COUNTIFS('Material routes'!$D$6:$D$1005,A31,'Material routes'!$C$6:$C$1005,"Tool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resources; raw mineral; raw material; raw; geological; lubrication; mineral; particles; proposal; electrical conduction; t0; not applicable; material</x:v>
      </x:c>
      <x:c r="AF32" s="4" t="str">
        <x:v>From current item description. Proposed uses retain their existing approval status.</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resources; raw mineral; raw material; raw; geological; electrical insulation; mineral; sheet; proposal; protective fabrication; t0; not applicable; material</x:v>
      </x:c>
      <x:c r="AF33" s="4" t="str">
        <x:v>From current item description. Proposed uses retain their existing approval status.</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Resources</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resources; processed mineral; processed material; processed intermediate; geological; metal refining; mineral; particles; proposal; ; t1; not applicable; material</x:v>
      </x:c>
      <x:c r="AF34" s="4" t="str">
        <x:v>From current item description. Proposed uses retain their existing approval status.</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1</x:v>
      </x:c>
      <x:c r="AL34" s="4" t="n">
        <x:f>COUNTIFS('Material routes'!$D$6:$D$1005,A34,'Material routes'!$C$6:$C$1005,"Tool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Resources</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resources; processed mineral; processed material; processed intermediate; geological; fabrication; mineral; solid part; proposal; equipment repair; t2; not applicable; material</x:v>
      </x:c>
      <x:c r="AF35" s="4" t="str">
        <x:v>From current item description. Proposed uses retain their existing approval status.</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0</x:v>
      </x:c>
      <x:c r="AL35" s="4" t="n">
        <x:f>COUNTIFS('Material routes'!$D$6:$D$1005,A35,'Material routes'!$C$6:$C$1005,"Tool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Resources</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resources; processed mineral; processed material; processed intermediate; geological; surface finishing; mineral; particles; proposal; ; t1; not applicable; material</x:v>
      </x:c>
      <x:c r="AF36" s="4" t="str">
        <x:v>From current item description. Proposed uses retain their existing approval status.</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3</x:v>
      </x:c>
      <x:c r="AL36" s="4" t="n">
        <x:f>COUNTIFS('Material routes'!$D$6:$D$1005,A36,'Material routes'!$C$6:$C$1005,"Tool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Resources</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resources;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routes'!$D$6:$D$1005,A37,'Material routes'!$C$6:$C$1005,"Output")</x:f>
        <x:v>2</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2</x:v>
      </x:c>
      <x:c r="AL37" s="4" t="n">
        <x:f>COUNTIFS('Material routes'!$D$6:$D$1005,A37,'Material routes'!$C$6:$C$1005,"Tool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Resources</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resources; processed mineral; processed material; processed intermediate; geological; binding and construction; mineral; particles; proposal; ; t1; not applicable; material</x:v>
      </x:c>
      <x:c r="AF38" s="4" t="str">
        <x:v>From current item description. Proposed uses retain their existing approval status.</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1</x:v>
      </x:c>
      <x:c r="AL38" s="4" t="n">
        <x:f>COUNTIFS('Material routes'!$D$6:$D$1005,A38,'Material routes'!$C$6:$C$1005,"Tool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Resources</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resources; processed mineral; processed material; processed intermediate; geological; lubrication; mineral; particles; proposal; electrical conduction; t1; not applicable; material</x:v>
      </x:c>
      <x:c r="AF39" s="4" t="str">
        <x:v>From current item description. Proposed uses retain their existing approval status.</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4</x:v>
      </x:c>
      <x:c r="AL39" s="4" t="n">
        <x:f>COUNTIFS('Material routes'!$D$6:$D$1005,A39,'Material routes'!$C$6:$C$1005,"Tool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resources; molted exoskeleton; raw material; raw; fauna; fabrication; shell / chitin; shell plate; author direction; fiber processing; t0; not applicable; material</x:v>
      </x:c>
      <x:c r="AF40" s="4" t="str">
        <x:v>From current item description. Proposed uses retain their existing approval status.</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5</x:v>
      </x:c>
      <x:c r="AL40" s="4" t="n">
        <x:f>COUNTIFS('Material routes'!$D$6:$D$1005,A40,'Material routes'!$C$6:$C$1005,"Tool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resources; connective tissue; raw material; raw; fauna; binding and construction; faunal tissue; bundle; proposal; ; t0; not applicable; material</x:v>
      </x:c>
      <x:c r="AF41" s="4" t="str">
        <x:v>From current item description. Proposed uses retain their existing approval status.</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resources; dry fibers; raw material; raw; fauna; dust exclusion; faunal fiber; fiber; proposal; ; t0; not applicable; material</x:v>
      </x:c>
      <x:c r="AF42" s="4" t="str">
        <x:v>From current item description. Proposed uses retain their existing approval status.</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resources; dry fibers; raw material; raw; fauna; textile processing; fur; fiber; proposal; ; t0; not applicable; material</x:v>
      </x:c>
      <x:c r="AF43" s="4" t="str">
        <x:v>From current item description. Proposed uses retain their existing approval status.</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resources; hard tissue; raw material; raw; fauna; tool fabrication; faunal tissue; solid piece; proposal; ; t0; not applicable; material</x:v>
      </x:c>
      <x:c r="AF44" s="4" t="str">
        <x:v>From current item description. Proposed uses retain their existing approval status.</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resources; flexible tissue; raw material; processed intermediate; fauna; sealing; faunal membrane; sheet; proposal; equipment repair; t0; not applicable; material</x:v>
      </x:c>
      <x:c r="AF45" s="4" t="str">
        <x:v>From current item description. Proposed uses retain their existing approval status.</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1</x:v>
      </x:c>
      <x:c r="AL45" s="4" t="n">
        <x:f>COUNTIFS('Material routes'!$D$6:$D$1005,A45,'Material routes'!$C$6:$C$1005,"Tool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66" customHeight="1">
      <x:c r="A46" s="9" t="str">
        <x:v>proposal.bio.fat</x:v>
      </x:c>
      <x:c r="B46" s="9" t="str">
        <x:v>Unverified fat-like tissue concept</x:v>
      </x:c>
      <x:c r="C46" s="4" t="str">
        <x:v>Unassigned</x:v>
      </x:c>
      <x:c r="D46" s="9" t="str">
        <x:v>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resources; perishable tissue; raw material; unresolved; fauna; use unresolved; unresolved; unresolved; withheld assumption; ; unassigned; unassigned; material</x:v>
      </x:c>
      <x:c r="AF46" s="4" t="str">
        <x:v>From current item description. Proposed uses retain their existing approval status.</x:v>
      </x:c>
      <x:c r="AG46" s="4" t="str">
        <x:v>Tier requires a chosen production route; recovered ancient material is not automatically T4.</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resources; specialized tissue; raw material; raw; fauna; electrical work; faunal tissue; solid piece; proposal; ; t0; not applicable; material</x:v>
      </x:c>
      <x:c r="AF47" s="4" t="str">
        <x:v>From current item description. Proposed uses retain their existing approval status.</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1</x:v>
      </x:c>
      <x:c r="AL47" s="4" t="n">
        <x:f>COUNTIFS('Material routes'!$D$6:$D$1005,A47,'Material routes'!$C$6:$C$1005,"Tool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3</x:v>
      </x:c>
      <x:c r="AL48" s="4" t="n">
        <x:f>COUNTIFS('Material routes'!$D$6:$D$1005,A48,'Material routes'!$C$6:$C$1005,"Tool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1</x:v>
      </x:c>
      <x:c r="AL49" s="4" t="n">
        <x:f>COUNTIFS('Material routes'!$D$6:$D$1005,A49,'Material routes'!$C$6:$C$1005,"Tool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66" customHeight="1">
      <x:c r="A50" s="9" t="str">
        <x:v>proposal.bio.brush</x:v>
      </x:c>
      <x:c r="B50" s="9" t="str">
        <x:v>Bristle brush strips</x:v>
      </x:c>
      <x:c r="C50" s="4" t="str">
        <x:v>Unassigned</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unassigned; not applicable; component</x:v>
      </x:c>
      <x:c r="AF50" s="4" t="str">
        <x:v>From current item description. Proposed uses retain their existing approval status.</x:v>
      </x:c>
      <x:c r="AG50" s="4" t="str">
        <x:v>Choose a material/part route before assigning a tier. Processing-stage labels alone do not prove chain depth.</x:v>
      </x:c>
      <x:c r="AH50" s="4" t="str">
        <x:v>Not applicable</x:v>
      </x:c>
      <x:c r="AI50" s="4" t="str">
        <x:v>Component</x:v>
      </x:c>
      <x:c r="AJ50" s="4" t="n">
        <x:f>COUNTIFS('Material routes'!$D$6:$D$1005,A50,'Material routes'!$C$6:$C$1005,"Output")</x:f>
        <x:v>1</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98</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66" customHeight="1">
      <x:c r="A52" s="9" t="str">
        <x:v>proposal.bio.insert</x:v>
      </x:c>
      <x:c r="B52" s="9" t="str">
        <x:v>Jaw cutting insert</x:v>
      </x:c>
      <x:c r="C52" s="4" t="str">
        <x:v>Unassigned</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unassigned; not applicable; component</x:v>
      </x:c>
      <x:c r="AF52" s="4" t="str">
        <x:v>From current item description. Proposed uses retain their existing approval status.</x:v>
      </x:c>
      <x:c r="AG52" s="4" t="str">
        <x:v>Choose a material/part route before assigning a tier. Processing-stage labels alone do not prove chain depth.</x:v>
      </x:c>
      <x:c r="AH52" s="4" t="str">
        <x:v>Not applicable</x:v>
      </x:c>
      <x:c r="AI52" s="4" t="str">
        <x:v>Component</x:v>
      </x:c>
      <x:c r="AJ52" s="4" t="n">
        <x:f>COUNTIFS('Material routes'!$D$6:$D$1005,A52,'Material routes'!$C$6:$C$1005,"Output")</x:f>
        <x:v>1</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0</x:v>
      </x:c>
      <x:c r="AL52" s="4" t="n">
        <x:f>COUNTIFS('Material routes'!$D$6:$D$1005,A52,'Material routes'!$C$6:$C$1005,"Tool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98</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66"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Tier requires a chosen production route; recovered ancient material is not automatically T4.</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66" customHeight="1">
      <x:c r="A55" s="9" t="str">
        <x:v>proposal.bio.electrode</x:v>
      </x:c>
      <x:c r="B55" s="9" t="str">
        <x:v>Dry organ electrode scaffold</x:v>
      </x:c>
      <x:c r="C55" s="4" t="str">
        <x:v>Unassigned</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unassigned; not applicable; component</x:v>
      </x:c>
      <x:c r="AF55" s="4" t="str">
        <x:v>From current item description. Proposed uses retain their existing approval status.</x:v>
      </x:c>
      <x:c r="AG55" s="4" t="str">
        <x:v>Choose a material/part route before assigning a tier. Processing-stage labels alone do not prove chain depth.</x:v>
      </x:c>
      <x:c r="AH55" s="4" t="str">
        <x:v>Not applicable</x:v>
      </x:c>
      <x:c r="AI55" s="4" t="str">
        <x:v>Component</x:v>
      </x:c>
      <x:c r="AJ55" s="4" t="n">
        <x:f>COUNTIFS('Material routes'!$D$6:$D$1005,A55,'Material routes'!$C$6:$C$1005,"Output")</x:f>
        <x:v>1</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98</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75" customHeight="1">
      <x:c r="A56" s="9" t="str">
        <x:v>proposal.natural.charcoal</x:v>
      </x:c>
      <x:c r="B56" s="9" t="str">
        <x:v>Charcoal</x:v>
      </x:c>
      <x:c r="C56" s="4" t="str">
        <x:v>Unassigned</x:v>
      </x:c>
      <x:c r="D56" s="9" t="str">
        <x:v>Resources</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resources; processed fuel; processed material; processed intermediate; unresolved; fuel; carbonaceous material; particles; author direction; metal refining; unassigned; not applicable; material</x:v>
      </x:c>
      <x:c r="AF56" s="4" t="str">
        <x:v>From current item description. Proposed uses retain their existing approval status.</x:v>
      </x:c>
      <x:c r="AG56" s="4" t="str">
        <x:v>Choose a material/part route before assigning a tier. Processing-stage labels alone do not prove chain depth.</x:v>
      </x:c>
      <x:c r="AH56" s="4" t="str">
        <x:v>Not applicable</x:v>
      </x:c>
      <x:c r="AI56" s="4" t="str">
        <x:v>Material</x:v>
      </x:c>
      <x:c r="AJ56" s="4" t="n">
        <x:f>COUNTIFS('Material routes'!$D$6:$D$1005,A56,'Material routes'!$C$6:$C$1005,"Output")</x:f>
        <x:v>1</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98</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resources; raw mineral; raw material; raw; geological; metal refining; mineral; rock; author direction; ; t0; not applicable; material</x:v>
      </x:c>
      <x:c r="AF57" s="4" t="str">
        <x:v>From current item description. Proposed uses retain their existing approval status.</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1</x:v>
      </x:c>
      <x:c r="AL57" s="4" t="n">
        <x:f>COUNTIFS('Material routes'!$D$6:$D$1005,A57,'Material routes'!$C$6:$C$1005,"Tool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75" customHeight="1">
      <x:c r="A58" s="9" t="str">
        <x:v>proposal.natural.copper_ore</x:v>
      </x:c>
      <x:c r="B58" s="9" t="str">
        <x:v>Copper ore</x:v>
      </x:c>
      <x:c r="C58" s="4" t="str">
        <x:v>Unassigned</x:v>
      </x:c>
      <x:c r="D58" s="9" t="str">
        <x:v>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resources; sorted ore; raw material; processed intermediate; geological; metal refining; mineral; rock; author direction; ; unassigned; not applicable; material</x:v>
      </x:c>
      <x:c r="AF58" s="4" t="str">
        <x:v>From current item description. Proposed uses retain their existing approval status.</x:v>
      </x:c>
      <x:c r="AG58" s="4" t="str">
        <x:v>Choose a material/part route before assigning a tier. Processing-stage labels alone do not prove chain depth.</x:v>
      </x:c>
      <x:c r="AH58" s="4" t="str">
        <x:v>Not applicable</x:v>
      </x:c>
      <x:c r="AI58" s="4" t="str">
        <x:v>Material</x:v>
      </x:c>
      <x:c r="AJ58" s="4" t="n">
        <x:f>COUNTIFS('Material routes'!$D$6:$D$1005,A58,'Material routes'!$C$6:$C$1005,"Output")</x:f>
        <x:v>1</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98</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resources; unworked metal; processed material; unworked metal; geological; electrical conduction; metal; solid piece; author direction; fabrication; t0; not applicable; material</x:v>
      </x:c>
      <x:c r="AF59" s="4" t="str">
        <x:v>From current item description. Proposed uses retain their existing approval status.</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resources; raw mineral; raw material; raw; geological; metal refining; mineral; rock; author direction; tool fabrication; t0; not applicable; material</x:v>
      </x:c>
      <x:c r="AF60" s="4" t="str">
        <x:v>From current item description. Proposed uses retain their existing approval status.</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resources; raw mineral; raw material; raw; geological; metal refining; mineral; rock; author direction; ; t0; not applicable; material</x:v>
      </x:c>
      <x:c r="AF61" s="4" t="str">
        <x:v>From current item description. Proposed uses retain their existing approval status.</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resources; unworked metal; processed material; unworked metal; geological; fabrication; metal; solid piece; author direction; ; t0; not applicable; material</x:v>
      </x:c>
      <x:c r="AF62" s="4" t="str">
        <x:v>From current item description. Proposed uses retain their existing approval status.</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resources; iron oxide mineral; raw material; raw; geological; metal refining; mineral; rock; author direction; ; t0; not applicable; material</x:v>
      </x:c>
      <x:c r="AF63" s="4" t="str">
        <x:v>From current item description. Proposed uses retain their existing approval status.</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resources; native nonmetal; raw material; raw; geological; chemical processing; mineral; rock; author direction; ; t0; not applicable; material</x:v>
      </x:c>
      <x:c r="AF64" s="4" t="str">
        <x:v>From current item description. Proposed uses retain their existing approval status.</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0</x:v>
      </x:c>
      <x:c r="AL64" s="4" t="n">
        <x:f>COUNTIFS('Material routes'!$D$6:$D$1005,A64,'Material routes'!$C$6:$C$1005,"Tool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resources; evaporite mineral; raw material; raw; geological; glass and ceramics; mineral; rock; proposal; ; t0; not applicable; material</x:v>
      </x:c>
      <x:c r="AF65" s="4" t="str">
        <x:v>From current item description. Proposed uses retain their existing approval status.</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2</x:v>
      </x:c>
      <x:c r="AL65" s="4" t="n">
        <x:f>COUNTIFS('Material routes'!$D$6:$D$1005,A65,'Material routes'!$C$6:$C$1005,"Tool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resources; sulfate mineral; raw material; raw; geological; glass and ceramics; mineral; rock; proposal; ; t0; not applicable; material</x:v>
      </x:c>
      <x:c r="AF66" s="4" t="str">
        <x:v>From current item description. Proposed uses retain their existing approval status.</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resources; industrial mineral; raw material; raw; geological; glass and ceramics; mineral; rock; proposal; surface finishing; t0; not applicable; material</x:v>
      </x:c>
      <x:c r="AF67" s="4" t="str">
        <x:v>From current item description. Proposed uses retain their existing approval status.</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resources; raw mineral; raw material; raw; geological; metal refining; mineral; rock; proposal; decoration; t0; not applicable; material</x:v>
      </x:c>
      <x:c r="AF68" s="4" t="str">
        <x:v>From current item description. Proposed uses retain their existing approval status.</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1</x:v>
      </x:c>
      <x:c r="AL68" s="4" t="n">
        <x:f>COUNTIFS('Material routes'!$D$6:$D$1005,A68,'Material routes'!$C$6:$C$1005,"Tool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resources; raw mineral; raw material; raw; geological; metal refining; mineral; rock; proposal; ; t0; not applicable; material</x:v>
      </x:c>
      <x:c r="AF69" s="4" t="str">
        <x:v>From current item description. Proposed uses retain their existing approval status.</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resources; raw mineral; raw material; raw; geological; metal refining; mineral; rock; proposal; ; t0; not applicable; material</x:v>
      </x:c>
      <x:c r="AF70" s="4" t="str">
        <x:v>From current item description. Proposed uses retain their existing approval status.</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resources; raw mineral; raw material; raw; geological; metal refining; mineral; rock; proposal; electrical conduction; t0; not applicable; material</x:v>
      </x:c>
      <x:c r="AF71" s="4" t="str">
        <x:v>From current item description. Proposed uses retain their existing approval status.</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resources; raw mineral; raw material; raw; geological; metal refining; mineral; rock; proposal; decoration; t0; not applicable; material</x:v>
      </x:c>
      <x:c r="AF72" s="4" t="str">
        <x:v>From current item description. Proposed uses retain their existing approval status.</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resources; industrial mineral; raw material; raw; geological; glass and ceramics; mineral; rock; proposal; metal refining; t0; not applicable; material</x:v>
      </x:c>
      <x:c r="AF73" s="4" t="str">
        <x:v>From current item description. Proposed uses retain their existing approval status.</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resources; raw mineral; raw material; raw; geological; metal refining; mineral; rock; proposal; ; t0; not applicable; material</x:v>
      </x:c>
      <x:c r="AF74" s="4" t="str">
        <x:v>From current item description. Proposed uses retain their existing approval status.</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resources; raw husk fiber; raw material; raw; fauna; paper making; shell / chitin; fiber; author direction; textile processing; t0; not applicable; material</x:v>
      </x:c>
      <x:c r="AF75" s="4" t="str">
        <x:v>From current item description. Proposed uses retain their existing approval status.</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2</x:v>
      </x:c>
      <x:c r="AL77" s="4" t="n">
        <x:f>COUNTIFS('Material routes'!$D$6:$D$1005,A77,'Material routes'!$C$6:$C$1005,"Tool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1</x:v>
      </x:c>
      <x:c r="AL78" s="4" t="n">
        <x:f>COUNTIFS('Material routes'!$D$6:$D$1005,A78,'Material routes'!$C$6:$C$1005,"Tool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resources; animal hide; raw material; raw; fauna; textile processing; hide; sheet; author direction; ; t0; not applicable; material</x:v>
      </x:c>
      <x:c r="AF79" s="4" t="str">
        <x:v>From current item description. Proposed uses retain their existing approval status.</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0</x:v>
      </x:c>
      <x:c r="AL80" s="4" t="n">
        <x:f>COUNTIFS('Material routes'!$D$6:$D$1005,A80,'Material routes'!$C$6:$C$1005,"Tool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80" customHeight="1">
      <x:c r="A81" s="9" t="str">
        <x:v>proposal.bio.edible_fraction</x:v>
      </x:c>
      <x:c r="B81" s="9" t="str">
        <x:v>Edible fauna fraction (species TBD)</x:v>
      </x:c>
      <x:c r="C81" s="4" t="str">
        <x:v>Unassigned</x:v>
      </x:c>
      <x:c r="D81" s="9" t="str">
        <x:v>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resources; food candidate; food material; unresolved; fauna; nutrition; faunal tissue; unresolved; author direction; ; unassigned; not applicable; material</x:v>
      </x:c>
      <x:c r="AF81" s="4" t="str">
        <x:v>From current item description. Proposed uses retain their existing approval status.</x:v>
      </x:c>
      <x:c r="AG81" s="4" t="str">
        <x:v>Choose a material/part route before assigning a tier. Processing-stage labels alone do not prove chain depth.</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0</x:v>
      </x:c>
      <x:c r="AL81" s="4" t="n">
        <x:f>COUNTIFS('Material routes'!$D$6:$D$1005,A81,'Material routes'!$C$6:$C$1005,"Tool candidate")</x:f>
        <x:v>0</x:v>
      </x:c>
      <x:c r="AM81" s="4" t="str">
        <x:f>IF(AJ81&gt;0,"Route listed; review status/completeness",IF(C81="T0","Raw entry feed; no production route","No production route listed"))</x:f>
        <x:v>No production route listed</x:v>
      </x:c>
      <x:c r="AN81" s="14" t="n">
        <x:f>IF(C81="T0",0,IF(C81="T1",1,IF(C81="T2",2,IF(C81="T3",3,IF(C81="T4",4,IF(C81="Unassigned",98,99))))))</x:f>
        <x:v>98</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resources; chemical material; chemical material; unresolved; fauna; chemical processing; biological chemical; unresolved; author direction; ; t0; not applicable; material</x:v>
      </x:c>
      <x:c r="AF82" s="4" t="str">
        <x:v>From current item description. Proposed uses retain their existing approval status.</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1</x:v>
      </x:c>
      <x:c r="AL82" s="4" t="n">
        <x:f>COUNTIFS('Material routes'!$D$6:$D$1005,A82,'Material routes'!$C$6:$C$1005,"Tool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resources; biological liquid material; chemical material; extracted material; fauna; chemical processing; biological chemical; liquid; author direction; ; t0; not applicable; material</x:v>
      </x:c>
      <x:c r="AF83" s="4" t="str">
        <x:v>From current item description. Proposed uses retain their existing approval status.</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1</x:v>
      </x:c>
      <x:c r="AL83" s="4" t="n">
        <x:f>COUNTIFS('Material routes'!$D$6:$D$1005,A83,'Material routes'!$C$6:$C$1005,"Tool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1</x:v>
      </x:c>
      <x:c r="AL84" s="4" t="n">
        <x:f>COUNTIFS('Material routes'!$D$6:$D$1005,A84,'Material routes'!$C$6:$C$1005,"Tool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resources; faunal chemical concept; chemical material; extracted material; fauna; equipment repair; biological chemical; unresolved; proposal; sealing; t0; not applicable; material</x:v>
      </x:c>
      <x:c r="AF87" s="4" t="str">
        <x:v>From current item description. Proposed uses retain their existing approval status.</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0</x:v>
      </x:c>
      <x:c r="AL88" s="4" t="n">
        <x:f>COUNTIFS('Material routes'!$D$6:$D$1005,A88,'Material routes'!$C$6:$C$1005,"Tool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resources; faunal chemical concept; chemical material; extracted material; fauna; lubrication; biological chemical; unresolved; proposal; sealing; t0; not applicable; material</x:v>
      </x:c>
      <x:c r="AF89" s="4" t="str">
        <x:v>From current item description. Proposed uses retain their existing approval status.</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resources; faunal chemical concept; chemical material; extracted material; fauna; electrical insulation; biological chemical; unresolved; proposal; ; t0; not applicable; material</x:v>
      </x:c>
      <x:c r="AF90" s="4" t="str">
        <x:v>From current item description. Proposed uses retain their existing approval status.</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resources; faunal chemical concept; chemical material; extracted material; fauna; electrical conduction; biological chemical; gel; proposal; ; t0; not applicable; material</x:v>
      </x:c>
      <x:c r="AF91" s="4" t="str">
        <x:v>From current item description. Proposed uses retain their existing approval status.</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resources; faunal chemical concept; chemical material; extracted material; fauna; material exclusion; biological chemical; unresolved; proposal; ; t0; not applicable; material</x:v>
      </x:c>
      <x:c r="AF93" s="4" t="str">
        <x:v>From current item description. Proposed uses retain their existing approval status.</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resources; faunal chemical concept; chemical material; extracted material; fauna; specialist samples; biological chemical; unresolved; proposal; ; t0; not applicable; material</x:v>
      </x:c>
      <x:c r="AF94" s="4" t="str">
        <x:v>From current item description. Proposed uses retain their existing approval status.</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resources; faunal chemical concept; chemical material; extracted material; fauna; fauna interaction; biological chemical; unresolved; proposal; ; t0; not applicable; material</x:v>
      </x:c>
      <x:c r="AF95" s="4" t="str">
        <x:v>From current item description. Proposed uses retain their existing approval status.</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unassigned; finished item</x:v>
      </x:c>
      <x:c r="AF96" s="4" t="str">
        <x:v>From current item description. Proposed uses retain their existing approval status.</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status/completeness",IF(C96="T0","Raw entry feed; no production route","No production route listed"))</x:f>
        <x:v>No production route listed</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unassigned; finished item</x:v>
      </x:c>
      <x:c r="AF97" s="4" t="str">
        <x:v>From current item description. Proposed uses retain their existing approval status.</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status/completeness",IF(C97="T0","Raw entry feed; no production route","No production route listed"))</x:f>
        <x:v>No production route listed</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unassigned; finished item</x:v>
      </x:c>
      <x:c r="AF98" s="4" t="str">
        <x:v>From current item description. Proposed uses retain their existing approval status.</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status/completeness",IF(C98="T0","Raw entry feed; no production route","No production route listed"))</x:f>
        <x:v>No production route listed</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unassigned; finished item</x:v>
      </x:c>
      <x:c r="AF99" s="4" t="str">
        <x:v>From current item description. Proposed uses retain their existing approval status.</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status/completeness",IF(C99="T0","Raw entry feed; no production route","No production route listed"))</x:f>
        <x:v>No production route listed</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unassigned; finished item</x:v>
      </x:c>
      <x:c r="AF100" s="4" t="str">
        <x:v>From current item description. Proposed uses retain their existing approval status.</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status/completeness",IF(C100="T0","Raw entry feed; no production route","No production route listed"))</x:f>
        <x:v>No production route listed</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F101" s="4" t="str">
        <x:v>From current item description. Proposed uses retain their existing approval status.</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status/completeness",IF(C101="T0","Raw entry feed; no production route","No production route listed"))</x:f>
        <x:v>No production route listed</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F102" s="4" t="str">
        <x:v>From current item description. Proposed uses retain their existing approval status.</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status/completeness",IF(C102="T0","Raw entry feed; no production route","No production route listed"))</x:f>
        <x:v>No production route listed</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unassigned; finished item</x:v>
      </x:c>
      <x:c r="AF103" s="4" t="str">
        <x:v>From current item description. Proposed uses retain their existing approval status.</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status/completeness",IF(C103="T0","Raw entry feed; no production route","No production route listed"))</x:f>
        <x:v>No production route listed</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unassigned; finished item</x:v>
      </x:c>
      <x:c r="AF104" s="4" t="str">
        <x:v>From current item description. Proposed uses retain their existing approval status.</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status/completeness",IF(C104="T0","Raw entry feed; no production route","No production route listed"))</x:f>
        <x:v>No production route listed</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unassigned; finished item</x:v>
      </x:c>
      <x:c r="AF105" s="4" t="str">
        <x:v>From current item description. Proposed uses retain their existing approval status.</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status/completeness",IF(C105="T0","Raw entry feed; no production route","No production route listed"))</x:f>
        <x:v>No production route listed</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unassigned; finished item</x:v>
      </x:c>
      <x:c r="AF106" s="4" t="str">
        <x:v>From current item description. Proposed uses retain their existing approval status.</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status/completeness",IF(C106="T0","Raw entry feed; no production route","No production route listed"))</x:f>
        <x:v>No production route listed</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unassigned; finished item</x:v>
      </x:c>
      <x:c r="AF107" s="4" t="str">
        <x:v>From current item description. Proposed uses retain their existing approval status.</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status/completeness",IF(C107="T0","Raw entry feed; no production route","No production route listed"))</x:f>
        <x:v>No production route listed</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unassigned; finished item</x:v>
      </x:c>
      <x:c r="AF108" s="4" t="str">
        <x:v>From current item description. Proposed uses retain their existing approval status.</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status/completeness",IF(C108="T0","Raw entry feed; no production route","No production route listed"))</x:f>
        <x:v>No production route listed</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unassigned; finished item</x:v>
      </x:c>
      <x:c r="AF109" s="4" t="str">
        <x:v>From current item description. Proposed uses retain their existing approval status.</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status/completeness",IF(C109="T0","Raw entry feed; no production route","No production route listed"))</x:f>
        <x:v>No production route listed</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00" customHeight="1">
      <x:c r="A110" s="9" t="str">
        <x:v>proposal.container.glass_stopper</x:v>
      </x:c>
      <x:c r="B110" s="9" t="str">
        <x:v>Matched glass stopper</x:v>
      </x:c>
      <x:c r="C110" s="4" t="str">
        <x:v>Unassigned</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unassigned; not applicable; component</x:v>
      </x:c>
      <x:c r="AF110" s="4" t="str">
        <x:v>From current item description. Proposed uses retain their existing approval status.</x:v>
      </x:c>
      <x:c r="AG110" s="4" t="str">
        <x:v>Choose a material/part route before assigning a tier. Processing-stage labels alone do not prove chain depth.</x:v>
      </x:c>
      <x:c r="AH110" s="4" t="str">
        <x:v>Not applicable</x:v>
      </x:c>
      <x:c r="AI110" s="4" t="str">
        <x:v>Component</x:v>
      </x:c>
      <x:c r="AJ110" s="4" t="n">
        <x:f>COUNTIFS('Material routes'!$D$6:$D$1005,A110,'Material routes'!$C$6:$C$1005,"Output")</x:f>
        <x:v>0</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status/completeness",IF(C110="T0","Raw entry feed; no production route","No production route listed"))</x:f>
        <x:v>No production route listed</x:v>
      </x:c>
      <x:c r="AN110" s="14" t="n">
        <x:f>IF(C110="T0",0,IF(C110="T1",1,IF(C110="T2",2,IF(C110="T3",3,IF(C110="T4",4,IF(C110="Unassigned",98,99))))))</x:f>
        <x:v>98</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00" customHeight="1">
      <x:c r="A111" s="9" t="str">
        <x:v>proposal.container.seal_collar</x:v>
      </x:c>
      <x:c r="B111" s="9" t="str">
        <x:v>Compression seal collar</x:v>
      </x:c>
      <x:c r="C111" s="4" t="str">
        <x:v>Unassigned</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unassigned; not applicable; component</x:v>
      </x:c>
      <x:c r="AF111" s="4" t="str">
        <x:v>From current item description. Proposed uses retain their existing approval status.</x:v>
      </x:c>
      <x:c r="AG111" s="4" t="str">
        <x:v>Choose a material/part route before assigning a tier. Processing-stage labels alone do not prove chain depth.</x:v>
      </x:c>
      <x:c r="AH111" s="4" t="str">
        <x:v>Not applicable</x:v>
      </x:c>
      <x:c r="AI111" s="4" t="str">
        <x:v>Component</x:v>
      </x:c>
      <x:c r="AJ111" s="4" t="n">
        <x:f>COUNTIFS('Material routes'!$D$6:$D$1005,A111,'Material routes'!$C$6:$C$1005,"Output")</x:f>
        <x:v>0</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status/completeness",IF(C111="T0","Raw entry feed; no production route","No production route listed"))</x:f>
        <x:v>No production route listed</x:v>
      </x:c>
      <x:c r="AN111" s="14" t="n">
        <x:f>IF(C111="T0",0,IF(C111="T1",1,IF(C111="T2",2,IF(C111="T3",3,IF(C111="T4",4,IF(C111="Unassigned",98,99))))))</x:f>
        <x:v>98</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str">
        <x:v>Equipment</x:v>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equipment; torso layer; armor; finished item; manufactured / unresolved; clothing; metal; garment; author direction; protection; chain mail shirt; not applicable; unassigned; finished item</x:v>
      </x:c>
      <x:c r="AF112" s="4" t="str">
        <x:v>From current item description. Proposed uses retain their existing approval status.</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status/completeness",IF(C112="T0","Raw entry feed; no production route","No production route listed"))</x:f>
        <x:v>No production route listed</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str">
        <x:v>Equipment</x:v>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equipment; whole-body assembly candidate; armor; finished item; manufactured / unresolved; protection; metal; assembly; author direction; ; not applicable; unassigned; finished item</x:v>
      </x:c>
      <x:c r="AF113" s="4" t="str">
        <x:v>From current item description. Proposed uses retain their existing approval status.</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status/completeness",IF(C113="T0","Raw entry feed; no production route","No production route listed"))</x:f>
        <x:v>No production route listed</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str">
        <x:v>Equipment</x:v>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equipment; torso plate; armor; finished item; manufactured / unresolved; protection; metal; assembly; author direction; ; not applicable; unassigned; finished item</x:v>
      </x:c>
      <x:c r="AF114" s="4" t="str">
        <x:v>From current item description. Proposed uses retain their existing approval status.</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str">
        <x:v>Equipment</x:v>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equipment; head; armor; finished item; manufactured / unresolved; protection; metal; assembly; author direction; ; not applicable; unassigned; finished item</x:v>
      </x:c>
      <x:c r="AF115" s="4" t="str">
        <x:v>From current item description. Proposed uses retain their existing approval status.</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status/completeness",IF(C115="T0","Raw entry feed; no production route","No production route listed"))</x:f>
        <x:v>No production route listed</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str">
        <x:v>Equipment</x:v>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equipment; lower limbs; armor; finished item; manufactured / unresolved; protection; metal; assembly; author direction; ; not applicable; unassigned; finished item</x:v>
      </x:c>
      <x:c r="AF116" s="4" t="str">
        <x:v>From current item description. Proposed uses retain their existing approval status.</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status/completeness",IF(C116="T0","Raw entry feed; no production route","No production route listed"))</x:f>
        <x:v>No production route listed</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str">
        <x:v>Equipment</x:v>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equipment; feet; wearable; finished item; manufactured / unresolved; protection; mixed / unresolved; garment; author direction; traversal; not applicable; unassigned; finished item</x:v>
      </x:c>
      <x:c r="AF117" s="4" t="str">
        <x:v>From current item description. Proposed uses retain their existing approval status.</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status/completeness",IF(C117="T0","Raw entry feed; no production route","No production route listed"))</x:f>
        <x:v>No production route listed</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str">
        <x:v>Equipment</x:v>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equipment; hands; wearable; finished item; manufactured / unresolved; protection; mixed / unresolved; garment; author direction; ; not applicable; unassigned; finished item</x:v>
      </x:c>
      <x:c r="AF118" s="4" t="str">
        <x:v>From current item description. Proposed uses retain their existing approval status.</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status/completeness",IF(C118="T0","Raw entry feed; no production route","No production route listed"))</x:f>
        <x:v>No production route listed</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str">
        <x:v>Equipment</x:v>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equipment; back-mounted carrier; carrier; finished item; manufactured / unresolved; cargo organization; mixed / unresolved; assembly; author direction; ; not applicable; unassigned; finished item</x:v>
      </x:c>
      <x:c r="AF119" s="4" t="str">
        <x:v>From current item description. Proposed uses retain their existing approval status.</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status/completeness",IF(C119="T0","Raw entry feed; no production route","No production route listed"))</x:f>
        <x:v>No production route listed</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str">
        <x:v>Equipment</x:v>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equipment; modular protection; armor; finished item; manufactured / unresolved; protection; metal; assembly; author direction; ; not applicable; unassigned; finished item</x:v>
      </x:c>
      <x:c r="AF120" s="4" t="str">
        <x:v>From current item description. Proposed uses retain their existing approval status.</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status/completeness",IF(C120="T0","Raw entry feed; no production route","No production route listed"))</x:f>
        <x:v>No production route listed</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str">
        <x:v>Equipment</x:v>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equipment; held / mounted defensive gear; shield; finished item; manufactured / unresolved; protection; mixed / unresolved; assembly; author direction; ; not applicable; unassigned; finished item</x:v>
      </x:c>
      <x:c r="AF121" s="4" t="str">
        <x:v>From current item description. Proposed uses retain their existing approval status.</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status/completeness",IF(C121="T0","Raw entry feed; no production route","No production route listed"))</x:f>
        <x:v>No production route listed</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unassigned; finished item</x:v>
      </x:c>
      <x:c r="AF122" s="4" t="str">
        <x:v>From current item description. Proposed uses retain their existing approval status.</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status/completeness",IF(C122="T0","Raw entry feed; no production route","No production route listed"))</x:f>
        <x:v>No production route listed</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80" customHeight="1">
      <x:c r="A123" s="9" t="str">
        <x:v>proposal.ancient.carbon_composite</x:v>
      </x:c>
      <x:c r="B123" s="9" t="str">
        <x:v>Ancient carbon composite</x:v>
      </x:c>
      <x:c r="C123" s="4" t="str">
        <x:v>Unassigned</x:v>
      </x:c>
      <x:c r="D123" s="9" t="str">
        <x:v>Resources</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resources; ancient manufactured material; processed material; ancient manufactured; ancient technology; use unresolved; ancient composite; unresolved; author direction; ; unassigned; unassigned; material</x:v>
      </x:c>
      <x:c r="AF123" s="4" t="str">
        <x:v>From current item description. Proposed uses retain their existing approval status.</x:v>
      </x:c>
      <x:c r="AG123" s="4" t="str">
        <x:v>Tier requires a chosen production route; recovered ancient material is not automatically T4.</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98</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80" customHeight="1">
      <x:c r="A124" s="9" t="str">
        <x:v>proposal.ancient.nanocarbon</x:v>
      </x:c>
      <x:c r="B124" s="9" t="str">
        <x:v>Ancient nanocarbon material</x:v>
      </x:c>
      <x:c r="C124" s="4" t="str">
        <x:v>Unassigned</x:v>
      </x:c>
      <x:c r="D124" s="9" t="str">
        <x:v>Resources</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resources; ancient manufactured material; processed material; ancient manufactured; ancient technology; use unresolved; ancient composite; unresolved; author direction; ; unassigned; unassigned; material</x:v>
      </x:c>
      <x:c r="AF124" s="4" t="str">
        <x:v>From current item description. Proposed uses retain their existing approval status.</x:v>
      </x:c>
      <x:c r="AG124" s="4" t="str">
        <x:v>Tier requires a chosen production route; recovered ancient material is not automatically T4.</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98</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80" customHeight="1">
      <x:c r="A125" s="9" t="str">
        <x:v>proposal.ancient.plasteel</x:v>
      </x:c>
      <x:c r="B125" s="9" t="str">
        <x:v>Ancient plasteel material</x:v>
      </x:c>
      <x:c r="C125" s="4" t="str">
        <x:v>Unassigned</x:v>
      </x:c>
      <x:c r="D125" s="9" t="str">
        <x:v>Resources</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resources; ancient manufactured material; processed material; ancient manufactured; ancient technology; use unresolved; ancient composite; unresolved; author direction; ; unassigned; unassigned; material</x:v>
      </x:c>
      <x:c r="AF125" s="4" t="str">
        <x:v>From current item description. Proposed uses retain their existing approval status.</x:v>
      </x:c>
      <x:c r="AG125" s="4" t="str">
        <x:v>Tier requires a chosen production route; recovered ancient material is not automatically T4.</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98</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str">
        <x:v>Equipment</x:v>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equipment; specialist eyewear; wearable; finished item; manufactured / unresolved; vision; mixed / unresolved; assembly; author direction; ; not applicable; unassigned; finished item</x:v>
      </x:c>
      <x:c r="AF126" s="4" t="str">
        <x:v>From current item description. Proposed uses retain their existing approval status.</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status/completeness",IF(C126="T0","Raw entry feed; no production route","No production route listed"))</x:f>
        <x:v>No production route listed</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str">
        <x:v>Equipment</x:v>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equipment; eyewear; wearable; finished item; manufactured / unresolved; vision; mixed / unresolved; assembly; author direction; ; not applicable; unassigned; finished item</x:v>
      </x:c>
      <x:c r="AF127" s="4" t="str">
        <x:v>From current item description. Proposed uses retain their existing approval status.</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status/completeness",IF(C127="T0","Raw entry feed; no production route","No production route listed"))</x:f>
        <x:v>No production route listed</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str">
        <x:v>Equipment</x:v>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equipment; headwear; wearable; finished item; manufactured / unresolved; clothing; mixed / unresolved; garment; author direction; fashion; not applicable; unassigned; finished item</x:v>
      </x:c>
      <x:c r="AF128" s="4" t="str">
        <x:v>From current item description. Proposed uses retain their existing approval status.</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status/completeness",IF(C128="T0","Raw entry feed; no production route","No production route listed"))</x:f>
        <x:v>No production route listed</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str">
        <x:v>Equipment</x:v>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equipment; fashion garment; wearable; finished item; manufactured / unresolved; fashion; husk fiber; garment; author direction; ; not applicable; unassigned; finished item</x:v>
      </x:c>
      <x:c r="AF129" s="4" t="str">
        <x:v>From current item description. Proposed uses retain their existing approval status.</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status/completeness",IF(C129="T0","Raw entry feed; no production route","No production route listed"))</x:f>
        <x:v>No production route listed</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str">
        <x:v>Equipment</x:v>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equipment; fashion garment; wearable; finished item; manufactured / unresolved; fashion; fur; garment; author direction; ; not applicable; unassigned; finished item</x:v>
      </x:c>
      <x:c r="AF130" s="4" t="str">
        <x:v>From current item description. Proposed uses retain their existing approval status.</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status/completeness",IF(C130="T0","Raw entry feed; no production route","No production route listed"))</x:f>
        <x:v>No production route listed</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str">
        <x:v>Equipment</x:v>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equipment; fashion garment; wearable; finished item; manufactured / unresolved; fashion; hide; garment; author direction; ; not applicable; unassigned; finished item</x:v>
      </x:c>
      <x:c r="AF131" s="4" t="str">
        <x:v>From current item description. Proposed uses retain their existing approval status.</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status/completeness",IF(C131="T0","Raw entry feed; no production route","No production route listed"))</x:f>
        <x:v>No production route listed</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resources; gemstone concept; gem material; unresolved; geological; decoration; gemstone; unresolved; proposal; ; t0; not applicable; material</x:v>
      </x:c>
      <x:c r="AF132" s="4" t="str">
        <x:v>From current item description. Proposed uses retain their existing approval status.</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resources; gemstone concept; gem material; unresolved; geological; decoration; gemstone; unresolved; proposal; ; t0; not applicable; material</x:v>
      </x:c>
      <x:c r="AF133" s="4" t="str">
        <x:v>From current item description. Proposed uses retain their existing approval status.</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resources; gemstone concept; gem material; unresolved; geological; decoration; gemstone; unresolved; proposal; ; t0; not applicable; material</x:v>
      </x:c>
      <x:c r="AF134" s="4" t="str">
        <x:v>From current item description. Proposed uses retain their existing approval status.</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resources; gemstone concept; gem material; unresolved; geological; decoration; gemstone; unresolved; proposal; ; t0; not applicable; material</x:v>
      </x:c>
      <x:c r="AF135" s="4" t="str">
        <x:v>From current item description. Proposed uses retain their existing approval status.</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resources; gemstone concept; gem material; unresolved; geological; decoration; gemstone; unresolved; proposal; ; t0; not applicable; material</x:v>
      </x:c>
      <x:c r="AF136" s="4" t="str">
        <x:v>From current item description. Proposed uses retain their existing approval status.</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resources; gemstone concept; gem material; unresolved; geological; decoration; gemstone; unresolved; proposal; ; t0; not applicable; material</x:v>
      </x:c>
      <x:c r="AF137" s="4" t="str">
        <x:v>From current item description. Proposed uses retain their existing approval status.</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resources; gemstone concept; gem material; unresolved; geological; decoration; gemstone; unresolved; proposal; ; t0; not applicable; material</x:v>
      </x:c>
      <x:c r="AF138" s="4" t="str">
        <x:v>From current item description. Proposed uses retain their existing approval status.</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resources; gemstone concept; gem material; unresolved; geological; decoration; gemstone; unresolved; proposal; ; t0; not applicable; material</x:v>
      </x:c>
      <x:c r="AF139" s="4" t="str">
        <x:v>From current item description. Proposed uses retain their existing approval status.</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str">
        <x:v>Equipment</x:v>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equipment; everyday clothing; wearable; finished item; manufactured / unresolved; clothing; mixed / unresolved; garment; author direction; ; not applicable; unassigned; finished item</x:v>
      </x:c>
      <x:c r="AF140" s="4" t="str">
        <x:v>From current item description. Proposed uses retain their existing approval status.</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status/completeness",IF(C140="T0","Raw entry feed; no production route","No production route listed"))</x:f>
        <x:v>No production route listed</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resources; wing material; raw material; raw; fauna; sun shading; wing membrane; membrane; author direction; sail membrane; wind propulsion; t0; not applicable; material</x:v>
      </x:c>
      <x:c r="AF141" s="4" t="str">
        <x:v>From current item description. Proposed uses retain their existing approval status.</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95" customHeight="1">
      <x:c r="A143" s="9" t="str">
        <x:v>proposal.canister.body_blank</x:v>
      </x:c>
      <x:c r="B143" s="9" t="str">
        <x:v>Canister body blank</x:v>
      </x:c>
      <x:c r="C143" s="4" t="str">
        <x:v>Unassigned</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unassigned; not applicable; component</x:v>
      </x:c>
      <x:c r="AF143" s="4" t="str">
        <x:v>From current item description. Proposed uses retain their existing approval status.</x:v>
      </x:c>
      <x:c r="AG143" s="4" t="str">
        <x:v>Choose a material/part route before assigning a tier. Processing-stage labels alone do not prove chain depth.</x:v>
      </x:c>
      <x:c r="AH143" s="4" t="str">
        <x:v>Not applicable</x:v>
      </x:c>
      <x:c r="AI143" s="4" t="str">
        <x:v>Component</x:v>
      </x:c>
      <x:c r="AJ143" s="4" t="n">
        <x:f>COUNTIFS('Material routes'!$D$6:$D$1005,A143,'Material routes'!$C$6:$C$1005,"Output")</x:f>
        <x:v>0</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status/completeness",IF(C143="T0","Raw entry feed; no production route","No production route listed"))</x:f>
        <x:v>No production route listed</x:v>
      </x:c>
      <x:c r="AN143" s="14" t="n">
        <x:f>IF(C143="T0",0,IF(C143="T1",1,IF(C143="T2",2,IF(C143="T3",3,IF(C143="T4",4,IF(C143="Unassigned",98,99))))))</x:f>
        <x:v>98</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95" customHeight="1">
      <x:c r="A144" s="9" t="str">
        <x:v>proposal.canister.seal_ring</x:v>
      </x:c>
      <x:c r="B144" s="9" t="str">
        <x:v>Replacement seal ring</x:v>
      </x:c>
      <x:c r="C144" s="4" t="str">
        <x:v>Unassigned</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unassigned; not applicable; component</x:v>
      </x:c>
      <x:c r="AF144" s="4" t="str">
        <x:v>From current item description. Proposed uses retain their existing approval status.</x:v>
      </x:c>
      <x:c r="AG144" s="4" t="str">
        <x:v>Choose a material/part route before assigning a tier. Processing-stage labels alone do not prove chain depth.</x:v>
      </x:c>
      <x:c r="AH144" s="4" t="str">
        <x:v>Not applicable</x:v>
      </x:c>
      <x:c r="AI144" s="4" t="str">
        <x:v>Component</x:v>
      </x:c>
      <x:c r="AJ144" s="4" t="n">
        <x:f>COUNTIFS('Material routes'!$D$6:$D$1005,A144,'Material routes'!$C$6:$C$1005,"Output")</x:f>
        <x:v>0</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status/completeness",IF(C144="T0","Raw entry feed; no production route","No production route listed"))</x:f>
        <x:v>No production route listed</x:v>
      </x:c>
      <x:c r="AN144" s="14" t="n">
        <x:f>IF(C144="T0",0,IF(C144="T1",1,IF(C144="T2",2,IF(C144="T3",3,IF(C144="T4",4,IF(C144="Unassigned",98,99))))))</x:f>
        <x:v>98</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95" customHeight="1">
      <x:c r="A145" s="9" t="str">
        <x:v>proposal.canister.seal_seat</x:v>
      </x:c>
      <x:c r="B145" s="9" t="str">
        <x:v>Fitted seal seat</x:v>
      </x:c>
      <x:c r="C145" s="4" t="str">
        <x:v>Unassigned</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unassigned; not applicable; component</x:v>
      </x:c>
      <x:c r="AF145" s="4" t="str">
        <x:v>From current item description. Proposed uses retain their existing approval status.</x:v>
      </x:c>
      <x:c r="AG145" s="4" t="str">
        <x:v>Choose a material/part route before assigning a tier. Processing-stage labels alone do not prove chain depth.</x:v>
      </x:c>
      <x:c r="AH145" s="4" t="str">
        <x:v>Not applicable</x:v>
      </x:c>
      <x:c r="AI145" s="4" t="str">
        <x:v>Component</x:v>
      </x:c>
      <x:c r="AJ145" s="4" t="n">
        <x:f>COUNTIFS('Material routes'!$D$6:$D$1005,A145,'Material routes'!$C$6:$C$1005,"Output")</x:f>
        <x:v>0</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status/completeness",IF(C145="T0","Raw entry feed; no production route","No production route listed"))</x:f>
        <x:v>No production route listed</x:v>
      </x:c>
      <x:c r="AN145" s="14" t="n">
        <x:f>IF(C145="T0",0,IF(C145="T1",1,IF(C145="T2",2,IF(C145="T3",3,IF(C145="T4",4,IF(C145="Unassigned",98,99))))))</x:f>
        <x:v>98</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routes'!$D$6:$D$1005,A146,'Material routes'!$C$6:$C$1005,"Output")</x:f>
        <x:v>1</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0</x:v>
      </x:c>
      <x:c r="AL146" s="4" t="n">
        <x:f>COUNTIFS('Material routes'!$D$6:$D$1005,A146,'Material routes'!$C$6:$C$1005,"Tool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95" customHeight="1">
      <x:c r="A147" s="9" t="str">
        <x:v>proposal.canister.feed_line</x:v>
      </x:c>
      <x:c r="B147" s="9" t="str">
        <x:v>Feed-line section</x:v>
      </x:c>
      <x:c r="C147" s="4" t="str">
        <x:v>Unassigned</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unassigned; not applicable; component</x:v>
      </x:c>
      <x:c r="AF147" s="4" t="str">
        <x:v>From current item description. Proposed uses retain their existing approval status.</x:v>
      </x:c>
      <x:c r="AG147" s="4" t="str">
        <x:v>Choose a material/part route before assigning a tier. Processing-stage labels alone do not prove chain depth.</x:v>
      </x:c>
      <x:c r="AH147" s="4" t="str">
        <x:v>Not applicable</x:v>
      </x:c>
      <x:c r="AI147" s="4" t="str">
        <x:v>Component</x:v>
      </x:c>
      <x:c r="AJ147" s="4" t="n">
        <x:f>COUNTIFS('Material routes'!$D$6:$D$1005,A147,'Material routes'!$C$6:$C$1005,"Output")</x:f>
        <x:v>0</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status/completeness",IF(C147="T0","Raw entry feed; no production route","No production route listed"))</x:f>
        <x:v>No production route listed</x:v>
      </x:c>
      <x:c r="AN147" s="14" t="n">
        <x:f>IF(C147="T0",0,IF(C147="T1",1,IF(C147="T2",2,IF(C147="T3",3,IF(C147="T4",4,IF(C147="Unassigned",98,99))))))</x:f>
        <x:v>98</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95" customHeight="1">
      <x:c r="A148" s="9" t="str">
        <x:v>proposal.canister.coupling</x:v>
      </x:c>
      <x:c r="B148" s="9" t="str">
        <x:v>Feed-line coupling</x:v>
      </x:c>
      <x:c r="C148" s="4" t="str">
        <x:v>Unassigned</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unassigned; not applicable; component</x:v>
      </x:c>
      <x:c r="AF148" s="4" t="str">
        <x:v>From current item description. Proposed uses retain their existing approval status.</x:v>
      </x:c>
      <x:c r="AG148" s="4" t="str">
        <x:v>Choose a material/part route before assigning a tier. Processing-stage labels alone do not prove chain depth.</x:v>
      </x:c>
      <x:c r="AH148" s="4" t="str">
        <x:v>Not applicable</x:v>
      </x:c>
      <x:c r="AI148" s="4" t="str">
        <x:v>Component</x:v>
      </x:c>
      <x:c r="AJ148" s="4" t="n">
        <x:f>COUNTIFS('Material routes'!$D$6:$D$1005,A148,'Material routes'!$C$6:$C$1005,"Output")</x:f>
        <x:v>0</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status/completeness",IF(C148="T0","Raw entry feed; no production route","No production route listed"))</x:f>
        <x:v>No production route listed</x:v>
      </x:c>
      <x:c r="AN148" s="14" t="n">
        <x:f>IF(C148="T0",0,IF(C148="T1",1,IF(C148="T2",2,IF(C148="T3",3,IF(C148="T4",4,IF(C148="Unassigned",98,99))))))</x:f>
        <x:v>98</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95" customHeight="1">
      <x:c r="A149" s="9" t="str">
        <x:v>proposal.canister.mouthpiece</x:v>
      </x:c>
      <x:c r="B149" s="9" t="str">
        <x:v>Canister mouthpiece interface</x:v>
      </x:c>
      <x:c r="C149" s="4" t="str">
        <x:v>Unassigned</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unassigned; not applicable; component</x:v>
      </x:c>
      <x:c r="AF149" s="4" t="str">
        <x:v>From current item description. Proposed uses retain their existing approval status.</x:v>
      </x:c>
      <x:c r="AG149" s="4" t="str">
        <x:v>Choose a material/part route before assigning a tier. Processing-stage labels alone do not prove chain depth.</x:v>
      </x:c>
      <x:c r="AH149" s="4" t="str">
        <x:v>Not applicable</x:v>
      </x:c>
      <x:c r="AI149" s="4" t="str">
        <x:v>Component</x:v>
      </x:c>
      <x:c r="AJ149" s="4" t="n">
        <x:f>COUNTIFS('Material routes'!$D$6:$D$1005,A149,'Material routes'!$C$6:$C$1005,"Output")</x:f>
        <x:v>0</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status/completeness",IF(C149="T0","Raw entry feed; no production route","No production route listed"))</x:f>
        <x:v>No production route listed</x:v>
      </x:c>
      <x:c r="AN149" s="14" t="n">
        <x:f>IF(C149="T0",0,IF(C149="T1",1,IF(C149="T2",2,IF(C149="T3",3,IF(C149="T4",4,IF(C149="Unassigned",98,99))))))</x:f>
        <x:v>98</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95" customHeight="1">
      <x:c r="A150" s="9" t="str">
        <x:v>proposal.canister.window</x:v>
      </x:c>
      <x:c r="B150" s="9" t="str">
        <x:v>Canister viewing-port insert</x:v>
      </x:c>
      <x:c r="C150" s="4" t="str">
        <x:v>Unassigned</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unassigned; not applicable; component</x:v>
      </x:c>
      <x:c r="AF150" s="4" t="str">
        <x:v>From current item description. Proposed uses retain their existing approval status.</x:v>
      </x:c>
      <x:c r="AG150" s="4" t="str">
        <x:v>Choose a material/part route before assigning a tier. Processing-stage labels alone do not prove chain depth.</x:v>
      </x:c>
      <x:c r="AH150" s="4" t="str">
        <x:v>Not applicable</x:v>
      </x:c>
      <x:c r="AI150" s="4" t="str">
        <x:v>Component</x:v>
      </x:c>
      <x:c r="AJ150" s="4" t="n">
        <x:f>COUNTIFS('Material routes'!$D$6:$D$1005,A150,'Material routes'!$C$6:$C$1005,"Output")</x:f>
        <x:v>0</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status/completeness",IF(C150="T0","Raw entry feed; no production route","No production route listed"))</x:f>
        <x:v>No production route listed</x:v>
      </x:c>
      <x:c r="AN150" s="14" t="n">
        <x:f>IF(C150="T0",0,IF(C150="T1",1,IF(C150="T2",2,IF(C150="T3",3,IF(C150="T4",4,IF(C150="Unassigned",98,99))))))</x:f>
        <x:v>98</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95" customHeight="1">
      <x:c r="A151" s="9" t="str">
        <x:v>proposal.canister.mount</x:v>
      </x:c>
      <x:c r="B151" s="9" t="str">
        <x:v>Canister mounting bracket</x:v>
      </x:c>
      <x:c r="C151" s="4" t="str">
        <x:v>Unassigned</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unassigned; not applicable; component</x:v>
      </x:c>
      <x:c r="AF151" s="4" t="str">
        <x:v>From current item description. Proposed uses retain their existing approval status.</x:v>
      </x:c>
      <x:c r="AG151" s="4" t="str">
        <x:v>Choose a material/part route before assigning a tier. Processing-stage labels alone do not prove chain depth.</x:v>
      </x:c>
      <x:c r="AH151" s="4" t="str">
        <x:v>Not applicable</x:v>
      </x:c>
      <x:c r="AI151" s="4" t="str">
        <x:v>Component</x:v>
      </x:c>
      <x:c r="AJ151" s="4" t="n">
        <x:f>COUNTIFS('Material routes'!$D$6:$D$1005,A151,'Material routes'!$C$6:$C$1005,"Output")</x:f>
        <x:v>0</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status/completeness",IF(C151="T0","Raw entry feed; no production route","No production route listed"))</x:f>
        <x:v>No production route listed</x:v>
      </x:c>
      <x:c r="AN151" s="14" t="n">
        <x:f>IF(C151="T0",0,IF(C151="T1",1,IF(C151="T2",2,IF(C151="T3",3,IF(C151="T4",4,IF(C151="Unassigned",98,99))))))</x:f>
        <x:v>98</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str">
        <x:v>Equipment</x:v>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equipment; canister economy concept; carrier; finished item; manufactured / unresolved; equipment mounting; mixed / unresolved; assembly; proposal; ; not applicable; unassigned; finished item</x:v>
      </x:c>
      <x:c r="AF152" s="4" t="str">
        <x:v>From current item description. Proposed uses retain their existing approval status.</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status/completeness",IF(C152="T0","Raw entry feed; no production route","No production route listed"))</x:f>
        <x:v>No production route listed</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str">
        <x:v>Equipment</x:v>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equipment; canister economy concept; tool; finished item; manufactured / unresolved; inspection; mixed / unresolved; assembly; proposal; ; not applicable; unassigned; finished item</x:v>
      </x:c>
      <x:c r="AF153" s="4" t="str">
        <x:v>From current item description. Proposed uses retain their existing approval status.</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status/completeness",IF(C153="T0","Raw entry feed; no production route","No production route listed"))</x:f>
        <x:v>No production route listed</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status/completeness",IF(C154="T0","Raw entry feed; no production route","No production route listed"))</x:f>
        <x:v>No production route listed</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95" customHeight="1">
      <x:c r="A155" s="9" t="str">
        <x:v>proposal.canister.maker_plate</x:v>
      </x:c>
      <x:c r="B155" s="9" t="str">
        <x:v>Canister maker plate</x:v>
      </x:c>
      <x:c r="C155" s="4" t="str">
        <x:v>Unassigned</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unassigned; not applicable; component</x:v>
      </x:c>
      <x:c r="AF155" s="4" t="str">
        <x:v>From current item description. Proposed uses retain their existing approval status.</x:v>
      </x:c>
      <x:c r="AG155" s="4" t="str">
        <x:v>Choose a material/part route before assigning a tier. Processing-stage labels alone do not prove chain depth.</x:v>
      </x:c>
      <x:c r="AH155" s="4" t="str">
        <x:v>Not applicable</x:v>
      </x:c>
      <x:c r="AI155" s="4" t="str">
        <x:v>Component</x:v>
      </x:c>
      <x:c r="AJ155" s="4" t="n">
        <x:f>COUNTIFS('Material routes'!$D$6:$D$1005,A155,'Material routes'!$C$6:$C$1005,"Output")</x:f>
        <x:v>0</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status/completeness",IF(C155="T0","Raw entry feed; no production route","No production route listed"))</x:f>
        <x:v>No production route listed</x:v>
      </x:c>
      <x:c r="AN155" s="14" t="n">
        <x:f>IF(C155="T0",0,IF(C155="T1",1,IF(C155="T2",2,IF(C155="T3",3,IF(C155="T4",4,IF(C155="Unassigned",98,99))))))</x:f>
        <x:v>98</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95" customHeight="1">
      <x:c r="A156" s="9" t="str">
        <x:v>proposal.canister.trim</x:v>
      </x:c>
      <x:c r="B156" s="9" t="str">
        <x:v>Decorative canister panel</x:v>
      </x:c>
      <x:c r="C156" s="4" t="str">
        <x:v>Unassigned</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unassigned; not applicable; component</x:v>
      </x:c>
      <x:c r="AF156" s="4" t="str">
        <x:v>From current item description. Proposed uses retain their existing approval status.</x:v>
      </x:c>
      <x:c r="AG156" s="4" t="str">
        <x:v>Choose a material/part route before assigning a tier. Processing-stage labels alone do not prove chain depth.</x:v>
      </x:c>
      <x:c r="AH156" s="4" t="str">
        <x:v>Not applicable</x:v>
      </x:c>
      <x:c r="AI156" s="4" t="str">
        <x:v>Component</x:v>
      </x:c>
      <x:c r="AJ156" s="4" t="n">
        <x:f>COUNTIFS('Material routes'!$D$6:$D$1005,A156,'Material routes'!$C$6:$C$1005,"Output")</x:f>
        <x:v>0</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status/completeness",IF(C156="T0","Raw entry feed; no production route","No production route listed"))</x:f>
        <x:v>No production route listed</x:v>
      </x:c>
      <x:c r="AN156" s="14" t="n">
        <x:f>IF(C156="T0",0,IF(C156="T1",1,IF(C156="T2",2,IF(C156="T3",3,IF(C156="T4",4,IF(C156="Unassigned",98,99))))))</x:f>
        <x:v>98</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95" customHeight="1">
      <x:c r="A157" s="9" t="str">
        <x:v>proposal.canister.endcap</x:v>
      </x:c>
      <x:c r="B157" s="9" t="str">
        <x:v>Canister protective endcap</x:v>
      </x:c>
      <x:c r="C157" s="4" t="str">
        <x:v>Unassigned</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unassigned; not applicable; component</x:v>
      </x:c>
      <x:c r="AF157" s="4" t="str">
        <x:v>From current item description. Proposed uses retain their existing approval status.</x:v>
      </x:c>
      <x:c r="AG157" s="4" t="str">
        <x:v>Choose a material/part route before assigning a tier. Processing-stage labels alone do not prove chain depth.</x:v>
      </x:c>
      <x:c r="AH157" s="4" t="str">
        <x:v>Not applicable</x:v>
      </x:c>
      <x:c r="AI157" s="4" t="str">
        <x:v>Component</x:v>
      </x:c>
      <x:c r="AJ157" s="4" t="n">
        <x:f>COUNTIFS('Material routes'!$D$6:$D$1005,A157,'Material routes'!$C$6:$C$1005,"Output")</x:f>
        <x:v>0</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status/completeness",IF(C157="T0","Raw entry feed; no production route","No production route listed"))</x:f>
        <x:v>No production route listed</x:v>
      </x:c>
      <x:c r="AN157" s="14" t="n">
        <x:f>IF(C157="T0",0,IF(C157="T1",1,IF(C157="T2",2,IF(C157="T3",3,IF(C157="T4",4,IF(C157="Unassigned",98,99))))))</x:f>
        <x:v>98</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unassigned; finished item</x:v>
      </x:c>
      <x:c r="AF158" s="4" t="str">
        <x:v>From current item description. Proposed uses retain their existing approval status.</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status/completeness",IF(C158="T0","Raw entry feed; no production route","No production route listed"))</x:f>
        <x:v>No production route listed</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unassigned; finished item</x:v>
      </x:c>
      <x:c r="AF159" s="4" t="str">
        <x:v>From current item description. Proposed uses retain their existing approval status.</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status/completeness",IF(C159="T0","Raw entry feed; no production route","No production route listed"))</x:f>
        <x:v>No production route listed</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unassigned; finished item</x:v>
      </x:c>
      <x:c r="AF160" s="4" t="str">
        <x:v>From current item description. Proposed uses retain their existing approval status.</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status/completeness",IF(C160="T0","Raw entry feed; no production route","No production route listed"))</x:f>
        <x:v>No production route listed</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unassigned; finished item</x:v>
      </x:c>
      <x:c r="AF161" s="4" t="str">
        <x:v>From current item description. Proposed uses retain their existing approval status.</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status/completeness",IF(C161="T0","Raw entry feed; no production route","No production route listed"))</x:f>
        <x:v>No production route listed</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unassigned; finished item</x:v>
      </x:c>
      <x:c r="AF162" s="4" t="str">
        <x:v>From current item description. Proposed uses retain their existing approval status.</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unassigned; finished item</x:v>
      </x:c>
      <x:c r="AF163" s="4" t="str">
        <x:v>From current item description. Proposed uses retain their existing approval status.</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status/completeness",IF(C163="T0","Raw entry feed; no production route","No production route listed"))</x:f>
        <x:v>No production route listed</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unassigned; finished item</x:v>
      </x:c>
      <x:c r="AF164" s="4" t="str">
        <x:v>From current item description. Proposed uses retain their existing approval status.</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status/completeness",IF(C164="T0","Raw entry feed; no production route","No production route listed"))</x:f>
        <x:v>No production route listed</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F165" s="4" t="str">
        <x:v>From current item description. Proposed uses retain their existing approval status.</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status/completeness",IF(C165="T0","Raw entry feed; no production route","No production route listed"))</x:f>
        <x:v>No production route listed</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F166" s="4" t="str">
        <x:v>From current item description. Proposed uses retain their existing approval status.</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status/completeness",IF(C166="T0","Raw entry feed; no production route","No production route listed"))</x:f>
        <x:v>No production route listed</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unassigned; finished item</x:v>
      </x:c>
      <x:c r="AF167" s="4" t="str">
        <x:v>From current item description. Proposed uses retain their existing approval status.</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status/completeness",IF(C167="T0","Raw entry feed; no production route","No production route listed"))</x:f>
        <x:v>No production route listed</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unassigned; finished item</x:v>
      </x:c>
      <x:c r="AF168" s="4" t="str">
        <x:v>From current item description. Proposed uses retain their existing approval status.</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status/completeness",IF(C168="T0","Raw entry feed; no production route","No production route listed"))</x:f>
        <x:v>No production route listed</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unassigned; finished item</x:v>
      </x:c>
      <x:c r="AF169" s="4" t="str">
        <x:v>From current item description. Proposed uses retain their existing approval status.</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status/completeness",IF(C169="T0","Raw entry feed; no production route","No production route listed"))</x:f>
        <x:v>No production route listed</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unassigned; finished item</x:v>
      </x:c>
      <x:c r="AF170" s="4" t="str">
        <x:v>From current item description. Proposed uses retain their existing approval status.</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status/completeness",IF(C170="T0","Raw entry feed; no production route","No production route listed"))</x:f>
        <x:v>No production route listed</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unassigned; finished item</x:v>
      </x:c>
      <x:c r="AF171" s="4" t="str">
        <x:v>From current item description. Proposed uses retain their existing approval status.</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status/completeness",IF(C171="T0","Raw entry feed; no production route","No production route listed"))</x:f>
        <x:v>No production route listed</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unassigned; finished item</x:v>
      </x:c>
      <x:c r="AF172" s="4" t="str">
        <x:v>From current item description. Proposed uses retain their existing approval status.</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status/completeness",IF(C172="T0","Raw entry feed; no production route","No production route listed"))</x:f>
        <x:v>No production route listed</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unassigned; finished item</x:v>
      </x:c>
      <x:c r="AF173" s="4" t="str">
        <x:v>From current item description. Proposed uses retain their existing approval status.</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status/completeness",IF(C173="T0","Raw entry feed; no production route","No production route listed"))</x:f>
        <x:v>No production route listed</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unassigned; finished item</x:v>
      </x:c>
      <x:c r="AF174" s="4" t="str">
        <x:v>From current item description. Proposed uses retain their existing approval status.</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status/completeness",IF(C174="T0","Raw entry feed; no production route","No production route listed"))</x:f>
        <x:v>No production route listed</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unassigned; finished item</x:v>
      </x:c>
      <x:c r="AF175" s="4" t="str">
        <x:v>From current item description. Proposed uses retain their existing approval status.</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status/completeness",IF(C175="T0","Raw entry feed; no production route","No production route listed"))</x:f>
        <x:v>No production route listed</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unassigned; finished item</x:v>
      </x:c>
      <x:c r="AF176" s="4" t="str">
        <x:v>From current item description. Proposed uses retain their existing approval status.</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status/completeness",IF(C176="T0","Raw entry feed; no production route","No production route listed"))</x:f>
        <x:v>No production route listed</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unassigned; finished item</x:v>
      </x:c>
      <x:c r="AF177" s="4" t="str">
        <x:v>From current item description. Proposed uses retain their existing approval status.</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status/completeness",IF(C177="T0","Raw entry feed; no production route","No production route listed"))</x:f>
        <x:v>No production route listed</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unassigned; finished item</x:v>
      </x:c>
      <x:c r="AF178" s="4" t="str">
        <x:v>From current item description. Proposed uses retain their existing approval status.</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status/completeness",IF(C178="T0","Raw entry feed; no production route","No production route listed"))</x:f>
        <x:v>No production route listed</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unassigned; finished item</x:v>
      </x:c>
      <x:c r="AF179" s="4" t="str">
        <x:v>From current item description. Proposed uses retain their existing approval status.</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status/completeness",IF(C179="T0","Raw entry feed; no production route","No production route listed"))</x:f>
        <x:v>No production route listed</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unassigned; finished item</x:v>
      </x:c>
      <x:c r="AF180" s="4" t="str">
        <x:v>From current item description. Proposed uses retain their existing approval status.</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status/completeness",IF(C180="T0","Raw entry feed; no production route","No production route listed"))</x:f>
        <x:v>No production route listed</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unassigned; finished item</x:v>
      </x:c>
      <x:c r="AF181" s="4" t="str">
        <x:v>From current item description. Proposed uses retain their existing approval status.</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status/completeness",IF(C181="T0","Raw entry feed; no production route","No production route listed"))</x:f>
        <x:v>No production route listed</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Resources</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resources;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1</x:v>
      </x:c>
      <x:c r="AL182" s="4" t="n">
        <x:f>COUNTIFS('Material routes'!$D$6:$D$1005,A182,'Material routes'!$C$6:$C$1005,"Tool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Resources</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resources;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2</x:v>
      </x:c>
      <x:c r="AL183" s="4" t="n">
        <x:f>COUNTIFS('Material routes'!$D$6:$D$1005,A183,'Material routes'!$C$6:$C$1005,"Tool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Resources</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resources;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1</x:v>
      </x:c>
      <x:c r="AL184" s="4" t="n">
        <x:f>COUNTIFS('Material routes'!$D$6:$D$1005,A184,'Material routes'!$C$6:$C$1005,"Tool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05" customHeight="1">
      <x:c r="A185" s="9" t="str">
        <x:v>proposal.ceramic.unfired_blank</x:v>
      </x:c>
      <x:c r="B185" s="9" t="str">
        <x:v>Unfired shaped ceramic blank</x:v>
      </x:c>
      <x:c r="C185" s="4" t="str">
        <x:v>Unassigned</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unassigned; not applicable; component</x:v>
      </x:c>
      <x:c r="AF185" s="4" t="str">
        <x:v>Specific item proposed from author ceramics direction; functional and material limits remain unresolved.</x:v>
      </x:c>
      <x:c r="AG185" s="4" t="str">
        <x:v>Choose a material/part route before assigning a tier. Processing-stage labels alone do not prove chain depth.</x:v>
      </x:c>
      <x:c r="AH185" s="4" t="str">
        <x:v>Not applicable</x:v>
      </x:c>
      <x:c r="AI185" s="4" t="str">
        <x:v>Component</x:v>
      </x:c>
      <x:c r="AJ185" s="4" t="n">
        <x:f>COUNTIFS('Material routes'!$D$6:$D$1005,A185,'Material routes'!$C$6:$C$1005,"Output")</x:f>
        <x:v>0</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status/completeness",IF(C185="T0","Raw entry feed; no production route","No production route listed"))</x:f>
        <x:v>No production route listed</x:v>
      </x:c>
      <x:c r="AN185" s="14" t="n">
        <x:f>IF(C185="T0",0,IF(C185="T1",1,IF(C185="T2",2,IF(C185="T3",3,IF(C185="T4",4,IF(C185="Unassigned",98,99))))))</x:f>
        <x:v>98</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unassigned;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unassigned;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status/completeness",IF(C187="T0","Raw entry feed; no production route","No production route listed"))</x:f>
        <x:v>No production route listed</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unassigned;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status/completeness",IF(C188="T0","Raw entry feed; no production route","No production route listed"))</x:f>
        <x:v>No production route listed</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status/completeness",IF(C189="T0","Raw entry feed; no production route","No production route listed"))</x:f>
        <x:v>No production route listed</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str">
        <x:v>Equipment</x:v>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equipment; ceramic workshop; tool; finished item; manufactured / unresolved; metal refining; ceramic; solid part; proposal; glass and ceramics; pottery; not applicable; unassigned; finished item</x:v>
      </x:c>
      <x:c r="AF190" s="4" t="str">
        <x:v>Specific item proposed from author ceramics direction; functional and material limits remain unresolved.</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1</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str">
        <x:v>Equipment</x:v>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equipment; ceramic workshop; tool; finished item; manufactured / unresolved; fabrication; ceramic; solid part; proposal; metal refining; pottery; not applicable; unassigned; finished item</x:v>
      </x:c>
      <x:c r="AF191" s="4" t="str">
        <x:v>Specific item proposed from author ceramics direction; functional and material limits remain unresolved.</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status/completeness",IF(C191="T0","Raw entry feed; no production route","No production route listed"))</x:f>
        <x:v>No production route listed</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str">
        <x:v>Equipment</x:v>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equipment; ceramic workshop; tool; finished item; manufactured / unresolved; chemical processing; ceramic; solid part; proposal; glass and ceramics; pottery; not applicable; unassigned; finished item</x:v>
      </x:c>
      <x:c r="AF192" s="4" t="str">
        <x:v>Specific item proposed from author ceramics direction; functional and material limits remain unresolved.</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status/completeness",IF(C192="T0","Raw entry feed; no production route","No production route listed"))</x:f>
        <x:v>No production route listed</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str">
        <x:v>Equipment</x:v>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equipment; ceramic workshop; tool; finished item; manufactured / unresolved; chemical processing; ceramic; solid part; proposal; glass and ceramics; pottery; not applicable; unassigned; finished item</x:v>
      </x:c>
      <x:c r="AF193" s="4" t="str">
        <x:v>Specific item proposed from author ceramics direction; functional and material limits remain unresolved.</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status/completeness",IF(C193="T0","Raw entry feed; no production route","No production route listed"))</x:f>
        <x:v>No production route listed</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str">
        <x:v>Equipment</x:v>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equipment; ceramic workshop; tool; finished item; manufactured / unresolved; glass and ceramics; ceramic; panel; proposal; pottery; not applicable; unassigned; finished item</x:v>
      </x:c>
      <x:c r="AF194" s="4" t="str">
        <x:v>Specific item proposed from author ceramics direction; functional and material limits remain unresolved.</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status/completeness",IF(C194="T0","Raw entry feed; no production route","No production route listed"))</x:f>
        <x:v>No production route listed</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05" customHeight="1">
      <x:c r="A195" s="9" t="str">
        <x:v>proposal.ceramic.refractory_brick</x:v>
      </x:c>
      <x:c r="B195" s="9" t="str">
        <x:v>Refractory ceramic brick</x:v>
      </x:c>
      <x:c r="C195" s="4" t="str">
        <x:v>Unassigned</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unassigned; not applicable; component</x:v>
      </x:c>
      <x:c r="AF195" s="4" t="str">
        <x:v>Specific item proposed from author ceramics direction; functional and material limits remain unresolved.</x:v>
      </x:c>
      <x:c r="AG195" s="4" t="str">
        <x:v>Choose a material/part route before assigning a tier. Processing-stage labels alone do not prove chain depth.</x:v>
      </x:c>
      <x:c r="AH195" s="4" t="str">
        <x:v>Not applicable</x:v>
      </x:c>
      <x:c r="AI195" s="4" t="str">
        <x:v>Component</x:v>
      </x:c>
      <x:c r="AJ195" s="4" t="n">
        <x:f>COUNTIFS('Material routes'!$D$6:$D$1005,A195,'Material routes'!$C$6:$C$1005,"Output")</x:f>
        <x:v>0</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status/completeness",IF(C195="T0","Raw entry feed; no production route","No production route listed"))</x:f>
        <x:v>No production route listed</x:v>
      </x:c>
      <x:c r="AN195" s="14" t="n">
        <x:f>IF(C195="T0",0,IF(C195="T1",1,IF(C195="T2",2,IF(C195="T3",3,IF(C195="T4",4,IF(C195="Unassigned",98,99))))))</x:f>
        <x:v>98</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05" customHeight="1">
      <x:c r="A196" s="9" t="str">
        <x:v>proposal.ceramic.kiln_liner</x:v>
      </x:c>
      <x:c r="B196" s="9" t="str">
        <x:v>Ceramic kiln lining panel</x:v>
      </x:c>
      <x:c r="C196" s="4" t="str">
        <x:v>Unassigned</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unassigned; not applicable; component</x:v>
      </x:c>
      <x:c r="AF196" s="4" t="str">
        <x:v>Specific item proposed from author ceramics direction; functional and material limits remain unresolved.</x:v>
      </x:c>
      <x:c r="AG196" s="4" t="str">
        <x:v>Choose a material/part route before assigning a tier. Processing-stage labels alone do not prove chain depth.</x:v>
      </x:c>
      <x:c r="AH196" s="4" t="str">
        <x:v>Not applicable</x:v>
      </x:c>
      <x:c r="AI196" s="4" t="str">
        <x:v>Component</x:v>
      </x:c>
      <x:c r="AJ196" s="4" t="n">
        <x:f>COUNTIFS('Material routes'!$D$6:$D$1005,A196,'Material routes'!$C$6:$C$1005,"Output")</x:f>
        <x:v>0</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status/completeness",IF(C196="T0","Raw entry feed; no production route","No production route listed"))</x:f>
        <x:v>No production route listed</x:v>
      </x:c>
      <x:c r="AN196" s="14" t="n">
        <x:f>IF(C196="T0",0,IF(C196="T1",1,IF(C196="T2",2,IF(C196="T3",3,IF(C196="T4",4,IF(C196="Unassigned",98,99))))))</x:f>
        <x:v>98</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05" customHeight="1">
      <x:c r="A197" s="9" t="str">
        <x:v>proposal.ceramic.bead</x:v>
      </x:c>
      <x:c r="B197" s="9" t="str">
        <x:v>Ceramic insulating bead</x:v>
      </x:c>
      <x:c r="C197" s="4" t="str">
        <x:v>Unassigned</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unassigned; not applicable; component</x:v>
      </x:c>
      <x:c r="AF197" s="4" t="str">
        <x:v>Specific item proposed from author ceramics direction; functional and material limits remain unresolved.</x:v>
      </x:c>
      <x:c r="AG197" s="4" t="str">
        <x:v>Choose a material/part route before assigning a tier. Processing-stage labels alone do not prove chain depth.</x:v>
      </x:c>
      <x:c r="AH197" s="4" t="str">
        <x:v>Not applicable</x:v>
      </x:c>
      <x:c r="AI197" s="4" t="str">
        <x:v>Component</x:v>
      </x:c>
      <x:c r="AJ197" s="4" t="n">
        <x:f>COUNTIFS('Material routes'!$D$6:$D$1005,A197,'Material routes'!$C$6:$C$1005,"Output")</x:f>
        <x:v>0</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status/completeness",IF(C197="T0","Raw entry feed; no production route","No production route listed"))</x:f>
        <x:v>No production route listed</x:v>
      </x:c>
      <x:c r="AN197" s="14" t="n">
        <x:f>IF(C197="T0",0,IF(C197="T1",1,IF(C197="T2",2,IF(C197="T3",3,IF(C197="T4",4,IF(C197="Unassigned",98,99))))))</x:f>
        <x:v>98</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05" customHeight="1">
      <x:c r="A198" s="9" t="str">
        <x:v>proposal.ceramic.spacer</x:v>
      </x:c>
      <x:c r="B198" s="9" t="str">
        <x:v>Ceramic insulating spacer</x:v>
      </x:c>
      <x:c r="C198" s="4" t="str">
        <x:v>Unassigned</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unassigned; not applicable; component</x:v>
      </x:c>
      <x:c r="AF198" s="4" t="str">
        <x:v>Specific item proposed from author ceramics direction; functional and material limits remain unresolved.</x:v>
      </x:c>
      <x:c r="AG198" s="4" t="str">
        <x:v>Choose a material/part route before assigning a tier. Processing-stage labels alone do not prove chain depth.</x:v>
      </x:c>
      <x:c r="AH198" s="4" t="str">
        <x:v>Not applicable</x:v>
      </x:c>
      <x:c r="AI198" s="4" t="str">
        <x:v>Component</x:v>
      </x:c>
      <x:c r="AJ198" s="4" t="n">
        <x:f>COUNTIFS('Material routes'!$D$6:$D$1005,A198,'Material routes'!$C$6:$C$1005,"Output")</x:f>
        <x:v>0</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status/completeness",IF(C198="T0","Raw entry feed; no production route","No production route listed"))</x:f>
        <x:v>No production route listed</x:v>
      </x:c>
      <x:c r="AN198" s="14" t="n">
        <x:f>IF(C198="T0",0,IF(C198="T1",1,IF(C198="T2",2,IF(C198="T3",3,IF(C198="T4",4,IF(C198="Unassigned",98,99))))))</x:f>
        <x:v>98</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05" customHeight="1">
      <x:c r="A199" s="9" t="str">
        <x:v>proposal.ceramic.feedthrough</x:v>
      </x:c>
      <x:c r="B199" s="9" t="str">
        <x:v>Ceramic electrical feedthrough</x:v>
      </x:c>
      <x:c r="C199" s="4" t="str">
        <x:v>Unassigned</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unassigned; not applicable; component</x:v>
      </x:c>
      <x:c r="AF199" s="4" t="str">
        <x:v>Specific item proposed from author ceramics direction; functional and material limits remain unresolved.</x:v>
      </x:c>
      <x:c r="AG199" s="4" t="str">
        <x:v>Choose a material/part route before assigning a tier. Processing-stage labels alone do not prove chain depth.</x:v>
      </x:c>
      <x:c r="AH199" s="4" t="str">
        <x:v>Not applicable</x:v>
      </x:c>
      <x:c r="AI199" s="4" t="str">
        <x:v>Component</x:v>
      </x:c>
      <x:c r="AJ199" s="4" t="n">
        <x:f>COUNTIFS('Material routes'!$D$6:$D$1005,A199,'Material routes'!$C$6:$C$1005,"Output")</x:f>
        <x:v>0</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status/completeness",IF(C199="T0","Raw entry feed; no production route","No production route listed"))</x:f>
        <x:v>No production route listed</x:v>
      </x:c>
      <x:c r="AN199" s="14" t="n">
        <x:f>IF(C199="T0",0,IF(C199="T1",1,IF(C199="T2",2,IF(C199="T3",3,IF(C199="T4",4,IF(C199="Unassigned",98,99))))))</x:f>
        <x:v>98</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05" customHeight="1">
      <x:c r="A200" s="9" t="str">
        <x:v>proposal.ceramic.stopper</x:v>
      </x:c>
      <x:c r="B200" s="9" t="str">
        <x:v>Fitted ceramic stopper</x:v>
      </x:c>
      <x:c r="C200" s="4" t="str">
        <x:v>Unassigned</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unassigned; not applicable; component</x:v>
      </x:c>
      <x:c r="AF200" s="4" t="str">
        <x:v>Specific item proposed from author ceramics direction; functional and material limits remain unresolved.</x:v>
      </x:c>
      <x:c r="AG200" s="4" t="str">
        <x:v>Choose a material/part route before assigning a tier. Processing-stage labels alone do not prove chain depth.</x:v>
      </x:c>
      <x:c r="AH200" s="4" t="str">
        <x:v>Not applicable</x:v>
      </x:c>
      <x:c r="AI200" s="4" t="str">
        <x:v>Component</x:v>
      </x:c>
      <x:c r="AJ200" s="4" t="n">
        <x:f>COUNTIFS('Material routes'!$D$6:$D$1005,A200,'Material routes'!$C$6:$C$1005,"Output")</x:f>
        <x:v>0</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status/completeness",IF(C200="T0","Raw entry feed; no production route","No production route listed"))</x:f>
        <x:v>No production route listed</x:v>
      </x:c>
      <x:c r="AN200" s="14" t="n">
        <x:f>IF(C200="T0",0,IF(C200="T1",1,IF(C200="T2",2,IF(C200="T3",3,IF(C200="T4",4,IF(C200="Unassigned",98,99))))))</x:f>
        <x:v>98</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05" customHeight="1">
      <x:c r="A201" s="9" t="str">
        <x:v>proposal.ceramic.lid</x:v>
      </x:c>
      <x:c r="B201" s="9" t="str">
        <x:v>Ceramic vessel lid</x:v>
      </x:c>
      <x:c r="C201" s="4" t="str">
        <x:v>Unassigned</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unassigned; not applicable; component</x:v>
      </x:c>
      <x:c r="AF201" s="4" t="str">
        <x:v>Specific item proposed from author ceramics direction; functional and material limits remain unresolved.</x:v>
      </x:c>
      <x:c r="AG201" s="4" t="str">
        <x:v>Choose a material/part route before assigning a tier. Processing-stage labels alone do not prove chain depth.</x:v>
      </x:c>
      <x:c r="AH201" s="4" t="str">
        <x:v>Not applicable</x:v>
      </x:c>
      <x:c r="AI201" s="4" t="str">
        <x:v>Component</x:v>
      </x:c>
      <x:c r="AJ201" s="4" t="n">
        <x:f>COUNTIFS('Material routes'!$D$6:$D$1005,A201,'Material routes'!$C$6:$C$1005,"Output")</x:f>
        <x:v>0</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status/completeness",IF(C201="T0","Raw entry feed; no production route","No production route listed"))</x:f>
        <x:v>No production route listed</x:v>
      </x:c>
      <x:c r="AN201" s="14" t="n">
        <x:f>IF(C201="T0",0,IF(C201="T1",1,IF(C201="T2",2,IF(C201="T3",3,IF(C201="T4",4,IF(C201="Unassigned",98,99))))))</x:f>
        <x:v>98</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05" customHeight="1">
      <x:c r="A202" s="9" t="str">
        <x:v>proposal.ceramic.pour_spout</x:v>
      </x:c>
      <x:c r="B202" s="9" t="str">
        <x:v>Ceramic pouring spout</x:v>
      </x:c>
      <x:c r="C202" s="4" t="str">
        <x:v>Unassigned</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unassigned; not applicable; component</x:v>
      </x:c>
      <x:c r="AF202" s="4" t="str">
        <x:v>Specific item proposed from author ceramics direction; functional and material limits remain unresolved.</x:v>
      </x:c>
      <x:c r="AG202" s="4" t="str">
        <x:v>Choose a material/part route before assigning a tier. Processing-stage labels alone do not prove chain depth.</x:v>
      </x:c>
      <x:c r="AH202" s="4" t="str">
        <x:v>Not applicable</x:v>
      </x:c>
      <x:c r="AI202" s="4" t="str">
        <x:v>Component</x:v>
      </x:c>
      <x:c r="AJ202" s="4" t="n">
        <x:f>COUNTIFS('Material routes'!$D$6:$D$1005,A202,'Material routes'!$C$6:$C$1005,"Output")</x:f>
        <x:v>0</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status/completeness",IF(C202="T0","Raw entry feed; no production route","No production route listed"))</x:f>
        <x:v>No production route listed</x:v>
      </x:c>
      <x:c r="AN202" s="14" t="n">
        <x:f>IF(C202="T0",0,IF(C202="T1",1,IF(C202="T2",2,IF(C202="T3",3,IF(C202="T4",4,IF(C202="Unassigned",98,99))))))</x:f>
        <x:v>98</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05" customHeight="1">
      <x:c r="A203" s="9" t="str">
        <x:v>proposal.ceramic.conduit</x:v>
      </x:c>
      <x:c r="B203" s="9" t="str">
        <x:v>Ceramic conduit section</x:v>
      </x:c>
      <x:c r="C203" s="4" t="str">
        <x:v>Unassigned</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unassigned; not applicable; component</x:v>
      </x:c>
      <x:c r="AF203" s="4" t="str">
        <x:v>Specific item proposed from author ceramics direction; functional and material limits remain unresolved.</x:v>
      </x:c>
      <x:c r="AG203" s="4" t="str">
        <x:v>Choose a material/part route before assigning a tier. Processing-stage labels alone do not prove chain depth.</x:v>
      </x:c>
      <x:c r="AH203" s="4" t="str">
        <x:v>Not applicable</x:v>
      </x:c>
      <x:c r="AI203" s="4" t="str">
        <x:v>Component</x:v>
      </x:c>
      <x:c r="AJ203" s="4" t="n">
        <x:f>COUNTIFS('Material routes'!$D$6:$D$1005,A203,'Material routes'!$C$6:$C$1005,"Output")</x:f>
        <x:v>0</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status/completeness",IF(C203="T0","Raw entry feed; no production route","No production route listed"))</x:f>
        <x:v>No production route listed</x:v>
      </x:c>
      <x:c r="AN203" s="14" t="n">
        <x:f>IF(C203="T0",0,IF(C203="T1",1,IF(C203="T2",2,IF(C203="T3",3,IF(C203="T4",4,IF(C203="Unassigned",98,99))))))</x:f>
        <x:v>98</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unassigned;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status/completeness",IF(C204="T0","Raw entry feed; no production route","No production route listed"))</x:f>
        <x:v>No production route listed</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status/completeness",IF(C205="T0","Raw entry feed; no production route","No production route listed"))</x:f>
        <x:v>No production route listed</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status/completeness",IF(C206="T0","Raw entry feed; no production route","No production route listed"))</x:f>
        <x:v>No production route listed</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str">
        <x:v>Equipment</x:v>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equipment; ceramic protection; armor; finished item; manufactured / unresolved; protection; ceramic; panel; proposal; pottery; not applicable; unassigned; finished item</x:v>
      </x:c>
      <x:c r="AF207" s="4" t="str">
        <x:v>Specific item proposed from author ceramics direction; functional and material limits remain unresolved.</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status/completeness",IF(C207="T0","Raw entry feed; no production route","No production route listed"))</x:f>
        <x:v>No production route listed</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05" customHeight="1">
      <x:c r="A208" s="9" t="str">
        <x:v>proposal.ceramic.fastener</x:v>
      </x:c>
      <x:c r="B208" s="9" t="str">
        <x:v>Ceramic toggle fastener</x:v>
      </x:c>
      <x:c r="C208" s="4" t="str">
        <x:v>Unassigned</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unassigned; not applicable; component</x:v>
      </x:c>
      <x:c r="AF208" s="4" t="str">
        <x:v>Specific item proposed from author ceramics direction; functional and material limits remain unresolved.</x:v>
      </x:c>
      <x:c r="AG208" s="4" t="str">
        <x:v>Choose a material/part route before assigning a tier. Processing-stage labels alone do not prove chain depth.</x:v>
      </x:c>
      <x:c r="AH208" s="4" t="str">
        <x:v>Not applicable</x:v>
      </x:c>
      <x:c r="AI208" s="4" t="str">
        <x:v>Component</x:v>
      </x:c>
      <x:c r="AJ208" s="4" t="n">
        <x:f>COUNTIFS('Material routes'!$D$6:$D$1005,A208,'Material routes'!$C$6:$C$1005,"Output")</x:f>
        <x:v>0</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status/completeness",IF(C208="T0","Raw entry feed; no production route","No production route listed"))</x:f>
        <x:v>No production route listed</x:v>
      </x:c>
      <x:c r="AN208" s="14" t="n">
        <x:f>IF(C208="T0",0,IF(C208="T1",1,IF(C208="T2",2,IF(C208="T3",3,IF(C208="T4",4,IF(C208="Unassigned",98,99))))))</x:f>
        <x:v>98</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str">
        <x:v>Equipment</x:v>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equipment; ceramic workshop; tool; finished item; manufactured / unresolved; surface finishing; ceramic; solid part; proposal; pottery; not applicable; unassigned; finished item</x:v>
      </x:c>
      <x:c r="AF209" s="4" t="str">
        <x:v>Specific item proposed from author ceramics direction; functional and material limits remain unresolved.</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status/completeness",IF(C209="T0","Raw entry feed; no production route","No production route listed"))</x:f>
        <x:v>No production route listed</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15" customHeight="1">
      <x:c r="A210" s="9" t="str">
        <x:v>source.currency.imperial_commons</x:v>
      </x:c>
      <x:c r="B210" s="9" t="str">
        <x:v>Imperial Commons</x:v>
      </x:c>
      <x:c r="C210" s="4" t="str">
        <x:v>Unassigned</x:v>
      </x:c>
      <x:c r="D210" s="9" t="str">
        <x:v>Currency</x:v>
      </x:c>
      <x:c r="E210" s="9" t="str">
        <x:v>Currency family; denominations unspecified</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denominations unspecified; currency; unresolved; manufactured / unresolved; trade; unresolved; unresolved; source proposal; commons; marks; money; exchange; denomination unspecified; unassigned; unassigned; currency</x:v>
      </x:c>
      <x:c r="AF210" s="4" t="str">
        <x:v>Source record explicitly names the currency and aliases; no physical denomination item inferred.</x:v>
      </x:c>
      <x:c r="AG210" s="4" t="str">
        <x:v>Tier requires a chosen production route; recovered ancient material is not automatically T4.</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98</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resources; special stone; raw material; raw; geological; illumination; mineral; rock; author direction; ; t0; not applicable; material</x:v>
      </x:c>
      <x:c r="AF212" s="4" t="str">
        <x:v>Author direction establishes stone families. Source mechanisms remain proposal-stage; specific equipment functions are proposals.</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str">
        <x:v>Equipment</x:v>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equipment; ignition tool; tool; finished item; manufactured / unresolved; ignition; metal or shell; assembly; proposal; ; not applicable; unassigned; finished item</x:v>
      </x:c>
      <x:c r="AF214" s="4" t="str">
        <x:v>Author direction establishes stone families. Source mechanisms remain proposal-stage; specific equipment functions are proposals.</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status/completeness",IF(C214="T0","Raw entry feed; no production route","No production route listed"))</x:f>
        <x:v>No production route listed</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15" customHeight="1">
      <x:c r="A215" s="9" t="str">
        <x:v>proposal.fire.chitin_char</x:v>
      </x:c>
      <x:c r="B215" s="9" t="str">
        <x:v>Chitin-char</x:v>
      </x:c>
      <x:c r="C215" s="4" t="str">
        <x:v>Unassigned</x:v>
      </x:c>
      <x:c r="D215" s="9" t="str">
        <x:v>Resources</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resources; fire fuel; processed material; processed intermediate; fauna; fuel; carbonaceous material; solid piece; source proposal; ; unassigned; not applicable; material</x:v>
      </x:c>
      <x:c r="AF215" s="4" t="str">
        <x:v>Author direction establishes stone families. Source mechanisms remain proposal-stage; specific equipment functions are proposals.</x:v>
      </x:c>
      <x:c r="AG215" s="4" t="str">
        <x:v>Choose a material/part route before assigning a tier. Processing-stage labels alone do not prove chain depth.</x:v>
      </x:c>
      <x:c r="AH215" s="4" t="str">
        <x:v>Not applicable</x:v>
      </x:c>
      <x:c r="AI215" s="4" t="str">
        <x:v>Material</x:v>
      </x:c>
      <x:c r="AJ215" s="4" t="n">
        <x:f>COUNTIFS('Material routes'!$D$6:$D$1005,A215,'Material routes'!$C$6:$C$1005,"Output")</x:f>
        <x:v>0</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status/completeness",IF(C215="T0","Raw entry feed; no production route","No production route listed"))</x:f>
        <x:v>No production route listed</x:v>
      </x:c>
      <x:c r="AN215" s="14" t="n">
        <x:f>IF(C215="T0",0,IF(C215="T1",1,IF(C215="T2",2,IF(C215="T3",3,IF(C215="T4",4,IF(C215="Unassigned",98,99))))))</x:f>
        <x:v>98</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str">
        <x:v>Equipment</x:v>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equipment; cooking vessel; tool; finished item; manufactured / unresolved; cooking; ceramic; solid part; proposal; ; not applicable; unassigned; finished item</x:v>
      </x:c>
      <x:c r="AF216" s="4" t="str">
        <x:v>Author direction establishes stone families. Source mechanisms remain proposal-stage; specific equipment functions are proposals.</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status/completeness",IF(C216="T0","Raw entry feed; no production route","No production route listed"))</x:f>
        <x:v>No production route listed</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str">
        <x:v>Equipment</x:v>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equipment; cooking tool; tool; processed intermediate; geological; cooking; mineral; panel; proposal; ; not applicable; unassigned; finished item</x:v>
      </x:c>
      <x:c r="AF217" s="4" t="str">
        <x:v>Author direction establishes stone families. Source mechanisms remain proposal-stage; specific equipment functions are proposals.</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status/completeness",IF(C217="T0","Raw entry feed; no production route","No production route listed"))</x:f>
        <x:v>No production route listed</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str">
        <x:v>Equipment</x:v>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equipment; cooking vessel; tool; finished item; manufactured / unresolved; cooking; metal; assembly; proposal; ; not applicable; unassigned; finished item</x:v>
      </x:c>
      <x:c r="AF218" s="4" t="str">
        <x:v>Author direction establishes stone families. Source mechanisms remain proposal-stage; specific equipment functions are proposals.</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status/completeness",IF(C218="T0","Raw entry feed; no production route","No production route listed"))</x:f>
        <x:v>No production route listed</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str">
        <x:v>Equipment</x:v>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equipment; cooking tool; tool; finished item; manufactured / unresolved; cooking; metal; assembly; proposal; ; not applicable; unassigned; finished item</x:v>
      </x:c>
      <x:c r="AF219" s="4" t="str">
        <x:v>Author direction establishes stone families. Source mechanisms remain proposal-stage; specific equipment functions are proposals.</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status/completeness",IF(C219="T0","Raw entry feed; no production route","No production route listed"))</x:f>
        <x:v>No production route listed</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str">
        <x:v>Equipment</x:v>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equipment; cooking tool; tool; finished item; manufactured / unresolved; cooking; metal; assembly; proposal; ; not applicable; unassigned; finished item</x:v>
      </x:c>
      <x:c r="AF220" s="4" t="str">
        <x:v>Author direction establishes stone families. Source mechanisms remain proposal-stage; specific equipment functions are proposals.</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status/completeness",IF(C220="T0","Raw entry feed; no production route","No production route listed"))</x:f>
        <x:v>No production route listed</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str">
        <x:v>Equipment</x:v>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equipment; cooking tool; tool; finished item; manufactured / unresolved; cooking; metal; assembly; proposal; ; not applicable; unassigned; finished item</x:v>
      </x:c>
      <x:c r="AF221" s="4" t="str">
        <x:v>Author direction establishes stone families. Source mechanisms remain proposal-stage; specific equipment functions are proposals.</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status/completeness",IF(C221="T0","Raw entry feed; no production route","No production route listed"))</x:f>
        <x:v>No production route listed</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str">
        <x:v>Equipment</x:v>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equipment; fire management; tool; finished item; manufactured / unresolved; cooking; mixed / unresolved; assembly; proposal; fire management; not applicable; unassigned; finished item</x:v>
      </x:c>
      <x:c r="AF222" s="4" t="str">
        <x:v>Author direction establishes stone families. Source mechanisms remain proposal-stage; specific equipment functions are proposals.</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status/completeness",IF(C222="T0","Raw entry feed; no production route","No production route listed"))</x:f>
        <x:v>No production route listed</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15" customHeight="1">
      <x:c r="A223" s="9" t="str">
        <x:v>proposal.fire.wind_baffle</x:v>
      </x:c>
      <x:c r="B223" s="9" t="str">
        <x:v>Cooking wind baffle</x:v>
      </x:c>
      <x:c r="C223" s="4" t="str">
        <x:v>Unassigned</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unassigned; not applicable; component</x:v>
      </x:c>
      <x:c r="AF223" s="4" t="str">
        <x:v>Author direction establishes stone families. Source mechanisms remain proposal-stage; specific equipment functions are proposals.</x:v>
      </x:c>
      <x:c r="AG223" s="4" t="str">
        <x:v>Choose a material/part route before assigning a tier. Processing-stage labels alone do not prove chain depth.</x:v>
      </x:c>
      <x:c r="AH223" s="4" t="str">
        <x:v>Not applicable</x:v>
      </x:c>
      <x:c r="AI223" s="4" t="str">
        <x:v>Component</x:v>
      </x:c>
      <x:c r="AJ223" s="4" t="n">
        <x:f>COUNTIFS('Material routes'!$D$6:$D$1005,A223,'Material routes'!$C$6:$C$1005,"Output")</x:f>
        <x:v>0</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status/completeness",IF(C223="T0","Raw entry feed; no production route","No production route listed"))</x:f>
        <x:v>No production route listed</x:v>
      </x:c>
      <x:c r="AN223" s="14" t="n">
        <x:f>IF(C223="T0",0,IF(C223="T1",1,IF(C223="T2",2,IF(C223="T3",3,IF(C223="T4",4,IF(C223="Unassigned",98,99))))))</x:f>
        <x:v>98</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15" customHeight="1">
      <x:c r="A224" s="9" t="str">
        <x:v>proposal.fire.draft_collar</x:v>
      </x:c>
      <x:c r="B224" s="9" t="str">
        <x:v>Cooking draft collar</x:v>
      </x:c>
      <x:c r="C224" s="4" t="str">
        <x:v>Unassigned</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unassigned; not applicable; component</x:v>
      </x:c>
      <x:c r="AF224" s="4" t="str">
        <x:v>Author direction establishes stone families. Source mechanisms remain proposal-stage; specific equipment functions are proposals.</x:v>
      </x:c>
      <x:c r="AG224" s="4" t="str">
        <x:v>Choose a material/part route before assigning a tier. Processing-stage labels alone do not prove chain depth.</x:v>
      </x:c>
      <x:c r="AH224" s="4" t="str">
        <x:v>Not applicable</x:v>
      </x:c>
      <x:c r="AI224" s="4" t="str">
        <x:v>Component</x:v>
      </x:c>
      <x:c r="AJ224" s="4" t="n">
        <x:f>COUNTIFS('Material routes'!$D$6:$D$1005,A224,'Material routes'!$C$6:$C$1005,"Output")</x:f>
        <x:v>0</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status/completeness",IF(C224="T0","Raw entry feed; no production route","No production route listed"))</x:f>
        <x:v>No production route listed</x:v>
      </x:c>
      <x:c r="AN224" s="14" t="n">
        <x:f>IF(C224="T0",0,IF(C224="T1",1,IF(C224="T2",2,IF(C224="T3",3,IF(C224="T4",4,IF(C224="Unassigned",98,99))))))</x:f>
        <x:v>98</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15" customHeight="1">
      <x:c r="A225" s="9" t="str">
        <x:v>proposal.fire.heat_shroud</x:v>
      </x:c>
      <x:c r="B225" s="9" t="str">
        <x:v>Cooking heat shroud</x:v>
      </x:c>
      <x:c r="C225" s="4" t="str">
        <x:v>Unassigned</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unassigned; not applicable; component</x:v>
      </x:c>
      <x:c r="AF225" s="4" t="str">
        <x:v>Author direction establishes stone families. Source mechanisms remain proposal-stage; specific equipment functions are proposals.</x:v>
      </x:c>
      <x:c r="AG225" s="4" t="str">
        <x:v>Choose a material/part route before assigning a tier. Processing-stage labels alone do not prove chain depth.</x:v>
      </x:c>
      <x:c r="AH225" s="4" t="str">
        <x:v>Not applicable</x:v>
      </x:c>
      <x:c r="AI225" s="4" t="str">
        <x:v>Component</x:v>
      </x:c>
      <x:c r="AJ225" s="4" t="n">
        <x:f>COUNTIFS('Material routes'!$D$6:$D$1005,A225,'Material routes'!$C$6:$C$1005,"Output")</x:f>
        <x:v>0</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status/completeness",IF(C225="T0","Raw entry feed; no production route","No production route listed"))</x:f>
        <x:v>No production route listed</x:v>
      </x:c>
      <x:c r="AN225" s="14" t="n">
        <x:f>IF(C225="T0",0,IF(C225="T1",1,IF(C225="T2",2,IF(C225="T3",3,IF(C225="T4",4,IF(C225="Unassigned",98,99))))))</x:f>
        <x:v>98</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str">
        <x:v>Equipment</x:v>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equipment; mineral light; tool; finished item; manufactured / unresolved; illumination; mixed / unresolved; assembly; proposal; ; not applicable; unassigned; finished item</x:v>
      </x:c>
      <x:c r="AF226" s="4" t="str">
        <x:v>Author direction establishes stone families. Source mechanisms remain proposal-stage; specific equipment functions are proposals.</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status/completeness",IF(C226="T0","Raw entry feed; no production route","No production route listed"))</x:f>
        <x:v>No production route listed</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Resources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resources;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3</x:v>
      </x:c>
      <x:c r="AL227" s="4" t="n">
        <x:f>COUNTIFS('Material routes'!$D$6:$D$1005,A227,'Material routes'!$C$6:$C$1005,"Tool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Resources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resources;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2</x:v>
      </x:c>
      <x:c r="AL228" s="4" t="n">
        <x:f>COUNTIFS('Material routes'!$D$6:$D$1005,A228,'Material routes'!$C$6:$C$1005,"Tool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Resources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resources;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0</x:v>
      </x:c>
      <x:c r="AL229" s="4" t="n">
        <x:f>COUNTIFS('Material routes'!$D$6:$D$1005,A229,'Material routes'!$C$6:$C$1005,"Tool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15" customHeight="1">
      <x:c r="A230" s="9" t="str">
        <x:v>proposal.lubricant.dust_film</x:v>
      </x:c>
      <x:c r="B230" s="9" t="str">
        <x:v>Dust-shedding lubricant film</x:v>
      </x:c>
      <x:c r="C230" s="4" t="str">
        <x:v>Unassigned</x:v>
      </x:c>
      <x:c r="D230" s="9" t="str">
        <x:v>Resources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resources; finished lubricant; chemical material; finished item; fauna; lubrication; biological chemical; unresolved; proposal; grease; lubricant; fauna chemistry; dust exclusion; unassigned; not applicable; material</x:v>
      </x:c>
      <x:c r="AF230" s="4" t="str">
        <x:v>Specific formulation is proposed; source oils and existing joint secretion are references, not validated recipes.</x:v>
      </x:c>
      <x:c r="AG230" s="4" t="str">
        <x:v>Choose a material/part route before assigning a tier. Processing-stage labels alone do not prove chain depth.</x:v>
      </x:c>
      <x:c r="AH230" s="4" t="str">
        <x:v>Not applicable</x:v>
      </x:c>
      <x:c r="AI230" s="4" t="str">
        <x:v>Material</x:v>
      </x:c>
      <x:c r="AJ230" s="4" t="n">
        <x:f>COUNTIFS('Material routes'!$D$6:$D$1005,A230,'Material routes'!$C$6:$C$1005,"Output")</x:f>
        <x:v>0</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status/completeness",IF(C230="T0","Raw entry feed; no production route","No production route listed"))</x:f>
        <x:v>No production route listed</x:v>
      </x:c>
      <x:c r="AN230" s="14" t="n">
        <x:f>IF(C230="T0",0,IF(C230="T1",1,IF(C230="T2",2,IF(C230="T3",3,IF(C230="T4",4,IF(C230="Unassigned",98,99))))))</x:f>
        <x:v>98</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15" customHeight="1">
      <x:c r="A231" s="9" t="str">
        <x:v>proposal.lubricant.seal_paste</x:v>
      </x:c>
      <x:c r="B231" s="9" t="str">
        <x:v>Seal-conditioning paste</x:v>
      </x:c>
      <x:c r="C231" s="4" t="str">
        <x:v>Unassigned</x:v>
      </x:c>
      <x:c r="D231" s="9" t="str">
        <x:v>Resources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resources; finished lubricant; chemical material; finished item; fauna; lubrication; biological chemical; paste; proposal; grease; lubricant; fauna chemistry; sealing; unassigned; not applicable; material</x:v>
      </x:c>
      <x:c r="AF231" s="4" t="str">
        <x:v>Specific formulation is proposed; source oils and existing joint secretion are references, not validated recipes.</x:v>
      </x:c>
      <x:c r="AG231" s="4" t="str">
        <x:v>Choose a material/part route before assigning a tier. Processing-stage labels alone do not prove chain depth.</x:v>
      </x:c>
      <x:c r="AH231" s="4" t="str">
        <x:v>Not applicable</x:v>
      </x:c>
      <x:c r="AI231" s="4" t="str">
        <x:v>Material</x:v>
      </x:c>
      <x:c r="AJ231" s="4" t="n">
        <x:f>COUNTIFS('Material routes'!$D$6:$D$1005,A231,'Material routes'!$C$6:$C$1005,"Output")</x:f>
        <x:v>0</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status/completeness",IF(C231="T0","Raw entry feed; no production route","No production route listed"))</x:f>
        <x:v>No production route listed</x:v>
      </x:c>
      <x:c r="AN231" s="14" t="n">
        <x:f>IF(C231="T0",0,IF(C231="T1",1,IF(C231="T2",2,IF(C231="T3",3,IF(C231="T4",4,IF(C231="Unassigned",98,99))))))</x:f>
        <x:v>98</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Resources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resources;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routes'!$D$6:$D$1005,A232,'Material routes'!$C$6:$C$1005,"Output")</x:f>
        <x:v>1</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15" customHeight="1">
      <x:c r="A233" s="9" t="str">
        <x:v>proposal.lubricant.insulating_grease</x:v>
      </x:c>
      <x:c r="B233" s="9" t="str">
        <x:v>Electrically insulating grease</x:v>
      </x:c>
      <x:c r="C233" s="4" t="str">
        <x:v>Unassigned</x:v>
      </x:c>
      <x:c r="D233" s="9" t="str">
        <x:v>Resources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resources; finished lubricant; chemical material; finished item; fauna; lubrication; biological chemical; paste; proposal; grease; lubricant; fauna chemistry; electrical insulation; unassigned; not applicable; material</x:v>
      </x:c>
      <x:c r="AF233" s="4" t="str">
        <x:v>Specific formulation is proposed; source oils and existing joint secretion are references, not validated recipes.</x:v>
      </x:c>
      <x:c r="AG233" s="4" t="str">
        <x:v>Choose a material/part route before assigning a tier. Processing-stage labels alone do not prove chain depth.</x:v>
      </x:c>
      <x:c r="AH233" s="4" t="str">
        <x:v>Not applicable</x:v>
      </x:c>
      <x:c r="AI233" s="4" t="str">
        <x:v>Material</x:v>
      </x:c>
      <x:c r="AJ233" s="4" t="n">
        <x:f>COUNTIFS('Material routes'!$D$6:$D$1005,A233,'Material routes'!$C$6:$C$1005,"Output")</x:f>
        <x:v>0</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status/completeness",IF(C233="T0","Raw entry feed; no production route","No production route listed"))</x:f>
        <x:v>No production route listed</x:v>
      </x:c>
      <x:c r="AN233" s="14" t="n">
        <x:f>IF(C233="T0",0,IF(C233="T1",1,IF(C233="T2",2,IF(C233="T3",3,IF(C233="T4",4,IF(C233="Unassigned",98,99))))))</x:f>
        <x:v>98</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Resources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resources;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routes'!$D$6:$D$1005,A234,'Material routes'!$C$6:$C$1005,"Output")</x:f>
        <x:v>1</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1</x:v>
      </x:c>
      <x:c r="AL234" s="4" t="n">
        <x:f>COUNTIFS('Material routes'!$D$6:$D$1005,A234,'Material routes'!$C$6:$C$1005,"Tool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str">
        <x:v>Equipment</x:v>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equipment; wind machine; machine; finished item; recovered machinery; wind power; mixed / unresolved; assembly; author direction; machinery drive; wind; sail; not applicable; unassigned; finished item</x:v>
      </x:c>
      <x:c r="AF235" s="4" t="str">
        <x:v>Author direction for equipment families; proposed components and unimplemented behavior remain explicitly separate.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status/completeness",IF(C235="T0","Raw entry feed; no production route","No production route listed"))</x:f>
        <x:v>No production route listed</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1</x:v>
      </x:c>
      <x:c r="AL236" s="4" t="n">
        <x:f>COUNTIFS('Material routes'!$D$6:$D$1005,A236,'Material routes'!$C$6:$C$1005,"Tool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str">
        <x:v>Equipment</x:v>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F237" s="4" t="str">
        <x:v>Author direction for equipment families; proposed components and unimplemented behavior remain explicitly separate.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status/completeness",IF(C237="T0","Raw entry feed; no production route","No production route listed"))</x:f>
        <x:v>No production route listed</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str">
        <x:v>Equipment</x:v>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F238" s="4" t="str">
        <x:v>Author direction for equipment families; proposed components and unimplemented behavior remain explicitly separate.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status/completeness",IF(C238="T0","Raw entry feed; no production route","No production route listed"))</x:f>
        <x:v>No production route listed</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15" customHeight="1">
      <x:c r="A239" s="9" t="str">
        <x:v>proposal.wind.folding_frame</x:v>
      </x:c>
      <x:c r="B239" s="9" t="str">
        <x:v>Collapsible sail frame</x:v>
      </x:c>
      <x:c r="C239" s="4" t="str">
        <x:v>Unassigned</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unassigned; not applicable; component</x:v>
      </x:c>
      <x:c r="AF239" s="4" t="str">
        <x:v>Author direction for equipment families; proposed components and unimplemented behavior remain explicitly separate.</x:v>
      </x:c>
      <x:c r="AG239" s="4" t="str">
        <x:v>Choose a material/part route before assigning a tier. Processing-stage labels alone do not prove chain depth.</x:v>
      </x:c>
      <x:c r="AH239" s="4" t="str">
        <x:v>Not applicable</x:v>
      </x:c>
      <x:c r="AI239" s="4" t="str">
        <x:v>Component</x:v>
      </x:c>
      <x:c r="AJ239" s="4" t="n">
        <x:f>COUNTIFS('Material routes'!$D$6:$D$1005,A239,'Material routes'!$C$6:$C$1005,"Output")</x:f>
        <x:v>0</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status/completeness",IF(C239="T0","Raw entry feed; no production route","No production route listed"))</x:f>
        <x:v>No production route listed</x:v>
      </x:c>
      <x:c r="AN239" s="14" t="n">
        <x:f>IF(C239="T0",0,IF(C239="T1",1,IF(C239="T2",2,IF(C239="T3",3,IF(C239="T4",4,IF(C239="Unassigned",98,99))))))</x:f>
        <x:v>98</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15" customHeight="1">
      <x:c r="A240" s="9" t="str">
        <x:v>proposal.wind.sail_grip</x:v>
      </x:c>
      <x:c r="B240" s="9" t="str">
        <x:v>Hand-sail grip assembly</x:v>
      </x:c>
      <x:c r="C240" s="4" t="str">
        <x:v>Unassigned</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unassigned; not applicable; component</x:v>
      </x:c>
      <x:c r="AF240" s="4" t="str">
        <x:v>Author direction for equipment families; proposed components and unimplemented behavior remain explicitly separate.</x:v>
      </x:c>
      <x:c r="AG240" s="4" t="str">
        <x:v>Choose a material/part route before assigning a tier. Processing-stage labels alone do not prove chain depth.</x:v>
      </x:c>
      <x:c r="AH240" s="4" t="str">
        <x:v>Not applicable</x:v>
      </x:c>
      <x:c r="AI240" s="4" t="str">
        <x:v>Component</x:v>
      </x:c>
      <x:c r="AJ240" s="4" t="n">
        <x:f>COUNTIFS('Material routes'!$D$6:$D$1005,A240,'Material routes'!$C$6:$C$1005,"Output")</x:f>
        <x:v>0</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status/completeness",IF(C240="T0","Raw entry feed; no production route","No production route listed"))</x:f>
        <x:v>No production route listed</x:v>
      </x:c>
      <x:c r="AN240" s="14" t="n">
        <x:f>IF(C240="T0",0,IF(C240="T1",1,IF(C240="T2",2,IF(C240="T3",3,IF(C240="T4",4,IF(C240="Unassigned",98,99))))))</x:f>
        <x:v>98</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15" customHeight="1">
      <x:c r="A241" s="9" t="str">
        <x:v>proposal.wind.wheel</x:v>
      </x:c>
      <x:c r="B241" s="9" t="str">
        <x:v>Dirtboard wheel assembly</x:v>
      </x:c>
      <x:c r="C241" s="4" t="str">
        <x:v>Unassigned</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unassigned; not applicable; component</x:v>
      </x:c>
      <x:c r="AF241" s="4" t="str">
        <x:v>Author direction for equipment families; proposed components and unimplemented behavior remain explicitly separate.</x:v>
      </x:c>
      <x:c r="AG241" s="4" t="str">
        <x:v>Choose a material/part route before assigning a tier. Processing-stage labels alone do not prove chain depth.</x:v>
      </x:c>
      <x:c r="AH241" s="4" t="str">
        <x:v>Not applicable</x:v>
      </x:c>
      <x:c r="AI241" s="4" t="str">
        <x:v>Component</x:v>
      </x:c>
      <x:c r="AJ241" s="4" t="n">
        <x:f>COUNTIFS('Material routes'!$D$6:$D$1005,A241,'Material routes'!$C$6:$C$1005,"Output")</x:f>
        <x:v>0</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status/completeness",IF(C241="T0","Raw entry feed; no production route","No production route listed"))</x:f>
        <x:v>No production route listed</x:v>
      </x:c>
      <x:c r="AN241" s="14" t="n">
        <x:f>IF(C241="T0",0,IF(C241="T1",1,IF(C241="T2",2,IF(C241="T3",3,IF(C241="T4",4,IF(C241="Unassigned",98,99))))))</x:f>
        <x:v>98</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15" customHeight="1">
      <x:c r="A242" s="9" t="str">
        <x:v>proposal.wind.truck</x:v>
      </x:c>
      <x:c r="B242" s="9" t="str">
        <x:v>Dirtboard axle / steering assembly</x:v>
      </x:c>
      <x:c r="C242" s="4" t="str">
        <x:v>Unassigned</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unassigned; not applicable; component</x:v>
      </x:c>
      <x:c r="AF242" s="4" t="str">
        <x:v>Author direction for equipment families; proposed components and unimplemented behavior remain explicitly separate.</x:v>
      </x:c>
      <x:c r="AG242" s="4" t="str">
        <x:v>Choose a material/part route before assigning a tier. Processing-stage labels alone do not prove chain depth.</x:v>
      </x:c>
      <x:c r="AH242" s="4" t="str">
        <x:v>Not applicable</x:v>
      </x:c>
      <x:c r="AI242" s="4" t="str">
        <x:v>Component</x:v>
      </x:c>
      <x:c r="AJ242" s="4" t="n">
        <x:f>COUNTIFS('Material routes'!$D$6:$D$1005,A242,'Material routes'!$C$6:$C$1005,"Output")</x:f>
        <x:v>0</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status/completeness",IF(C242="T0","Raw entry feed; no production route","No production route listed"))</x:f>
        <x:v>No production route listed</x:v>
      </x:c>
      <x:c r="AN242" s="14" t="n">
        <x:f>IF(C242="T0",0,IF(C242="T1",1,IF(C242="T2",2,IF(C242="T3",3,IF(C242="T4",4,IF(C242="Unassigned",98,99))))))</x:f>
        <x:v>98</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15" customHeight="1">
      <x:c r="A243" s="9" t="str">
        <x:v>proposal.wind.rotor</x:v>
      </x:c>
      <x:c r="B243" s="9" t="str">
        <x:v>Salvaged turbine rotor assembly</x:v>
      </x:c>
      <x:c r="C243" s="4" t="str">
        <x:v>Unassigned</x:v>
      </x:c>
      <x:c r="D243" s="9" t="str">
        <x:v>Crafting components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crafting components; wind machine component; crafting component; processed intermediate; recovered machinery; equipment fabrication; mixed / unresolved; assembly; proposal; wind power; wind; sail; unassigned; not applicable; component</x:v>
      </x:c>
      <x:c r="AF243" s="4" t="str">
        <x:v>Author direction for equipment families; proposed components and unimplemented behavior remain explicitly separate.</x:v>
      </x:c>
      <x:c r="AG243" s="4" t="str">
        <x:v>Choose a material/part route before assigning a tier. Processing-stage labels alone do not prove chain depth.</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98</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15" customHeight="1">
      <x:c r="A244" s="9" t="str">
        <x:v>proposal.wind.generator</x:v>
      </x:c>
      <x:c r="B244" s="9" t="str">
        <x:v>Salvaged generator assembly</x:v>
      </x:c>
      <x:c r="C244" s="4" t="str">
        <x:v>Unassigned</x:v>
      </x:c>
      <x:c r="D244" s="9" t="str">
        <x:v>Crafting components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crafting components; wind machine component; crafting component; processed intermediate; recovered machinery; energy processing; mixed / unresolved; assembly; proposal; wind power; wind; sail; unassigned; not applicable; component</x:v>
      </x:c>
      <x:c r="AF244" s="4" t="str">
        <x:v>Author direction for equipment families; proposed components and unimplemented behavior remain explicitly separate.</x:v>
      </x:c>
      <x:c r="AG244" s="4" t="str">
        <x:v>Choose a material/part route before assigning a tier. Processing-stage labels alone do not prove chain depth.</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98</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str">
        <x:v>Equipment</x:v>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F245" s="4" t="str">
        <x:v>Specific parts and protective properties remain proposals; ancient-material scarcity is established author direction.</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status/completeness",IF(C245="T0","Raw entry feed; no production route","No production route listed"))</x:f>
        <x:v>No production route listed</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str">
        <x:v>Equipment</x:v>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F246" s="4" t="str">
        <x:v>Specific parts and protective properties remain proposals; ancient-material scarcity is established author direction.</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status/completeness",IF(C246="T0","Raw entry feed; no production route","No production route listed"))</x:f>
        <x:v>No production route listed</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15" customHeight="1">
      <x:c r="A247" s="9" t="str">
        <x:v>proposal.legger.anchors</x:v>
      </x:c>
      <x:c r="B247" s="9" t="str">
        <x:v>Legger lashing-anchor set</x:v>
      </x:c>
      <x:c r="C247" s="4" t="str">
        <x:v>Unassigned</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unassigned; not applicable; component</x:v>
      </x:c>
      <x:c r="AF247" s="4" t="str">
        <x:v>Specific parts and protective properties remain proposals; ancient-material scarcity is established author direction.</x:v>
      </x:c>
      <x:c r="AG247" s="4" t="str">
        <x:v>Choose a material/part route before assigning a tier. Processing-stage labels alone do not prove chain depth.</x:v>
      </x:c>
      <x:c r="AH247" s="4" t="str">
        <x:v>Not applicable</x:v>
      </x:c>
      <x:c r="AI247" s="4" t="str">
        <x:v>Component</x:v>
      </x:c>
      <x:c r="AJ247" s="4" t="n">
        <x:f>COUNTIFS('Material routes'!$D$6:$D$1005,A247,'Material routes'!$C$6:$C$1005,"Output")</x:f>
        <x:v>0</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status/completeness",IF(C247="T0","Raw entry feed; no production route","No production route listed"))</x:f>
        <x:v>No production route listed</x:v>
      </x:c>
      <x:c r="AN247" s="14" t="n">
        <x:f>IF(C247="T0",0,IF(C247="T1",1,IF(C247="T2",2,IF(C247="T3",3,IF(C247="T4",4,IF(C247="Unassigned",98,99))))))</x:f>
        <x:v>98</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15" customHeight="1">
      <x:c r="A248" s="9" t="str">
        <x:v>proposal.legger.balance_link</x:v>
      </x:c>
      <x:c r="B248" s="9" t="str">
        <x:v>Legger load-balance linkage</x:v>
      </x:c>
      <x:c r="C248" s="4" t="str">
        <x:v>Unassigned</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unassigned; not applicable; component</x:v>
      </x:c>
      <x:c r="AF248" s="4" t="str">
        <x:v>Specific parts and protective properties remain proposals; ancient-material scarcity is established author direction.</x:v>
      </x:c>
      <x:c r="AG248" s="4" t="str">
        <x:v>Choose a material/part route before assigning a tier. Processing-stage labels alone do not prove chain depth.</x:v>
      </x:c>
      <x:c r="AH248" s="4" t="str">
        <x:v>Not applicable</x:v>
      </x:c>
      <x:c r="AI248" s="4" t="str">
        <x:v>Component</x:v>
      </x:c>
      <x:c r="AJ248" s="4" t="n">
        <x:f>COUNTIFS('Material routes'!$D$6:$D$1005,A248,'Material routes'!$C$6:$C$1005,"Output")</x:f>
        <x:v>0</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status/completeness",IF(C248="T0","Raw entry feed; no production route","No production route listed"))</x:f>
        <x:v>No production route listed</x:v>
      </x:c>
      <x:c r="AN248" s="14" t="n">
        <x:f>IF(C248="T0",0,IF(C248="T1",1,IF(C248="T2",2,IF(C248="T3",3,IF(C248="T4",4,IF(C248="Unassigned",98,99))))))</x:f>
        <x:v>98</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15" customHeight="1">
      <x:c r="A249" s="9" t="str">
        <x:v>proposal.legger.iron_rib</x:v>
      </x:c>
      <x:c r="B249" s="9" t="str">
        <x:v>Iron chassis replacement rib</x:v>
      </x:c>
      <x:c r="C249" s="4" t="str">
        <x:v>Unassigned</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unassigned; not applicable; component</x:v>
      </x:c>
      <x:c r="AF249" s="4" t="str">
        <x:v>Specific parts and protective properties remain proposals; ancient-material scarcity is established author direction.</x:v>
      </x:c>
      <x:c r="AG249" s="4" t="str">
        <x:v>Choose a material/part route before assigning a tier. Processing-stage labels alone do not prove chain depth.</x:v>
      </x:c>
      <x:c r="AH249" s="4" t="str">
        <x:v>Not applicable</x:v>
      </x:c>
      <x:c r="AI249" s="4" t="str">
        <x:v>Component</x:v>
      </x:c>
      <x:c r="AJ249" s="4" t="n">
        <x:f>COUNTIFS('Material routes'!$D$6:$D$1005,A249,'Material routes'!$C$6:$C$1005,"Output")</x:f>
        <x:v>0</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status/completeness",IF(C249="T0","Raw entry feed; no production route","No production route listed"))</x:f>
        <x:v>No production route listed</x:v>
      </x:c>
      <x:c r="AN249" s="14" t="n">
        <x:f>IF(C249="T0",0,IF(C249="T1",1,IF(C249="T2",2,IF(C249="T3",3,IF(C249="T4",4,IF(C249="Unassigned",98,99))))))</x:f>
        <x:v>98</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15" customHeight="1">
      <x:c r="A250" s="9" t="str">
        <x:v>proposal.legger.crossbrace</x:v>
      </x:c>
      <x:c r="B250" s="9" t="str">
        <x:v>Chassis crossbrace</x:v>
      </x:c>
      <x:c r="C250" s="4" t="str">
        <x:v>Unassigned</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unassigned; not applicable; component</x:v>
      </x:c>
      <x:c r="AF250" s="4" t="str">
        <x:v>Specific parts and protective properties remain proposals; ancient-material scarcity is established author direction.</x:v>
      </x:c>
      <x:c r="AG250" s="4" t="str">
        <x:v>Choose a material/part route before assigning a tier. Processing-stage labels alone do not prove chain depth.</x:v>
      </x:c>
      <x:c r="AH250" s="4" t="str">
        <x:v>Not applicable</x:v>
      </x:c>
      <x:c r="AI250" s="4" t="str">
        <x:v>Component</x:v>
      </x:c>
      <x:c r="AJ250" s="4" t="n">
        <x:f>COUNTIFS('Material routes'!$D$6:$D$1005,A250,'Material routes'!$C$6:$C$1005,"Output")</x:f>
        <x:v>0</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status/completeness",IF(C250="T0","Raw entry feed; no production route","No production route listed"))</x:f>
        <x:v>No production route listed</x:v>
      </x:c>
      <x:c r="AN250" s="14" t="n">
        <x:f>IF(C250="T0",0,IF(C250="T1",1,IF(C250="T2",2,IF(C250="T3",3,IF(C250="T4",4,IF(C250="Unassigned",98,99))))))</x:f>
        <x:v>98</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str">
        <x:v>Equipment</x:v>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F251" s="4" t="str">
        <x:v>Specific parts and protective properties remain proposals; ancient-material scarcity is established author direction.</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status/completeness",IF(C251="T0","Raw entry feed; no production route","No production route listed"))</x:f>
        <x:v>No production route listed</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15" customHeight="1">
      <x:c r="A252" s="9" t="str">
        <x:v>proposal.legger.mount_rail</x:v>
      </x:c>
      <x:c r="B252" s="9" t="str">
        <x:v>Legger attachment rail</x:v>
      </x:c>
      <x:c r="C252" s="4" t="str">
        <x:v>Unassigned</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unassigned; not applicable; component</x:v>
      </x:c>
      <x:c r="AF252" s="4" t="str">
        <x:v>Specific parts and protective properties remain proposals; ancient-material scarcity is established author direction.</x:v>
      </x:c>
      <x:c r="AG252" s="4" t="str">
        <x:v>Choose a material/part route before assigning a tier. Processing-stage labels alone do not prove chain depth.</x:v>
      </x:c>
      <x:c r="AH252" s="4" t="str">
        <x:v>Not applicable</x:v>
      </x:c>
      <x:c r="AI252" s="4" t="str">
        <x:v>Component</x:v>
      </x:c>
      <x:c r="AJ252" s="4" t="n">
        <x:f>COUNTIFS('Material routes'!$D$6:$D$1005,A252,'Material routes'!$C$6:$C$1005,"Output")</x:f>
        <x:v>0</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status/completeness",IF(C252="T0","Raw entry feed; no production route","No production route listed"))</x:f>
        <x:v>No production route listed</x:v>
      </x:c>
      <x:c r="AN252" s="14" t="n">
        <x:f>IF(C252="T0",0,IF(C252="T1",1,IF(C252="T2",2,IF(C252="T3",3,IF(C252="T4",4,IF(C252="Unassigned",98,99))))))</x:f>
        <x:v>98</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15" customHeight="1">
      <x:c r="A253" s="9" t="str">
        <x:v>proposal.legger.joint_bush</x:v>
      </x:c>
      <x:c r="B253" s="9" t="str">
        <x:v>Iron joint bushing</x:v>
      </x:c>
      <x:c r="C253" s="4" t="str">
        <x:v>Unassigned</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unassigned; not applicable; component</x:v>
      </x:c>
      <x:c r="AF253" s="4" t="str">
        <x:v>Specific parts and protective properties remain proposals; ancient-material scarcity is established author direction.</x:v>
      </x:c>
      <x:c r="AG253" s="4" t="str">
        <x:v>Choose a material/part route before assigning a tier. Processing-stage labels alone do not prove chain depth.</x:v>
      </x:c>
      <x:c r="AH253" s="4" t="str">
        <x:v>Not applicable</x:v>
      </x:c>
      <x:c r="AI253" s="4" t="str">
        <x:v>Component</x:v>
      </x:c>
      <x:c r="AJ253" s="4" t="n">
        <x:f>COUNTIFS('Material routes'!$D$6:$D$1005,A253,'Material routes'!$C$6:$C$1005,"Output")</x:f>
        <x:v>0</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status/completeness",IF(C253="T0","Raw entry feed; no production route","No production route listed"))</x:f>
        <x:v>No production route listed</x:v>
      </x:c>
      <x:c r="AN253" s="14" t="n">
        <x:f>IF(C253="T0",0,IF(C253="T1",1,IF(C253="T2",2,IF(C253="T3",3,IF(C253="T4",4,IF(C253="Unassigned",98,99))))))</x:f>
        <x:v>98</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15" customHeight="1">
      <x:c r="A254" s="9" t="str">
        <x:v>proposal.legger.bearing</x:v>
      </x:c>
      <x:c r="B254" s="9" t="str">
        <x:v>Replacement bearing assembly</x:v>
      </x:c>
      <x:c r="C254" s="4" t="str">
        <x:v>Unassigned</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unassigned; not applicable; component</x:v>
      </x:c>
      <x:c r="AF254" s="4" t="str">
        <x:v>Specific parts and protective properties remain proposals; ancient-material scarcity is established author direction.</x:v>
      </x:c>
      <x:c r="AG254" s="4" t="str">
        <x:v>Choose a material/part route before assigning a tier. Processing-stage labels alone do not prove chain depth.</x:v>
      </x:c>
      <x:c r="AH254" s="4" t="str">
        <x:v>Not applicable</x:v>
      </x:c>
      <x:c r="AI254" s="4" t="str">
        <x:v>Component</x:v>
      </x:c>
      <x:c r="AJ254" s="4" t="n">
        <x:f>COUNTIFS('Material routes'!$D$6:$D$1005,A254,'Material routes'!$C$6:$C$1005,"Output")</x:f>
        <x:v>0</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status/completeness",IF(C254="T0","Raw entry feed; no production route","No production route listed"))</x:f>
        <x:v>No production route listed</x:v>
      </x:c>
      <x:c r="AN254" s="14" t="n">
        <x:f>IF(C254="T0",0,IF(C254="T1",1,IF(C254="T2",2,IF(C254="T3",3,IF(C254="T4",4,IF(C254="Unassigned",98,99))))))</x:f>
        <x:v>98</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15" customHeight="1">
      <x:c r="A255" s="9" t="str">
        <x:v>proposal.legger.foot_plate</x:v>
      </x:c>
      <x:c r="B255" s="9" t="str">
        <x:v>Replaceable foot contact plate</x:v>
      </x:c>
      <x:c r="C255" s="4" t="str">
        <x:v>Unassigned</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unassigned; not applicable; component</x:v>
      </x:c>
      <x:c r="AF255" s="4" t="str">
        <x:v>Specific parts and protective properties remain proposals; ancient-material scarcity is established author direction.</x:v>
      </x:c>
      <x:c r="AG255" s="4" t="str">
        <x:v>Choose a material/part route before assigning a tier. Processing-stage labels alone do not prove chain depth.</x:v>
      </x:c>
      <x:c r="AH255" s="4" t="str">
        <x:v>Not applicable</x:v>
      </x:c>
      <x:c r="AI255" s="4" t="str">
        <x:v>Component</x:v>
      </x:c>
      <x:c r="AJ255" s="4" t="n">
        <x:f>COUNTIFS('Material routes'!$D$6:$D$1005,A255,'Material routes'!$C$6:$C$1005,"Output")</x:f>
        <x:v>0</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status/completeness",IF(C255="T0","Raw entry feed; no production route","No production route listed"))</x:f>
        <x:v>No production route listed</x:v>
      </x:c>
      <x:c r="AN255" s="14" t="n">
        <x:f>IF(C255="T0",0,IF(C255="T1",1,IF(C255="T2",2,IF(C255="T3",3,IF(C255="T4",4,IF(C255="Unassigned",98,99))))))</x:f>
        <x:v>98</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15" customHeight="1">
      <x:c r="A256" s="9" t="str">
        <x:v>proposal.legger.actuator_rod</x:v>
      </x:c>
      <x:c r="B256" s="9" t="str">
        <x:v>Replacement actuator link</x:v>
      </x:c>
      <x:c r="C256" s="4" t="str">
        <x:v>Unassigned</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unassigned; not applicable; component</x:v>
      </x:c>
      <x:c r="AF256" s="4" t="str">
        <x:v>Specific parts and protective properties remain proposals; ancient-material scarcity is established author direction.</x:v>
      </x:c>
      <x:c r="AG256" s="4" t="str">
        <x:v>Choose a material/part route before assigning a tier. Processing-stage labels alone do not prove chain depth.</x:v>
      </x:c>
      <x:c r="AH256" s="4" t="str">
        <x:v>Not applicable</x:v>
      </x:c>
      <x:c r="AI256" s="4" t="str">
        <x:v>Component</x:v>
      </x:c>
      <x:c r="AJ256" s="4" t="n">
        <x:f>COUNTIFS('Material routes'!$D$6:$D$1005,A256,'Material routes'!$C$6:$C$1005,"Output")</x:f>
        <x:v>0</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status/completeness",IF(C256="T0","Raw entry feed; no production route","No production route listed"))</x:f>
        <x:v>No production route listed</x:v>
      </x:c>
      <x:c r="AN256" s="14" t="n">
        <x:f>IF(C256="T0",0,IF(C256="T1",1,IF(C256="T2",2,IF(C256="T3",3,IF(C256="T4",4,IF(C256="Unassigned",98,99))))))</x:f>
        <x:v>98</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15" customHeight="1">
      <x:c r="A257" s="9" t="str">
        <x:v>proposal.legger.joint_shroud</x:v>
      </x:c>
      <x:c r="B257" s="9" t="str">
        <x:v>Joint dust shroud</x:v>
      </x:c>
      <x:c r="C257" s="4" t="str">
        <x:v>Unassigned</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unassigned; not applicable; component</x:v>
      </x:c>
      <x:c r="AF257" s="4" t="str">
        <x:v>Specific parts and protective properties remain proposals; ancient-material scarcity is established author direction.</x:v>
      </x:c>
      <x:c r="AG257" s="4" t="str">
        <x:v>Choose a material/part route before assigning a tier. Processing-stage labels alone do not prove chain depth.</x:v>
      </x:c>
      <x:c r="AH257" s="4" t="str">
        <x:v>Not applicable</x:v>
      </x:c>
      <x:c r="AI257" s="4" t="str">
        <x:v>Component</x:v>
      </x:c>
      <x:c r="AJ257" s="4" t="n">
        <x:f>COUNTIFS('Material routes'!$D$6:$D$1005,A257,'Material routes'!$C$6:$C$1005,"Output")</x:f>
        <x:v>0</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status/completeness",IF(C257="T0","Raw entry feed; no production route","No production route listed"))</x:f>
        <x:v>No production route listed</x:v>
      </x:c>
      <x:c r="AN257" s="14" t="n">
        <x:f>IF(C257="T0",0,IF(C257="T1",1,IF(C257="T2",2,IF(C257="T3",3,IF(C257="T4",4,IF(C257="Unassigned",98,99))))))</x:f>
        <x:v>98</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15" customHeight="1">
      <x:c r="A258" s="9" t="str">
        <x:v>proposal.legger.grease_cup</x:v>
      </x:c>
      <x:c r="B258" s="9" t="str">
        <x:v>Fitted joint lubricant cup</x:v>
      </x:c>
      <x:c r="C258" s="4" t="str">
        <x:v>Unassigned</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unassigned; not applicable; component</x:v>
      </x:c>
      <x:c r="AF258" s="4" t="str">
        <x:v>Specific parts and protective properties remain proposals; ancient-material scarcity is established author direction.</x:v>
      </x:c>
      <x:c r="AG258" s="4" t="str">
        <x:v>Choose a material/part route before assigning a tier. Processing-stage labels alone do not prove chain depth.</x:v>
      </x:c>
      <x:c r="AH258" s="4" t="str">
        <x:v>Not applicable</x:v>
      </x:c>
      <x:c r="AI258" s="4" t="str">
        <x:v>Component</x:v>
      </x:c>
      <x:c r="AJ258" s="4" t="n">
        <x:f>COUNTIFS('Material routes'!$D$6:$D$1005,A258,'Material routes'!$C$6:$C$1005,"Output")</x:f>
        <x:v>0</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status/completeness",IF(C258="T0","Raw entry feed; no production route","No production route listed"))</x:f>
        <x:v>No production route listed</x:v>
      </x:c>
      <x:c r="AN258" s="14" t="n">
        <x:f>IF(C258="T0",0,IF(C258="T1",1,IF(C258="T2",2,IF(C258="T3",3,IF(C258="T4",4,IF(C258="Unassigned",98,99))))))</x:f>
        <x:v>98</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15" customHeight="1">
      <x:c r="A259" s="9" t="str">
        <x:v>proposal.legger.seal_cartridge</x:v>
      </x:c>
      <x:c r="B259" s="9" t="str">
        <x:v>Replaceable joint-seal cartridge</x:v>
      </x:c>
      <x:c r="C259" s="4" t="str">
        <x:v>Unassigned</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unassigned; not applicable; component</x:v>
      </x:c>
      <x:c r="AF259" s="4" t="str">
        <x:v>Specific parts and protective properties remain proposals; ancient-material scarcity is established author direction.</x:v>
      </x:c>
      <x:c r="AG259" s="4" t="str">
        <x:v>Choose a material/part route before assigning a tier. Processing-stage labels alone do not prove chain depth.</x:v>
      </x:c>
      <x:c r="AH259" s="4" t="str">
        <x:v>Not applicable</x:v>
      </x:c>
      <x:c r="AI259" s="4" t="str">
        <x:v>Component</x:v>
      </x:c>
      <x:c r="AJ259" s="4" t="n">
        <x:f>COUNTIFS('Material routes'!$D$6:$D$1005,A259,'Material routes'!$C$6:$C$1005,"Output")</x:f>
        <x:v>0</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status/completeness",IF(C259="T0","Raw entry feed; no production route","No production route listed"))</x:f>
        <x:v>No production route listed</x:v>
      </x:c>
      <x:c r="AN259" s="14" t="n">
        <x:f>IF(C259="T0",0,IF(C259="T1",1,IF(C259="T2",2,IF(C259="T3",3,IF(C259="T4",4,IF(C259="Unassigned",98,99))))))</x:f>
        <x:v>98</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0</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status/completeness",IF(C260="T0","Raw entry feed; no production route","No production route listed"))</x:f>
        <x:v>No production route listed</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str">
        <x:v>Equipment</x:v>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equipment; legger armor; armor; finished item; manufactured / unresolved; protection; shell / chitin; panel; proposal; legger; leger; companion replacement part; not applicable; unassigned; finished item</x:v>
      </x:c>
      <x:c r="AF261" s="4" t="str">
        <x:v>Specific parts and protective properties remain proposals; ancient-material scarcity is established author direction.</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status/completeness",IF(C261="T0","Raw entry feed; no production route","No production route listed"))</x:f>
        <x:v>No production route listed</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str">
        <x:v>Equipment</x:v>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equipment; legger armor; armor; finished item; manufactured / unresolved; protection; metal; panel; proposal; legger; leger; companion replacement part; not applicable; unassigned; finished item</x:v>
      </x:c>
      <x:c r="AF262" s="4" t="str">
        <x:v>Specific parts and protective properties remain proposals; ancient-material scarcity is established author direction.</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status/completeness",IF(C262="T0","Raw entry feed; no production route","No production route listed"))</x:f>
        <x:v>No production route listed</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str">
        <x:v>Equipment</x:v>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F263" s="4" t="str">
        <x:v>Specific parts and protective properties remain proposals; ancient-material scarcity is established author direction.</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status/completeness",IF(C263="T0","Raw entry feed; no production route","No production route listed"))</x:f>
        <x:v>No production route listed</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str">
        <x:v>Equipment</x:v>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F264" s="4" t="str">
        <x:v>Specific parts and protective properties remain proposals; ancient-material scarcity is established author direction.</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status/completeness",IF(C264="T0","Raw entry feed; no production route","No production route listed"))</x:f>
        <x:v>No production route listed</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15" customHeight="1">
      <x:c r="A265" s="9" t="str">
        <x:v>proposal.legger.plasteel_rib</x:v>
      </x:c>
      <x:c r="B265" s="9" t="str">
        <x:v>Ancient plasteel replacement member</x:v>
      </x:c>
      <x:c r="C265" s="4" t="str">
        <x:v>Unassigned</x:v>
      </x:c>
      <x:c r="D265" s="9" t="str">
        <x:v>Crafting components</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265" s="4" t="str">
        <x:v>Specific parts and protective properties remain proposals; ancient-material scarcity is established author direction.</x:v>
      </x:c>
      <x:c r="AG265" s="4" t="str">
        <x:v>Tier requires a chosen production route; recovered ancient material is not automatically T4.</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98</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str">
        <x:v>Equipment</x:v>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F266" s="4" t="str">
        <x:v>Specific parts and protective properties remain proposals; ancient-material scarcity is established author direction.</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15" customHeight="1">
      <x:c r="A267" s="9" t="str">
        <x:v>proposal.legger.ancient_bearing</x:v>
      </x:c>
      <x:c r="B267" s="9" t="str">
        <x:v>Ancient bearing cassette</x:v>
      </x:c>
      <x:c r="C267" s="4" t="str">
        <x:v>Unassigned</x:v>
      </x:c>
      <x:c r="D267" s="9" t="str">
        <x:v>Crafting components</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 unassigned; unassigned; component</x:v>
      </x:c>
      <x:c r="AF267" s="4" t="str">
        <x:v>Specific parts and protective properties remain proposals; ancient-material scarcity is established author direction.</x:v>
      </x:c>
      <x:c r="AG267" s="4" t="str">
        <x:v>Tier requires a chosen production route; recovered ancient material is not automatically T4.</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98</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str">
        <x:v>Equipment</x:v>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F268" s="4" t="str">
        <x:v>Specific parts and protective properties remain proposals; ancient-material scarcity is established author direction.</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str">
        <x:v>Equipment</x:v>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F269" s="4" t="str">
        <x:v>Specific parts and protective properties remain proposals; ancient-material scarcity is established author direction.</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status/completeness",IF(C269="T0","Raw entry feed; no production route","No production route listed"))</x:f>
        <x:v>No production route listed</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str">
        <x:v>Equipment</x:v>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F270" s="4" t="str">
        <x:v>Specific parts and protective properties remain proposals; ancient-material scarcity is established author direction.</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status/completeness",IF(C270="T0","Raw entry feed; no production route","No production route listed"))</x:f>
        <x:v>No production route listed</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str">
        <x:v>Equipment</x:v>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F271" s="4" t="str">
        <x:v>Specific parts and protective properties remain proposals; ancient-material scarcity is established author direction.</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status/completeness",IF(C271="T0","Raw entry feed; no production route","No production route listed"))</x:f>
        <x:v>No production route listed</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15" customHeight="1">
      <x:c r="A272" s="9" t="str">
        <x:v>proposal.legger.long_load_clamp</x:v>
      </x:c>
      <x:c r="B272" s="9" t="str">
        <x:v>Legger long-load clamp</x:v>
      </x:c>
      <x:c r="C272" s="4" t="str">
        <x:v>Unassigned</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unassigned; not applicable; component</x:v>
      </x:c>
      <x:c r="AF272" s="4" t="str">
        <x:v>Specific parts and protective properties remain proposals; ancient-material scarcity is established author direction.</x:v>
      </x:c>
      <x:c r="AG272" s="4" t="str">
        <x:v>Choose a material/part route before assigning a tier. Processing-stage labels alone do not prove chain depth.</x:v>
      </x:c>
      <x:c r="AH272" s="4" t="str">
        <x:v>Not applicable</x:v>
      </x:c>
      <x:c r="AI272" s="4" t="str">
        <x:v>Component</x:v>
      </x:c>
      <x:c r="AJ272" s="4" t="n">
        <x:f>COUNTIFS('Material routes'!$D$6:$D$1005,A272,'Material routes'!$C$6:$C$1005,"Output")</x:f>
        <x:v>0</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status/completeness",IF(C272="T0","Raw entry feed; no production route","No production route listed"))</x:f>
        <x:v>No production route listed</x:v>
      </x:c>
      <x:c r="AN272" s="14" t="n">
        <x:f>IF(C272="T0",0,IF(C272="T1",1,IF(C272="T2",2,IF(C272="T3",3,IF(C272="T4",4,IF(C272="Unassigned",98,99))))))</x:f>
        <x:v>98</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15" customHeight="1">
      <x:c r="A273" s="9" t="str">
        <x:v>proposal.legger.release_latch</x:v>
      </x:c>
      <x:c r="B273" s="9" t="str">
        <x:v>Cargo quick-release latch</x:v>
      </x:c>
      <x:c r="C273" s="4" t="str">
        <x:v>Unassigned</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unassigned; not applicable; component</x:v>
      </x:c>
      <x:c r="AF273" s="4" t="str">
        <x:v>Specific parts and protective properties remain proposals; ancient-material scarcity is established author direction.</x:v>
      </x:c>
      <x:c r="AG273" s="4" t="str">
        <x:v>Choose a material/part route before assigning a tier. Processing-stage labels alone do not prove chain depth.</x:v>
      </x:c>
      <x:c r="AH273" s="4" t="str">
        <x:v>Not applicable</x:v>
      </x:c>
      <x:c r="AI273" s="4" t="str">
        <x:v>Component</x:v>
      </x:c>
      <x:c r="AJ273" s="4" t="n">
        <x:f>COUNTIFS('Material routes'!$D$6:$D$1005,A273,'Material routes'!$C$6:$C$1005,"Output")</x:f>
        <x:v>0</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status/completeness",IF(C273="T0","Raw entry feed; no production route","No production route listed"))</x:f>
        <x:v>No production route listed</x:v>
      </x:c>
      <x:c r="AN273" s="14" t="n">
        <x:f>IF(C273="T0",0,IF(C273="T1",1,IF(C273="T2",2,IF(C273="T3",3,IF(C273="T4",4,IF(C273="Unassigned",98,99))))))</x:f>
        <x:v>98</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str">
        <x:v>Equipment</x:v>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F274" s="4" t="str">
        <x:v>Specific parts and protective properties remain proposals; ancient-material scarcity is established author direction.</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status/completeness",IF(C274="T0","Raw entry feed; no production route","No production route listed"))</x:f>
        <x:v>No production route listed</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15" customHeight="1">
      <x:c r="A275" s="9" t="str">
        <x:v>proposal.legger.hinge_plate</x:v>
      </x:c>
      <x:c r="B275" s="9" t="str">
        <x:v>Chassis hinge-mount plate</x:v>
      </x:c>
      <x:c r="C275" s="4" t="str">
        <x:v>Unassigned</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unassigned; not applicable; component</x:v>
      </x:c>
      <x:c r="AF275" s="4" t="str">
        <x:v>Specific parts and protective properties remain proposals; ancient-material scarcity is established author direction.</x:v>
      </x:c>
      <x:c r="AG275" s="4" t="str">
        <x:v>Choose a material/part route before assigning a tier. Processing-stage labels alone do not prove chain depth.</x:v>
      </x:c>
      <x:c r="AH275" s="4" t="str">
        <x:v>Not applicable</x:v>
      </x:c>
      <x:c r="AI275" s="4" t="str">
        <x:v>Component</x:v>
      </x:c>
      <x:c r="AJ275" s="4" t="n">
        <x:f>COUNTIFS('Material routes'!$D$6:$D$1005,A275,'Material routes'!$C$6:$C$1005,"Output")</x:f>
        <x:v>0</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status/completeness",IF(C275="T0","Raw entry feed; no production route","No production route listed"))</x:f>
        <x:v>No production route listed</x:v>
      </x:c>
      <x:c r="AN275" s="14" t="n">
        <x:f>IF(C275="T0",0,IF(C275="T1",1,IF(C275="T2",2,IF(C275="T3",3,IF(C275="T4",4,IF(C275="Unassigned",98,99))))))</x:f>
        <x:v>98</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15" customHeight="1">
      <x:c r="A276" s="9" t="str">
        <x:v>proposal.legger.inspection_hatch</x:v>
      </x:c>
      <x:c r="B276" s="9" t="str">
        <x:v>Legger inspection hatch</x:v>
      </x:c>
      <x:c r="C276" s="4" t="str">
        <x:v>Unassigned</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unassigned; not applicable; component</x:v>
      </x:c>
      <x:c r="AF276" s="4" t="str">
        <x:v>Specific parts and protective properties remain proposals; ancient-material scarcity is established author direction.</x:v>
      </x:c>
      <x:c r="AG276" s="4" t="str">
        <x:v>Choose a material/part route before assigning a tier. Processing-stage labels alone do not prove chain depth.</x:v>
      </x:c>
      <x:c r="AH276" s="4" t="str">
        <x:v>Not applicable</x:v>
      </x:c>
      <x:c r="AI276" s="4" t="str">
        <x:v>Component</x:v>
      </x:c>
      <x:c r="AJ276" s="4" t="n">
        <x:f>COUNTIFS('Material routes'!$D$6:$D$1005,A276,'Material routes'!$C$6:$C$1005,"Output")</x:f>
        <x:v>0</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status/completeness",IF(C276="T0","Raw entry feed; no production route","No production route listed"))</x:f>
        <x:v>No production route listed</x:v>
      </x:c>
      <x:c r="AN276" s="14" t="n">
        <x:f>IF(C276="T0",0,IF(C276="T1",1,IF(C276="T2",2,IF(C276="T3",3,IF(C276="T4",4,IF(C276="Unassigned",98,99))))))</x:f>
        <x:v>98</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15" customHeight="1">
      <x:c r="A277" s="9" t="str">
        <x:v>proposal.legger.fracture_patch</x:v>
      </x:c>
      <x:c r="B277" s="9" t="str">
        <x:v>Iron chassis fracture patch</x:v>
      </x:c>
      <x:c r="C277" s="4" t="str">
        <x:v>Unassigned</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unassigned; not applicable; component</x:v>
      </x:c>
      <x:c r="AF277" s="4" t="str">
        <x:v>Specific parts and protective properties remain proposals; ancient-material scarcity is established author direction.</x:v>
      </x:c>
      <x:c r="AG277" s="4" t="str">
        <x:v>Choose a material/part route before assigning a tier. Processing-stage labels alone do not prove chain depth.</x:v>
      </x:c>
      <x:c r="AH277" s="4" t="str">
        <x:v>Not applicable</x:v>
      </x:c>
      <x:c r="AI277" s="4" t="str">
        <x:v>Component</x:v>
      </x:c>
      <x:c r="AJ277" s="4" t="n">
        <x:f>COUNTIFS('Material routes'!$D$6:$D$1005,A277,'Material routes'!$C$6:$C$1005,"Output")</x:f>
        <x:v>0</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status/completeness",IF(C277="T0","Raw entry feed; no production route","No production route listed"))</x:f>
        <x:v>No production route listed</x:v>
      </x:c>
      <x:c r="AN277" s="14" t="n">
        <x:f>IF(C277="T0",0,IF(C277="T1",1,IF(C277="T2",2,IF(C277="T3",3,IF(C277="T4",4,IF(C277="Unassigned",98,99))))))</x:f>
        <x:v>98</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15" customHeight="1">
      <x:c r="A278" s="9" t="str">
        <x:v>proposal.legger.crush_mount</x:v>
      </x:c>
      <x:c r="B278" s="9" t="str">
        <x:v>Sacrificial attachment mount</x:v>
      </x:c>
      <x:c r="C278" s="4" t="str">
        <x:v>Unassigned</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unassigned; not applicable; component</x:v>
      </x:c>
      <x:c r="AF278" s="4" t="str">
        <x:v>Specific parts and protective properties remain proposals; ancient-material scarcity is established author direction.</x:v>
      </x:c>
      <x:c r="AG278" s="4" t="str">
        <x:v>Choose a material/part route before assigning a tier. Processing-stage labels alone do not prove chain depth.</x:v>
      </x:c>
      <x:c r="AH278" s="4" t="str">
        <x:v>Not applicable</x:v>
      </x:c>
      <x:c r="AI278" s="4" t="str">
        <x:v>Component</x:v>
      </x:c>
      <x:c r="AJ278" s="4" t="n">
        <x:f>COUNTIFS('Material routes'!$D$6:$D$1005,A278,'Material routes'!$C$6:$C$1005,"Output")</x:f>
        <x:v>0</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status/completeness",IF(C278="T0","Raw entry feed; no production route","No production route listed"))</x:f>
        <x:v>No production route listed</x:v>
      </x:c>
      <x:c r="AN278" s="14" t="n">
        <x:f>IF(C278="T0",0,IF(C278="T1",1,IF(C278="T2",2,IF(C278="T3",3,IF(C278="T4",4,IF(C278="Unassigned",98,99))))))</x:f>
        <x:v>98</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15" customHeight="1">
      <x:c r="A279" s="9" t="str">
        <x:v>proposal.legger.bulkhead_ring</x:v>
      </x:c>
      <x:c r="B279" s="9" t="str">
        <x:v>Chassis reinforcing ring</x:v>
      </x:c>
      <x:c r="C279" s="4" t="str">
        <x:v>Unassigned</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unassigned; not applicable; component</x:v>
      </x:c>
      <x:c r="AF279" s="4" t="str">
        <x:v>Specific parts and protective properties remain proposals; ancient-material scarcity is established author direction.</x:v>
      </x:c>
      <x:c r="AG279" s="4" t="str">
        <x:v>Choose a material/part route before assigning a tier. Processing-stage labels alone do not prove chain depth.</x:v>
      </x:c>
      <x:c r="AH279" s="4" t="str">
        <x:v>Not applicable</x:v>
      </x:c>
      <x:c r="AI279" s="4" t="str">
        <x:v>Component</x:v>
      </x:c>
      <x:c r="AJ279" s="4" t="n">
        <x:f>COUNTIFS('Material routes'!$D$6:$D$1005,A279,'Material routes'!$C$6:$C$1005,"Output")</x:f>
        <x:v>0</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status/completeness",IF(C279="T0","Raw entry feed; no production route","No production route listed"))</x:f>
        <x:v>No production route listed</x:v>
      </x:c>
      <x:c r="AN279" s="14" t="n">
        <x:f>IF(C279="T0",0,IF(C279="T1",1,IF(C279="T2",2,IF(C279="T3",3,IF(C279="T4",4,IF(C279="Unassigned",98,99))))))</x:f>
        <x:v>98</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15" customHeight="1">
      <x:c r="A280" s="9" t="str">
        <x:v>proposal.legger.alignment_shims</x:v>
      </x:c>
      <x:c r="B280" s="9" t="str">
        <x:v>Chassis alignment-shim set</x:v>
      </x:c>
      <x:c r="C280" s="4" t="str">
        <x:v>Unassigned</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unassigned; not applicable; component</x:v>
      </x:c>
      <x:c r="AF280" s="4" t="str">
        <x:v>Specific parts and protective properties remain proposals; ancient-material scarcity is established author direction.</x:v>
      </x:c>
      <x:c r="AG280" s="4" t="str">
        <x:v>Choose a material/part route before assigning a tier. Processing-stage labels alone do not prove chain depth.</x:v>
      </x:c>
      <x:c r="AH280" s="4" t="str">
        <x:v>Not applicable</x:v>
      </x:c>
      <x:c r="AI280" s="4" t="str">
        <x:v>Component</x:v>
      </x:c>
      <x:c r="AJ280" s="4" t="n">
        <x:f>COUNTIFS('Material routes'!$D$6:$D$1005,A280,'Material routes'!$C$6:$C$1005,"Output")</x:f>
        <x:v>0</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status/completeness",IF(C280="T0","Raw entry feed; no production route","No production route listed"))</x:f>
        <x:v>No production route listed</x:v>
      </x:c>
      <x:c r="AN280" s="14" t="n">
        <x:f>IF(C280="T0",0,IF(C280="T1",1,IF(C280="T2",2,IF(C280="T3",3,IF(C280="T4",4,IF(C280="Unassigned",98,99))))))</x:f>
        <x:v>98</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15" customHeight="1">
      <x:c r="A281" s="9" t="str">
        <x:v>proposal.legger.joint_pin</x:v>
      </x:c>
      <x:c r="B281" s="9" t="str">
        <x:v>Replaceable joint pin</x:v>
      </x:c>
      <x:c r="C281" s="4" t="str">
        <x:v>Unassigned</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unassigned; not applicable; component</x:v>
      </x:c>
      <x:c r="AF281" s="4" t="str">
        <x:v>Specific parts and protective properties remain proposals; ancient-material scarcity is established author direction.</x:v>
      </x:c>
      <x:c r="AG281" s="4" t="str">
        <x:v>Choose a material/part route before assigning a tier. Processing-stage labels alone do not prove chain depth.</x:v>
      </x:c>
      <x:c r="AH281" s="4" t="str">
        <x:v>Not applicable</x:v>
      </x:c>
      <x:c r="AI281" s="4" t="str">
        <x:v>Component</x:v>
      </x:c>
      <x:c r="AJ281" s="4" t="n">
        <x:f>COUNTIFS('Material routes'!$D$6:$D$1005,A281,'Material routes'!$C$6:$C$1005,"Output")</x:f>
        <x:v>0</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status/completeness",IF(C281="T0","Raw entry feed; no production route","No production route listed"))</x:f>
        <x:v>No production route listed</x:v>
      </x:c>
      <x:c r="AN281" s="14" t="n">
        <x:f>IF(C281="T0",0,IF(C281="T1",1,IF(C281="T2",2,IF(C281="T3",3,IF(C281="T4",4,IF(C281="Unassigned",98,99))))))</x:f>
        <x:v>98</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15" customHeight="1">
      <x:c r="A282" s="9" t="str">
        <x:v>proposal.legger.thrust_washer</x:v>
      </x:c>
      <x:c r="B282" s="9" t="str">
        <x:v>Joint thrust washer</x:v>
      </x:c>
      <x:c r="C282" s="4" t="str">
        <x:v>Unassigned</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unassigned; not applicable; component</x:v>
      </x:c>
      <x:c r="AF282" s="4" t="str">
        <x:v>Specific parts and protective properties remain proposals; ancient-material scarcity is established author direction.</x:v>
      </x:c>
      <x:c r="AG282" s="4" t="str">
        <x:v>Choose a material/part route before assigning a tier. Processing-stage labels alone do not prove chain depth.</x:v>
      </x:c>
      <x:c r="AH282" s="4" t="str">
        <x:v>Not applicable</x:v>
      </x:c>
      <x:c r="AI282" s="4" t="str">
        <x:v>Component</x:v>
      </x:c>
      <x:c r="AJ282" s="4" t="n">
        <x:f>COUNTIFS('Material routes'!$D$6:$D$1005,A282,'Material routes'!$C$6:$C$1005,"Output")</x:f>
        <x:v>0</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status/completeness",IF(C282="T0","Raw entry feed; no production route","No production route listed"))</x:f>
        <x:v>No production route listed</x:v>
      </x:c>
      <x:c r="AN282" s="14" t="n">
        <x:f>IF(C282="T0",0,IF(C282="T1",1,IF(C282="T2",2,IF(C282="T3",3,IF(C282="T4",4,IF(C282="Unassigned",98,99))))))</x:f>
        <x:v>98</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15" customHeight="1">
      <x:c r="A283" s="9" t="str">
        <x:v>proposal.legger.gear_cluster</x:v>
      </x:c>
      <x:c r="B283" s="9" t="str">
        <x:v>Replacement gear cluster</x:v>
      </x:c>
      <x:c r="C283" s="4" t="str">
        <x:v>Unassigned</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unassigned; not applicable; component</x:v>
      </x:c>
      <x:c r="AF283" s="4" t="str">
        <x:v>Specific parts and protective properties remain proposals; ancient-material scarcity is established author direction.</x:v>
      </x:c>
      <x:c r="AG283" s="4" t="str">
        <x:v>Choose a material/part route before assigning a tier. Processing-stage labels alone do not prove chain depth.</x:v>
      </x:c>
      <x:c r="AH283" s="4" t="str">
        <x:v>Not applicable</x:v>
      </x:c>
      <x:c r="AI283" s="4" t="str">
        <x:v>Component</x:v>
      </x:c>
      <x:c r="AJ283" s="4" t="n">
        <x:f>COUNTIFS('Material routes'!$D$6:$D$1005,A283,'Material routes'!$C$6:$C$1005,"Output")</x:f>
        <x:v>0</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status/completeness",IF(C283="T0","Raw entry feed; no production route","No production route listed"))</x:f>
        <x:v>No production route listed</x:v>
      </x:c>
      <x:c r="AN283" s="14" t="n">
        <x:f>IF(C283="T0",0,IF(C283="T1",1,IF(C283="T2",2,IF(C283="T3",3,IF(C283="T4",4,IF(C283="Unassigned",98,99))))))</x:f>
        <x:v>98</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15" customHeight="1">
      <x:c r="A284" s="9" t="str">
        <x:v>proposal.legger.linkage_end</x:v>
      </x:c>
      <x:c r="B284" s="9" t="str">
        <x:v>Replacement linkage-end joint</x:v>
      </x:c>
      <x:c r="C284" s="4" t="str">
        <x:v>Unassigned</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unassigned; not applicable; component</x:v>
      </x:c>
      <x:c r="AF284" s="4" t="str">
        <x:v>Specific parts and protective properties remain proposals; ancient-material scarcity is established author direction.</x:v>
      </x:c>
      <x:c r="AG284" s="4" t="str">
        <x:v>Choose a material/part route before assigning a tier. Processing-stage labels alone do not prove chain depth.</x:v>
      </x:c>
      <x:c r="AH284" s="4" t="str">
        <x:v>Not applicable</x:v>
      </x:c>
      <x:c r="AI284" s="4" t="str">
        <x:v>Component</x:v>
      </x:c>
      <x:c r="AJ284" s="4" t="n">
        <x:f>COUNTIFS('Material routes'!$D$6:$D$1005,A284,'Material routes'!$C$6:$C$1005,"Output")</x:f>
        <x:v>0</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status/completeness",IF(C284="T0","Raw entry feed; no production route","No production route listed"))</x:f>
        <x:v>No production route listed</x:v>
      </x:c>
      <x:c r="AN284" s="14" t="n">
        <x:f>IF(C284="T0",0,IF(C284="T1",1,IF(C284="T2",2,IF(C284="T3",3,IF(C284="T4",4,IF(C284="Unassigned",98,99))))))</x:f>
        <x:v>98</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15" customHeight="1">
      <x:c r="A285" s="9" t="str">
        <x:v>proposal.legger.tensioner</x:v>
      </x:c>
      <x:c r="B285" s="9" t="str">
        <x:v>Drive tensioner assembly</x:v>
      </x:c>
      <x:c r="C285" s="4" t="str">
        <x:v>Unassigned</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unassigned; not applicable; component</x:v>
      </x:c>
      <x:c r="AF285" s="4" t="str">
        <x:v>Specific parts and protective properties remain proposals; ancient-material scarcity is established author direction.</x:v>
      </x:c>
      <x:c r="AG285" s="4" t="str">
        <x:v>Choose a material/part route before assigning a tier. Processing-stage labels alone do not prove chain depth.</x:v>
      </x:c>
      <x:c r="AH285" s="4" t="str">
        <x:v>Not applicable</x:v>
      </x:c>
      <x:c r="AI285" s="4" t="str">
        <x:v>Component</x:v>
      </x:c>
      <x:c r="AJ285" s="4" t="n">
        <x:f>COUNTIFS('Material routes'!$D$6:$D$1005,A285,'Material routes'!$C$6:$C$1005,"Output")</x:f>
        <x:v>0</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status/completeness",IF(C285="T0","Raw entry feed; no production route","No production route listed"))</x:f>
        <x:v>No production route listed</x:v>
      </x:c>
      <x:c r="AN285" s="14" t="n">
        <x:f>IF(C285="T0",0,IF(C285="T1",1,IF(C285="T2",2,IF(C285="T3",3,IF(C285="T4",4,IF(C285="Unassigned",98,99))))))</x:f>
        <x:v>98</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15" customHeight="1">
      <x:c r="A286" s="9" t="str">
        <x:v>proposal.legger.scraper_ring</x:v>
      </x:c>
      <x:c r="B286" s="9" t="str">
        <x:v>Joint grit-scraper ring</x:v>
      </x:c>
      <x:c r="C286" s="4" t="str">
        <x:v>Unassigned</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unassigned; not applicable; component</x:v>
      </x:c>
      <x:c r="AF286" s="4" t="str">
        <x:v>Specific parts and protective properties remain proposals; ancient-material scarcity is established author direction.</x:v>
      </x:c>
      <x:c r="AG286" s="4" t="str">
        <x:v>Choose a material/part route before assigning a tier. Processing-stage labels alone do not prove chain depth.</x:v>
      </x:c>
      <x:c r="AH286" s="4" t="str">
        <x:v>Not applicable</x:v>
      </x:c>
      <x:c r="AI286" s="4" t="str">
        <x:v>Component</x:v>
      </x:c>
      <x:c r="AJ286" s="4" t="n">
        <x:f>COUNTIFS('Material routes'!$D$6:$D$1005,A286,'Material routes'!$C$6:$C$1005,"Output")</x:f>
        <x:v>0</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status/completeness",IF(C286="T0","Raw entry feed; no production route","No production route listed"))</x:f>
        <x:v>No production route listed</x:v>
      </x:c>
      <x:c r="AN286" s="14" t="n">
        <x:f>IF(C286="T0",0,IF(C286="T1",1,IF(C286="T2",2,IF(C286="T3",3,IF(C286="T4",4,IF(C286="Unassigned",98,99))))))</x:f>
        <x:v>98</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str">
        <x:v>Equipment</x:v>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F287" s="4" t="str">
        <x:v>Specific parts and protective properties remain proposals; ancient-material scarcity is established author direction.</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status/completeness",IF(C287="T0","Raw entry feed; no production route","No production route listed"))</x:f>
        <x:v>No production route listed</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15" customHeight="1">
      <x:c r="A288" s="9" t="str">
        <x:v>proposal.legger.service_adapter</x:v>
      </x:c>
      <x:c r="B288" s="9" t="str">
        <x:v>Lubricant service-port adapter</x:v>
      </x:c>
      <x:c r="C288" s="4" t="str">
        <x:v>Unassigned</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unassigned; not applicable; component</x:v>
      </x:c>
      <x:c r="AF288" s="4" t="str">
        <x:v>Specific parts and protective properties remain proposals; ancient-material scarcity is established author direction.</x:v>
      </x:c>
      <x:c r="AG288" s="4" t="str">
        <x:v>Choose a material/part route before assigning a tier. Processing-stage labels alone do not prove chain depth.</x:v>
      </x:c>
      <x:c r="AH288" s="4" t="str">
        <x:v>Not applicable</x:v>
      </x:c>
      <x:c r="AI288" s="4" t="str">
        <x:v>Component</x:v>
      </x:c>
      <x:c r="AJ288" s="4" t="n">
        <x:f>COUNTIFS('Material routes'!$D$6:$D$1005,A288,'Material routes'!$C$6:$C$1005,"Output")</x:f>
        <x:v>0</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status/completeness",IF(C288="T0","Raw entry feed; no production route","No production route listed"))</x:f>
        <x:v>No production route listed</x:v>
      </x:c>
      <x:c r="AN288" s="14" t="n">
        <x:f>IF(C288="T0",0,IF(C288="T1",1,IF(C288="T2",2,IF(C288="T3",3,IF(C288="T4",4,IF(C288="Unassigned",98,99))))))</x:f>
        <x:v>98</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str">
        <x:v>Equipment</x:v>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F289" s="4" t="str">
        <x:v>Specific parts and protective properties remain proposals; ancient-material scarcity is established author direction.</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status/completeness",IF(C289="T0","Raw entry feed; no production route","No production route listed"))</x:f>
        <x:v>No production route listed</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str">
        <x:v>Equipment</x:v>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F290" s="4" t="str">
        <x:v>Specific parts and protective properties remain proposals; ancient-material scarcity is established author direction.</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status/completeness",IF(C290="T0","Raw entry feed; no production route","No production route listed"))</x:f>
        <x:v>No production route listed</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str">
        <x:v>Equipment</x:v>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F291" s="4" t="str">
        <x:v>Specific parts and protective properties remain proposals; ancient-material scarcity is established author direction.</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status/completeness",IF(C291="T0","Raw entry feed; no production route","No production route listed"))</x:f>
        <x:v>No production route listed</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str">
        <x:v>Equipment</x:v>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F292" s="4" t="str">
        <x:v>Specific parts and protective properties remain proposals; ancient-material scarcity is established author direction.</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status/completeness",IF(C292="T0","Raw entry feed; no production route","No production route listed"))</x:f>
        <x:v>No production route listed</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str">
        <x:v>Equipment</x:v>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equipment; legger armor; armor; finished item; manufactured / unresolved; protection; metal; panel; proposal; legger; leger; companion replacement part; not applicable; unassigned; finished item</x:v>
      </x:c>
      <x:c r="AF293" s="4" t="str">
        <x:v>Specific parts and protective properties remain proposals; ancient-material scarcity is established author direction.</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status/completeness",IF(C293="T0","Raw entry feed; no production route","No production route listed"))</x:f>
        <x:v>No production route listed</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str">
        <x:v>Equipment</x:v>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F294" s="4" t="str">
        <x:v>Specific parts and protective properties remain proposals; ancient-material scarcity is established author direction.</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status/completeness",IF(C294="T0","Raw entry feed; no production route","No production route listed"))</x:f>
        <x:v>No production route listed</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str">
        <x:v>Equipment</x:v>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equipment; legger armor; armor; finished item; manufactured / unresolved; protection; metal; panel; proposal; legger; leger; companion replacement part; not applicable; unassigned; finished item</x:v>
      </x:c>
      <x:c r="AF295" s="4" t="str">
        <x:v>Specific parts and protective properties remain proposals; ancient-material scarcity is established author direction.</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status/completeness",IF(C295="T0","Raw entry feed; no production route","No production route listed"))</x:f>
        <x:v>No production route listed</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str">
        <x:v>Equipment</x:v>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F296" s="4" t="str">
        <x:v>Specific parts and protective properties remain proposals; ancient-material scarcity is established author direction.</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status/completeness",IF(C296="T0","Raw entry feed; no production route","No production route listed"))</x:f>
        <x:v>No production route listed</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str">
        <x:v>Equipment</x:v>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F297" s="4" t="str">
        <x:v>Specific parts and protective properties remain proposals; ancient-material scarcity is established author direction.</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status/completeness",IF(C297="T0","Raw entry feed; no production route","No production route listed"))</x:f>
        <x:v>No production route listed</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15" customHeight="1">
      <x:c r="A298" s="9" t="str">
        <x:v>proposal.legger.guard_hinge</x:v>
      </x:c>
      <x:c r="B298" s="9" t="str">
        <x:v>Armor-guard hinge assembly</x:v>
      </x:c>
      <x:c r="C298" s="4" t="str">
        <x:v>Unassigned</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unassigned; not applicable; component</x:v>
      </x:c>
      <x:c r="AF298" s="4" t="str">
        <x:v>Specific parts and protective properties remain proposals; ancient-material scarcity is established author direction.</x:v>
      </x:c>
      <x:c r="AG298" s="4" t="str">
        <x:v>Choose a material/part route before assigning a tier. Processing-stage labels alone do not prove chain depth.</x:v>
      </x:c>
      <x:c r="AH298" s="4" t="str">
        <x:v>Not applicable</x:v>
      </x:c>
      <x:c r="AI298" s="4" t="str">
        <x:v>Component</x:v>
      </x:c>
      <x:c r="AJ298" s="4" t="n">
        <x:f>COUNTIFS('Material routes'!$D$6:$D$1005,A298,'Material routes'!$C$6:$C$1005,"Output")</x:f>
        <x:v>0</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status/completeness",IF(C298="T0","Raw entry feed; no production route","No production route listed"))</x:f>
        <x:v>No production route listed</x:v>
      </x:c>
      <x:c r="AN298" s="14" t="n">
        <x:f>IF(C298="T0",0,IF(C298="T1",1,IF(C298="T2",2,IF(C298="T3",3,IF(C298="T4",4,IF(C298="Unassigned",98,99))))))</x:f>
        <x:v>98</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15" customHeight="1">
      <x:c r="A299" s="9" t="str">
        <x:v>proposal.legger.plasteel_collar</x:v>
      </x:c>
      <x:c r="B299" s="9" t="str">
        <x:v>Ancient plasteel joint collar</x:v>
      </x:c>
      <x:c r="C299" s="4" t="str">
        <x:v>Unassigned</x:v>
      </x:c>
      <x:c r="D299" s="9" t="str">
        <x:v>Crafting components</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299" s="4" t="str">
        <x:v>Specific parts and protective properties remain proposals; ancient-material scarcity is established author direction.</x:v>
      </x:c>
      <x:c r="AG299" s="4" t="str">
        <x:v>Tier requires a chosen production route; recovered ancient material is not automatically T4.</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98</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15" customHeight="1">
      <x:c r="A300" s="9" t="str">
        <x:v>proposal.legger.tension_member</x:v>
      </x:c>
      <x:c r="B300" s="9" t="str">
        <x:v>Ancient nanocarbon tension member</x:v>
      </x:c>
      <x:c r="C300" s="4" t="str">
        <x:v>Unassigned</x:v>
      </x:c>
      <x:c r="D300" s="9" t="str">
        <x:v>Crafting components</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300" s="4" t="str">
        <x:v>Specific parts and protective properties remain proposals; ancient-material scarcity is established author direction.</x:v>
      </x:c>
      <x:c r="AG300" s="4" t="str">
        <x:v>Tier requires a chosen production route; recovered ancient material is not automatically T4.</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98</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15" customHeight="1">
      <x:c r="A301" s="9" t="str">
        <x:v>proposal.legger.friction_insert</x:v>
      </x:c>
      <x:c r="B301" s="9" t="str">
        <x:v>Ancient friction-interface insert</x:v>
      </x:c>
      <x:c r="C301" s="4" t="str">
        <x:v>Unassigned</x:v>
      </x:c>
      <x:c r="D301" s="9" t="str">
        <x:v>Crafting components</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 unassigned; unassigned; component</x:v>
      </x:c>
      <x:c r="AF301" s="4" t="str">
        <x:v>Specific parts and protective properties remain proposals; ancient-material scarcity is established author direction.</x:v>
      </x:c>
      <x:c r="AG301" s="4" t="str">
        <x:v>Tier requires a chosen production route; recovered ancient material is not automatically T4.</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98</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15" customHeight="1">
      <x:c r="A302" s="9" t="str">
        <x:v>proposal.legger.ceramic_race</x:v>
      </x:c>
      <x:c r="B302" s="9" t="str">
        <x:v>Ancient precision ceramic bearing race</x:v>
      </x:c>
      <x:c r="C302" s="4" t="str">
        <x:v>Unassigned</x:v>
      </x:c>
      <x:c r="D302" s="9" t="str">
        <x:v>Crafting components</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 unassigned; unassigned; component</x:v>
      </x:c>
      <x:c r="AF302" s="4" t="str">
        <x:v>Specific parts and protective properties remain proposals; ancient-material scarcity is established author direction.</x:v>
      </x:c>
      <x:c r="AG302" s="4" t="str">
        <x:v>Tier requires a chosen production route; recovered ancient material is not automatically T4.</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98</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str">
        <x:v>Equipment</x:v>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F303" s="4" t="str">
        <x:v>Specific parts and protective properties remain proposals; ancient-material scarcity is established author direction.</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15" customHeight="1">
      <x:c r="A304" s="9" t="str">
        <x:v>proposal.legger.interface_adapter</x:v>
      </x:c>
      <x:c r="B304" s="9" t="str">
        <x:v>Ancient module interface adapter</x:v>
      </x:c>
      <x:c r="C304" s="4" t="str">
        <x:v>Unassigned</x:v>
      </x:c>
      <x:c r="D304" s="9" t="str">
        <x:v>Crafting components</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 unassigned; unassigned; component</x:v>
      </x:c>
      <x:c r="AF304" s="4" t="str">
        <x:v>Specific parts and protective properties remain proposals; ancient-material scarcity is established author direction.</x:v>
      </x:c>
      <x:c r="AG304" s="4" t="str">
        <x:v>Tier requires a chosen production route; recovered ancient material is not automatically T4.</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98</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status/completeness",IF(C305="T0","Raw entry feed; no production route","No production route listed"))</x:f>
        <x:v>No production route listed</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unassigned;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status/completeness",IF(C306="T0","Raw entry feed; no production route","No production route listed"))</x:f>
        <x:v>No production route listed</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unassigned;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status/completeness",IF(C307="T0","Raw entry feed; no production route","No production route listed"))</x:f>
        <x:v>No production route listed</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unassigned;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status/completeness",IF(C308="T0","Raw entry feed; no production route","No production route listed"))</x:f>
        <x:v>No production route listed</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unassigned;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status/completeness",IF(C309="T0","Raw entry feed; no production route","No production route listed"))</x:f>
        <x:v>No production route listed</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status/completeness",IF(C310="T0","Raw entry feed; no production route","No production route listed"))</x:f>
        <x:v>No production route listed</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status/completeness",IF(C311="T0","Raw entry feed; no production route","No production route listed"))</x:f>
        <x:v>No production route listed</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status/completeness",IF(C312="T0","Raw entry feed; no production route","No production route listed"))</x:f>
        <x:v>No production route listed</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unassigned;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status/completeness",IF(C313="T0","Raw entry feed; no production route","No production route listed"))</x:f>
        <x:v>No production route listed</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15" customHeight="1">
      <x:c r="A314" s="9" t="str">
        <x:v>proposal.food.edible_flakes</x:v>
      </x:c>
      <x:c r="B314" s="9" t="str">
        <x:v>Prepared edible-fauna flakes</x:v>
      </x:c>
      <x:c r="C314" s="4" t="str">
        <x:v>Unassigned</x:v>
      </x:c>
      <x:c r="D314" s="9" t="str">
        <x:v>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resources; prepared fauna food ingredient; food material; processed intermediate; fauna; food preparation; faunal tissue; particles; proposal; phagea; algae; unassigned; not applicable; material</x:v>
      </x:c>
      <x:c r="AF314" s="4" t="str">
        <x:v>Accepted direction for processed-food families; individual recipes, ingredient qualification and effects remain design proposals.</x:v>
      </x:c>
      <x:c r="AG314" s="4" t="str">
        <x:v>Choose a material/part route before assigning a tier. Processing-stage labels alone do not prove chain depth.</x:v>
      </x:c>
      <x:c r="AH314" s="4" t="str">
        <x:v>Not applicable</x:v>
      </x:c>
      <x:c r="AI314" s="4" t="str">
        <x:v>Material</x:v>
      </x:c>
      <x:c r="AJ314" s="4" t="n">
        <x:f>COUNTIFS('Material routes'!$D$6:$D$1005,A314,'Material routes'!$C$6:$C$1005,"Output")</x:f>
        <x:v>0</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status/completeness",IF(C314="T0","Raw entry feed; no production route","No production route listed"))</x:f>
        <x:v>No production route listed</x:v>
      </x:c>
      <x:c r="AN314" s="14" t="n">
        <x:f>IF(C314="T0",0,IF(C314="T1",1,IF(C314="T2",2,IF(C314="T3",3,IF(C314="T4",4,IF(C314="Unassigned",98,99))))))</x:f>
        <x:v>98</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15" customHeight="1">
      <x:c r="A315" s="9" t="str">
        <x:v>proposal.food.edible_paste</x:v>
      </x:c>
      <x:c r="B315" s="9" t="str">
        <x:v>Prepared edible-fauna paste</x:v>
      </x:c>
      <x:c r="C315" s="4" t="str">
        <x:v>Unassigned</x:v>
      </x:c>
      <x:c r="D315" s="9" t="str">
        <x:v>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resources; prepared fauna food ingredient; food material; processed intermediate; fauna; food preparation; faunal tissue; paste; proposal; phagea; algae; unassigned; not applicable; material</x:v>
      </x:c>
      <x:c r="AF315" s="4" t="str">
        <x:v>Accepted direction for processed-food families; individual recipes, ingredient qualification and effects remain design proposals.</x:v>
      </x:c>
      <x:c r="AG315" s="4" t="str">
        <x:v>Choose a material/part route before assigning a tier. Processing-stage labels alone do not prove chain depth.</x:v>
      </x:c>
      <x:c r="AH315" s="4" t="str">
        <x:v>Not applicable</x:v>
      </x:c>
      <x:c r="AI315" s="4" t="str">
        <x:v>Material</x:v>
      </x:c>
      <x:c r="AJ315" s="4" t="n">
        <x:f>COUNTIFS('Material routes'!$D$6:$D$1005,A315,'Material routes'!$C$6:$C$1005,"Output")</x:f>
        <x:v>0</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status/completeness",IF(C315="T0","Raw entry feed; no production route","No production route listed"))</x:f>
        <x:v>No production route listed</x:v>
      </x:c>
      <x:c r="AN315" s="14" t="n">
        <x:f>IF(C315="T0",0,IF(C315="T1",1,IF(C315="T2",2,IF(C315="T3",3,IF(C315="T4",4,IF(C315="Unassigned",98,99))))))</x:f>
        <x:v>98</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status/completeness",IF(C316="T0","Raw entry feed; no production route","No production route listed"))</x:f>
        <x:v>No production route listed</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unassigned;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status/completeness",IF(C317="T0","Raw entry feed; no production route","No production route listed"))</x:f>
        <x:v>No production route listed</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unassigned;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status/completeness",IF(C318="T0","Raw entry feed; no production route","No production route listed"))</x:f>
        <x:v>No production route listed</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resources; stone feedstock; raw material; raw; geological; binding and construction; mineral; rock; proposal; ; t0; not applicable; material</x:v>
      </x:c>
      <x:c r="AF319" s="4" t="str">
        <x:v>Specific raw form and candidate uses are proposals; no automatic biological function, chemistry, deposit or crafting capability.</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resources; stone feedstock; raw material; raw; geological; surface finishing; mineral; rock; proposal; ; t0; not applicable; material</x:v>
      </x:c>
      <x:c r="AF321" s="4" t="str">
        <x:v>Specific raw form and candidate uses are proposals; no automatic biological function, chemistry, deposit or crafting capability.</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resources; stone feedstock; raw material; raw; geological; glass and ceramics; mineral; rock; proposal; ; t0; not applicable; material</x:v>
      </x:c>
      <x:c r="AF322" s="4" t="str">
        <x:v>Specific raw form and candidate uses are proposals; no automatic biological function, chemistry, deposit or crafting capability.</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Resources</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resources;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Resources</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resources;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Resources</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resources;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Resources</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resources;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Resources</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resources;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Resources</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resources;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Resources</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resources;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resources; stone feedstock; raw material; raw; geological; binding and construction; mineral; rock; proposal; ; t0; not applicable; material</x:v>
      </x:c>
      <x:c r="AF335" s="4" t="str">
        <x:v>Specific raw form and candidate uses are proposals; no automatic biological function, chemistry, deposit or crafting capability.</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resources; stone feedstock; raw material; raw; geological; tool fabrication; mineral; rock; proposal; ; t0; not applicable; material</x:v>
      </x:c>
      <x:c r="AF336" s="4" t="str">
        <x:v>Specific raw form and candidate uses are proposals; no automatic biological function, chemistry, deposit or crafting capability.</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resources; stone feedstock; raw material; raw; geological; surface finishing; mineral; rock; proposal; ; t0; not applicable; material</x:v>
      </x:c>
      <x:c r="AF337" s="4" t="str">
        <x:v>Specific raw form and candidate uses are proposals; no automatic biological function, chemistry, deposit or crafting capability.</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resources; stone feedstock; raw material; raw; geological; fabrication; mineral; rock; proposal; ; t0; not applicable; material</x:v>
      </x:c>
      <x:c r="AF338" s="4" t="str">
        <x:v>Specific raw form and candidate uses are proposals; no automatic biological function, chemistry, deposit or crafting capability.</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resources; faunal hard-part feedstock; raw material; raw; fauna; vision; faunal tissue; solid piece; proposal; ; t0; not applicable; material</x:v>
      </x:c>
      <x:c r="AF344" s="4" t="str">
        <x:v>Specific raw form and candidate uses are proposals; no automatic biological function, chemistry, deposit or crafting capability.</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Resources</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resources;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Resources</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resources;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Resources</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resources;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Resources</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resources;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Resources</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resources;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Resources</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resources;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Resources</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resources;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Resources</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resources;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Resources</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resources;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Resources</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resources;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Resources</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resources;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Resources</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resources;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Resources</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resources; tier 1 material concept; processed material; processed intermediate; geological; metal refining; metal; solid piece; proposal; fabrication; t1; not applicable; material</x:v>
      </x:c>
      <x:c r="AF359" s="4" t="str">
        <x:v>First-stage refinement proposal. Source material/cultural records remain proposal-stage.</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2</x:v>
      </x:c>
      <x:c r="AL359" s="4" t="n">
        <x:f>COUNTIFS('Material routes'!$D$6:$D$1005,A359,'Material routes'!$C$6:$C$1005,"Tool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Resources</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resources; tier 1 material concept; processed material; processed intermediate; geological; electrical conduction; metal; solid piece; proposal; fabrication; t1; not applicable; material</x:v>
      </x:c>
      <x:c r="AF360" s="4" t="str">
        <x:v>First-stage refinement proposal. Source material/cultural records remain proposal-stage.</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1</x:v>
      </x:c>
      <x:c r="AL360" s="4" t="n">
        <x:f>COUNTIFS('Material routes'!$D$6:$D$1005,A360,'Material routes'!$C$6:$C$1005,"Tool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Resources</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resources; tier 1 material concept; processed material; processed intermediate; industrial salvage; fabrication; metal; solid piece; proposal; ; t1; not applicable; material</x:v>
      </x:c>
      <x:c r="AF361" s="4" t="str">
        <x:v>First-stage refinement proposal. Source material/cultural records remain proposal-stage.</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Resources</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resources; tier 1 material concept; processed material; processed intermediate; industrial salvage; fabrication; metal; solid piece; proposal; ; t1; not applicable; material</x:v>
      </x:c>
      <x:c r="AF362" s="4" t="str">
        <x:v>First-stage refinement proposal. Source material/cultural records remain proposal-stage.</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1</x:v>
      </x:c>
      <x:c r="AL362" s="4" t="n">
        <x:f>COUNTIFS('Material routes'!$D$6:$D$1005,A362,'Material routes'!$C$6:$C$1005,"Tool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Resources</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resources; tier 1 material concept; processed material; processed intermediate; geological; glass and ceramics; glass; solid piece; proposal; fabrication; t1; not applicable; material</x:v>
      </x:c>
      <x:c r="AF363" s="4" t="str">
        <x:v>First-stage refinement proposal. Source material/cultural records remain proposal-stage.</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1</x:v>
      </x:c>
      <x:c r="AL363" s="4" t="n">
        <x:f>COUNTIFS('Material routes'!$D$6:$D$1005,A363,'Material routes'!$C$6:$C$1005,"Tool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Resources</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resources; tier 1 material concept; processed material; processed intermediate; geological; inspection; glass; solid piece; proposal; glass and ceramics; t1; not applicable; material</x:v>
      </x:c>
      <x:c r="AF364" s="4" t="str">
        <x:v>First-stage refinement proposal. Source material/cultural records remain proposal-stage.</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1</x:v>
      </x:c>
      <x:c r="AL364" s="4" t="n">
        <x:f>COUNTIFS('Material routes'!$D$6:$D$1005,A364,'Material routes'!$C$6:$C$1005,"Tool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Resources</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resources; tier 1 material concept; processed material; processed intermediate; geological; binding and construction; mineral; solid piece; proposal; fabrication; t1; not applicable; material</x:v>
      </x:c>
      <x:c r="AF365" s="4" t="str">
        <x:v>First-stage refinement proposal. Source material/cultural records remain proposal-stage.</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Resources</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resources; tier 1 material concept; processed material; processed intermediate; geological; music; mineral; solid piece; proposal; fabrication; t1; not applicable; material</x:v>
      </x:c>
      <x:c r="AF366" s="4" t="str">
        <x:v>First-stage refinement proposal. Source material/cultural records remain proposal-stage.</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1</x:v>
      </x:c>
      <x:c r="AL366" s="4" t="n">
        <x:f>COUNTIFS('Material routes'!$D$6:$D$1005,A366,'Material routes'!$C$6:$C$1005,"Tool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Resources</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resources; tier 1 material concept; processed material; processed intermediate; geological; decoration; mineral; particles; proposal; writing and records; t1; not applicable; material</x:v>
      </x:c>
      <x:c r="AF367" s="4" t="str">
        <x:v>First-stage refinement proposal. Source material/cultural records remain proposal-stage.</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1</x:v>
      </x:c>
      <x:c r="AL367" s="4" t="n">
        <x:f>COUNTIFS('Material routes'!$D$6:$D$1005,A367,'Material routes'!$C$6:$C$1005,"Tool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Resources</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resources; tier 1 material concept; processed material; processed intermediate; geological; binding and construction; mineral; particles; proposal; fabrication; t1; not applicable; material</x:v>
      </x:c>
      <x:c r="AF368" s="4" t="str">
        <x:v>First-stage refinement proposal. Source material/cultural records remain proposal-stage.</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2</x:v>
      </x:c>
      <x:c r="AL368" s="4" t="n">
        <x:f>COUNTIFS('Material routes'!$D$6:$D$1005,A368,'Material routes'!$C$6:$C$1005,"Tool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Resources</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resources; tier 1 material concept; processed material; processed intermediate; industrial salvage; glass and ceramics; glass; particles; proposal; ; t1; not applicable; material</x:v>
      </x:c>
      <x:c r="AF369" s="4" t="str">
        <x:v>First-stage refinement proposal. Source material/cultural records remain proposal-stage.</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Resources</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resources; tier 1 material concept; processed material; processed intermediate; geological; fabrication; mineral; particles; proposal; decoration; t1; not applicable; material</x:v>
      </x:c>
      <x:c r="AF370" s="4" t="str">
        <x:v>First-stage refinement proposal. Source material/cultural records remain proposal-stage.</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1</x:v>
      </x:c>
      <x:c r="AL370" s="4" t="n">
        <x:f>COUNTIFS('Material routes'!$D$6:$D$1005,A370,'Material routes'!$C$6:$C$1005,"Tool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Resources</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resources; tier 1 material concept; processed material; processed intermediate; fauna; paper making; husk fiber; unresolved; proposal; textile processing; t1; not applicable; material</x:v>
      </x:c>
      <x:c r="AF371" s="4" t="str">
        <x:v>First-stage refinement proposal. Source material/cultural records remain proposal-stage.</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Resources</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resources; tier 1 material concept; processed material; processed intermediate; fauna; dust exclusion; faunal fiber; bundle; proposal; ; t1; not applicable; material</x:v>
      </x:c>
      <x:c r="AF372" s="4" t="str">
        <x:v>First-stage refinement proposal. Source material/cultural records remain proposal-stage.</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0</x:v>
      </x:c>
      <x:c r="AL372" s="4" t="n">
        <x:f>COUNTIFS('Material routes'!$D$6:$D$1005,A372,'Material routes'!$C$6:$C$1005,"Tool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Resources</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resources; tier 1 material concept; processed material; processed intermediate; fauna; protective fabrication; shell / chitin; sheet; proposal; fabrication; t1; not applicable; material</x:v>
      </x:c>
      <x:c r="AF373" s="4" t="str">
        <x:v>First-stage refinement proposal. Source material/cultural records remain proposal-stage.</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Resources</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resources; tier 1 material concept; processed material; processed intermediate; fauna; tool fabrication; faunal hard tissue; solid piece; proposal; ; t1; not applicable; material</x:v>
      </x:c>
      <x:c r="AF374" s="4" t="str">
        <x:v>First-stage refinement proposal. Source material/cultural records remain proposal-stage.</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0</x:v>
      </x:c>
      <x:c r="AL374" s="4" t="n">
        <x:f>COUNTIFS('Material routes'!$D$6:$D$1005,A374,'Material routes'!$C$6:$C$1005,"Tool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Resources</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resources; tier 1 material concept; processed material; processed intermediate; geological; chemical processing; mineral; particles; proposal; ; t1; not applicable; material</x:v>
      </x:c>
      <x:c r="AF375" s="4" t="str">
        <x:v>First-stage refinement proposal. Source material/cultural records remain proposal-stage.</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1</x:v>
      </x:c>
      <x:c r="AL375" s="4" t="n">
        <x:f>COUNTIFS('Material routes'!$D$6:$D$1005,A375,'Material routes'!$C$6:$C$1005,"Tool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Resources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resources;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4</x:v>
      </x:c>
      <x:c r="AL376" s="4" t="n">
        <x:f>COUNTIFS('Material routes'!$D$6:$D$1005,A376,'Material routes'!$C$6:$C$1005,"Tool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Resources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resources;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4</x:v>
      </x:c>
      <x:c r="AL377" s="4" t="n">
        <x:f>COUNTIFS('Material routes'!$D$6:$D$1005,A377,'Material routes'!$C$6:$C$1005,"Tool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Resources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resources; tier 1 material concept; chemical material; processed intermediate; fauna; equipment repair; biological chemical; unresolved; proposal; sealing; t1; not applicable; material</x:v>
      </x:c>
      <x:c r="AF378" s="4" t="str">
        <x:v>First-stage refinement proposal. Source material/cultural records remain proposal-stage.</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1</x:v>
      </x:c>
      <x:c r="AL378" s="4" t="n">
        <x:f>COUNTIFS('Material routes'!$D$6:$D$1005,A378,'Material routes'!$C$6:$C$1005,"Tool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Resources</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resources; tier 1 material concept; processed material; processed intermediate; geological; decoration; gemstone; solid piece; proposal; ; t1; not applicable; material</x:v>
      </x:c>
      <x:c r="AF379" s="4" t="str">
        <x:v>First-stage refinement proposal. Source material/cultural records remain proposal-stage.</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1</x:v>
      </x:c>
      <x:c r="AL379" s="4" t="n">
        <x:f>COUNTIFS('Material routes'!$D$6:$D$1005,A379,'Material routes'!$C$6:$C$1005,"Tool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Resources</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resources; tier 1 material concept; processed material; processed intermediate; geological; decoration; gemstone; particles; proposal; ; t1; not applicable; material</x:v>
      </x:c>
      <x:c r="AF380" s="4" t="str">
        <x:v>First-stage refinement proposal. Source material/cultural records remain proposal-stage.</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Resources</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resources; tier 1 material concept; processed material; processed intermediate; fauna; decoration; shell / chitin; sheet; proposal; ; t1; not applicable; material</x:v>
      </x:c>
      <x:c r="AF381" s="4" t="str">
        <x:v>First-stage refinement proposal. Source material/cultural records remain proposal-stage.</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Resources</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resources; tier 1 material concept; processed material; processed intermediate; geological; inspection; mineral; sheet; proposal; fabrication; t1; not applicable; material</x:v>
      </x:c>
      <x:c r="AF382" s="4" t="str">
        <x:v>First-stage refinement proposal. Source material/cultural records remain proposal-stage.</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str">
        <x:v>Equipment</x:v>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F383" s="4" t="str">
        <x:v>Existence and machine-tech reverse-engineering origin are author direction. Physical construction and performance remain undefined.</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status/completeness",IF(C383="T0","Raw entry feed; no production route","No production route listed"))</x:f>
        <x:v>No production route listed</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str">
        <x:v>Equipment</x:v>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F388" s="4" t="str">
        <x:v>Existence and intended function are author direction; construction and technical origin remain unassigned.</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status/completeness",IF(C388="T0","Raw entry feed; no production route","No production route listed"))</x:f>
        <x:v>No production route listed</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str">
        <x:v>Equipment</x:v>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F389" s="4" t="str">
        <x:v>Existence and intended function are author direction; construction and technical origin remain unassigned.</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status/completeness",IF(C389="T0","Raw entry feed; no production route","No production route listed"))</x:f>
        <x:v>No production route listed</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str">
        <x:v>Equipment</x:v>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F390" s="4" t="str">
        <x:v>Existence and intended function are author direction; construction and technical origin remain unassigned.</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status/completeness",IF(C390="T0","Raw entry feed; no production route","No production route listed"))</x:f>
        <x:v>No production route listed</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str">
        <x:v>Equipment</x:v>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F391" s="4" t="str">
        <x:v>Existence and intended function are author direction; construction and technical origin remain unassigned.</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status/completeness",IF(C391="T0","Raw entry feed; no production route","No production route listed"))</x:f>
        <x:v>No production route listed</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str">
        <x:v>Equipment</x:v>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F392" s="4" t="str">
        <x:v>Existence and intended function are author direction; construction and technical origin remain unassigned.</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status/completeness",IF(C392="T0","Raw entry feed; no production route","No production route listed"))</x:f>
        <x:v>No production route listed</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status/completeness",IF(C393="T0","Raw entry feed; no production route","No production route listed"))</x:f>
        <x:v>No production route listed</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15" customHeight="1">
      <x:c r="A394" s="9" t="str">
        <x:v>author.electrical.insulation_stock</x:v>
      </x:c>
      <x:c r="B394" s="9" t="str">
        <x:v>Prepared electrical insulation stock</x:v>
      </x:c>
      <x:c r="C394" s="4" t="str">
        <x:v>Unassigned</x:v>
      </x:c>
      <x:c r="D394" s="9" t="str">
        <x:v>Resources</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 unassigned; not applicable; material</x:v>
      </x:c>
      <x:c r="AF394" s="4" t="str">
        <x:v>Existence and intended function are author direction; construction and technical origin remain unassigned.</x:v>
      </x:c>
      <x:c r="AG394" s="4" t="str">
        <x:v>No chosen refinement route establishes a material tier.</x:v>
      </x:c>
      <x:c r="AH394" s="4" t="str">
        <x:v>Not applicable</x:v>
      </x:c>
      <x:c r="AI394" s="4" t="str">
        <x:v>Material</x:v>
      </x:c>
      <x:c r="AJ394" s="4" t="n">
        <x:f>COUNTIFS('Material routes'!$D$6:$D$1005,A394,'Material routes'!$C$6:$C$1005,"Output")</x:f>
        <x:v>0</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0</x:v>
      </x:c>
      <x:c r="AL394" s="4" t="n">
        <x:f>COUNTIFS('Material routes'!$D$6:$D$1005,A394,'Material routes'!$C$6:$C$1005,"Tool candidate")</x:f>
        <x:v>0</x:v>
      </x:c>
      <x:c r="AM394" s="4" t="str">
        <x:f>IF(AJ394&gt;0,"Route listed; review status/completeness",IF(C394="T0","Raw entry feed; no production route","No production route listed"))</x:f>
        <x:v>No production route listed</x:v>
      </x:c>
      <x:c r="AN394" s="14" t="n">
        <x:f>IF(C394="T0",0,IF(C394="T1",1,IF(C394="T2",2,IF(C394="T3",3,IF(C394="T4",4,IF(C394="Unassigned",98,99))))))</x:f>
        <x:v>98</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str">
        <x:v>Equipment</x:v>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F395" s="4" t="str">
        <x:v>Existence and intended function are author direction; construction and technical origin remain unassigned.</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status/completeness",IF(C395="T0","Raw entry feed; no production route","No production route listed"))</x:f>
        <x:v>No production route listed</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str">
        <x:v>Equipment</x:v>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F396" s="4" t="str">
        <x:v>Existence and intended function are author direction; construction and technical origin remain unassigned.</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1</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str">
        <x:v>Equipment</x:v>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F397" s="4" t="str">
        <x:v>Existence and intended function are author direction; construction and technical origin remain unassigned.</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status/completeness",IF(C397="T0","Raw entry feed; no production route","No production route listed"))</x:f>
        <x:v>No production route listed</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str">
        <x:v>Equipment</x:v>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F398" s="4" t="str">
        <x:v>Forging hammers and anvils explicitly requested by the author; detailed construction unresolved.</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str">
        <x:v>Equipment</x:v>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equipment; workshop forging fixture; tool; finished item; manufactured / unresolved; metal forging; mixed / unresolved; assembly; author direction; smithing anvil; forging anvil; not applicable; unassigned; finished item</x:v>
      </x:c>
      <x:c r="AF399" s="4" t="str">
        <x:v>Forging hammers and anvils explicitly requested by the author; detailed construction unresolved.</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status/completeness",IF(C399="T0","Raw entry feed; no production route","No production route listed"))</x:f>
        <x:v>No production route listed</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str">
        <x:v>Equipment</x:v>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F400" s="4" t="str">
        <x:v>Supporting smithing tool proposed for review; not separately established game canon.</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status/completeness",IF(C400="T0","Raw entry feed; no production route","No production route listed"))</x:f>
        <x:v>No production route listed</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str">
        <x:v>Equipment</x:v>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F401" s="4" t="str">
        <x:v>Supporting smithing tool proposed for review; not separately established game canon.</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status/completeness",IF(C401="T0","Raw entry feed; no production route","No production route listed"))</x:f>
        <x:v>No production route listed</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str">
        <x:v>Equipment</x:v>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equipment; metal cutting tool; tool; finished item; manufactured / unresolved; metal forging; mixed / unresolved; assembly; proposal; hot chisel; hot cut; forging chisel; not applicable; unassigned; finished item</x:v>
      </x:c>
      <x:c r="AF402" s="4" t="str">
        <x:v>Supporting smithing tool proposed for review; not separately established game canon.</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status/completeness",IF(C402="T0","Raw entry feed; no production route","No production route listed"))</x:f>
        <x:v>No production route listed</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str">
        <x:v>Equipment</x:v>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equipment; metal piercing tool; tool; finished item; manufactured / unresolved; metal forging; mixed / unresolved; assembly; proposal; smithing punch; hot punch; metal punch; not applicable; unassigned; finished item</x:v>
      </x:c>
      <x:c r="AF403" s="4" t="str">
        <x:v>Supporting smithing tool proposed for review; not separately established game canon.</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status/completeness",IF(C403="T0","Raw entry feed; no production route","No production route listed"))</x:f>
        <x:v>No production route listed</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str">
        <x:v>Equipment</x:v>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F404" s="4" t="str">
        <x:v>Supporting smithing tool proposed for review; not separately established game canon.</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status/completeness",IF(C404="T0","Raw entry feed; no production route","No production route listed"))</x:f>
        <x:v>No production route listed</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str">
        <x:v>Equipment</x:v>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F405" s="4" t="str">
        <x:v>Supporting smithing tool proposed for review; not separately established game canon.</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status/completeness",IF(C405="T0","Raw entry feed; no production route","No production route listed"))</x:f>
        <x:v>No production route listed</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str">
        <x:v>Equipment</x:v>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F406" s="4" t="str">
        <x:v>Supporting smithing tool proposed for review; not separately established game canon.</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status/completeness",IF(C406="T0","Raw entry feed; no production route","No production route listed"))</x:f>
        <x:v>No production route listed</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str">
        <x:v>Equipment</x:v>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F407" s="4" t="str">
        <x:v>Supporting smithing tool proposed for review; not separately established game canon.</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status/completeness",IF(C407="T0","Raw entry feed; no production route","No production route listed"))</x:f>
        <x:v>No production route listed</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Resources</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resources;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routes'!$D$6:$D$1005,A408,'Material routes'!$C$6:$C$1005,"Output")</x:f>
        <x:v>1</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5</x:v>
      </x:c>
      <x:c r="AL408" s="4" t="n">
        <x:f>COUNTIFS('Material routes'!$D$6:$D$1005,A408,'Material routes'!$C$6:$C$1005,"Tool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str">
        <x:v>Equipment</x:v>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F409" s="4" t="str">
        <x:v>Inner-city carriage/car families and a dominant bipedal machinery context are author direction; their individual construction remains undefined.</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status/completeness",IF(C409="T0","Raw entry feed; no production route","No production route listed"))</x:f>
        <x:v>No production route listed</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str">
        <x:v>Equipment</x:v>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F410" s="4" t="str">
        <x:v>Inner-city carriage/car families and a dominant bipedal machinery context are author direction; their individual construction remains undefined.</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status/completeness",IF(C410="T0","Raw entry feed; no production route","No production route listed"))</x:f>
        <x:v>No production route listed</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Resources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routes'!$D$6:$D$1005,A411,'Material routes'!$C$6:$C$1005,"Output")</x:f>
        <x:v>1</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15" customHeight="1">
      <x:c r="A412" s="9" t="str">
        <x:v>proposal.corrosion.converter</x:v>
      </x:c>
      <x:c r="B412" s="9" t="str">
        <x:v>Rust-conversion treatment</x:v>
      </x:c>
      <x:c r="C412" s="4" t="str">
        <x:v>Unassigned</x:v>
      </x:c>
      <x:c r="D412" s="9" t="str">
        <x:v>Resources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resources; metal surface-treatment material; chemical material; processed intermediate; manufactured / unresolved; surface finishing; mixed / unresolved; unresolved; proposal; rust converter; conversion treatment; oxide conversion; unassigned; not applicable; material</x:v>
      </x:c>
      <x:c r="AF412" s="4" t="str">
        <x:v>Supporting surface-treatment proposal informed by real-world distinctions; not separately accepted game canon.</x:v>
      </x:c>
      <x:c r="AG412" s="4" t="str">
        <x:v>Choose a material production route before assigning a numeric refinement tier.</x:v>
      </x:c>
      <x:c r="AH412" s="4" t="str">
        <x:v>Not applicable</x:v>
      </x:c>
      <x:c r="AI412" s="4" t="str">
        <x:v>Material</x:v>
      </x:c>
      <x:c r="AJ412" s="4" t="n">
        <x:f>COUNTIFS('Material routes'!$D$6:$D$1005,A412,'Material routes'!$C$6:$C$1005,"Output")</x:f>
        <x:v>0</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status/completeness",IF(C412="T0","Raw entry feed; no production route","No production route listed"))</x:f>
        <x:v>No production route listed</x:v>
      </x:c>
      <x:c r="AN412" s="14" t="n">
        <x:f>IF(C412="T0",0,IF(C412="T1",1,IF(C412="T2",2,IF(C412="T3",3,IF(C412="T4",4,IF(C412="Unassigned",98,99))))))</x:f>
        <x:v>98</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15" customHeight="1">
      <x:c r="A413" s="9" t="str">
        <x:v>proposal.corrosion.inhibitor</x:v>
      </x:c>
      <x:c r="B413" s="9" t="str">
        <x:v>Corrosion-inhibiting finish</x:v>
      </x:c>
      <x:c r="C413" s="4" t="str">
        <x:v>Unassigned</x:v>
      </x:c>
      <x:c r="D413" s="9" t="str">
        <x:v>Resources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resources; metal surface-treatment material; chemical material; processed intermediate; manufactured / unresolved; surface finishing; mixed / unresolved; unresolved; proposal; rust prevention; corrosion inhibitor; protective finish; unassigned; not applicable; material</x:v>
      </x:c>
      <x:c r="AF413" s="4" t="str">
        <x:v>Supporting surface-treatment proposal informed by real-world distinctions; not separately accepted game canon.</x:v>
      </x:c>
      <x:c r="AG413" s="4" t="str">
        <x:v>Choose a material production route before assigning a numeric refinement tier.</x:v>
      </x:c>
      <x:c r="AH413" s="4" t="str">
        <x:v>Not applicable</x:v>
      </x:c>
      <x:c r="AI413" s="4" t="str">
        <x:v>Material</x:v>
      </x:c>
      <x:c r="AJ413" s="4" t="n">
        <x:f>COUNTIFS('Material routes'!$D$6:$D$1005,A413,'Material routes'!$C$6:$C$1005,"Output")</x:f>
        <x:v>0</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status/completeness",IF(C413="T0","Raw entry feed; no production route","No production route listed"))</x:f>
        <x:v>No production route listed</x:v>
      </x:c>
      <x:c r="AN413" s="14" t="n">
        <x:f>IF(C413="T0",0,IF(C413="T1",1,IF(C413="T2",2,IF(C413="T3",3,IF(C413="T4",4,IF(C413="Unassigned",98,99))))))</x:f>
        <x:v>98</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x:v>
      </x:c>
      <x:c r="AG414" s="4" t="str">
        <x:v>Proposed tier: new raw entry feed.</x:v>
      </x:c>
      <x:c r="AH414" s="4" t="str">
        <x:v>Not applicable</x:v>
      </x:c>
      <x:c r="AI414" s="4" t="str">
        <x:v>Material</x:v>
      </x:c>
      <x:c r="AJ414" s="4" t="n">
        <x:f>COUNTIFS('Material routes'!$D$6:$D$1005,A414,'Material routes'!$C$6:$C$1005,"Output")</x:f>
        <x:v>0</x:v>
      </x:c>
      <x:c r="AK414" s="4" t="n">
        <x:f>SUM(COUNTIFS('Material routes'!$D$6:$D$1005,A414,'Material routes'!$C$6:$C$1005,"Ingredient candidate"),COUNTIFS('Material routes'!$D$6:$D$1005,A414,'Material routes'!$C$6:$C$1005,"Consumed input"),COUNTIFS('Material routes'!$D$6:$D$1005,A414,'Material routes'!$C$6:$C$1005,"Contained input"),COUNTIFS('Material routes'!$D$6:$D$1005,A414,'Material routes'!$C$6:$C$1005,"Transform input"))</x:f>
        <x:v>1</x:v>
      </x:c>
      <x:c r="AL414" s="4" t="n">
        <x:f>COUNTIFS('Material routes'!$D$6:$D$1005,A414,'Material routes'!$C$6:$C$1005,"Tool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Resources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resources;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x:v>
      </x:c>
      <x:c r="AG415" s="4" t="str">
        <x:v>Proposed tier: one above the highest listed material input; further ingredients may change the tier.</x:v>
      </x:c>
      <x:c r="AH415" s="4" t="str">
        <x:v>Not applicable</x:v>
      </x:c>
      <x:c r="AI415" s="4" t="str">
        <x:v>Material</x:v>
      </x:c>
      <x:c r="AJ415" s="4" t="n">
        <x:f>COUNTIFS('Material routes'!$D$6:$D$1005,A415,'Material routes'!$C$6:$C$1005,"Output")</x:f>
        <x:v>1</x:v>
      </x:c>
      <x:c r="AK415" s="4" t="n">
        <x:f>SUM(COUNTIFS('Material routes'!$D$6:$D$1005,A415,'Material routes'!$C$6:$C$1005,"Ingredient candidate"),COUNTIFS('Material routes'!$D$6:$D$1005,A415,'Material routes'!$C$6:$C$1005,"Consumed input"),COUNTIFS('Material routes'!$D$6:$D$1005,A415,'Material routes'!$C$6:$C$1005,"Contained input"),COUNTIFS('Material routes'!$D$6:$D$1005,A415,'Material routes'!$C$6:$C$1005,"Transform input"))</x:f>
        <x:v>3</x:v>
      </x:c>
      <x:c r="AL415" s="4" t="n">
        <x:f>COUNTIFS('Material routes'!$D$6:$D$1005,A415,'Material routes'!$C$6:$C$1005,"Tool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Resources</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resources;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x:v>
      </x:c>
      <x:c r="AG416" s="4" t="str">
        <x:v>Proposed tier: one above the highest listed material input; further ingredients may change the tier.</x:v>
      </x:c>
      <x:c r="AH416" s="4" t="str">
        <x:v>Not applicable</x:v>
      </x:c>
      <x:c r="AI416" s="4" t="str">
        <x:v>Material</x:v>
      </x:c>
      <x:c r="AJ416" s="4" t="n">
        <x:f>COUNTIFS('Material routes'!$D$6:$D$1005,A416,'Material routes'!$C$6:$C$1005,"Output")</x:f>
        <x:v>1</x:v>
      </x:c>
      <x:c r="AK416" s="4" t="n">
        <x:f>SUM(COUNTIFS('Material routes'!$D$6:$D$1005,A416,'Material routes'!$C$6:$C$1005,"Ingredient candidate"),COUNTIFS('Material routes'!$D$6:$D$1005,A416,'Material routes'!$C$6:$C$1005,"Consumed input"),COUNTIFS('Material routes'!$D$6:$D$1005,A416,'Material routes'!$C$6:$C$1005,"Contained input"),COUNTIFS('Material routes'!$D$6:$D$1005,A416,'Material routes'!$C$6:$C$1005,"Transform input"))</x:f>
        <x:v>1</x:v>
      </x:c>
      <x:c r="AL416" s="4" t="n">
        <x:f>COUNTIFS('Material routes'!$D$6:$D$1005,A416,'Material routes'!$C$6:$C$1005,"Tool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Resources</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resources;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x:v>
      </x:c>
      <x:c r="AG417" s="4" t="str">
        <x:v>Proposed tier: one above the highest listed material input; further ingredients may change the tier.</x:v>
      </x:c>
      <x:c r="AH417" s="4" t="str">
        <x:v>Not applicable</x:v>
      </x:c>
      <x:c r="AI417" s="4" t="str">
        <x:v>Material</x:v>
      </x:c>
      <x:c r="AJ417" s="4" t="n">
        <x:f>COUNTIFS('Material routes'!$D$6:$D$1005,A417,'Material routes'!$C$6:$C$1005,"Output")</x:f>
        <x:v>1</x:v>
      </x:c>
      <x:c r="AK417" s="4" t="n">
        <x:f>SUM(COUNTIFS('Material routes'!$D$6:$D$1005,A417,'Material routes'!$C$6:$C$1005,"Ingredient candidate"),COUNTIFS('Material routes'!$D$6:$D$1005,A417,'Material routes'!$C$6:$C$1005,"Consumed input"),COUNTIFS('Material routes'!$D$6:$D$1005,A417,'Material routes'!$C$6:$C$1005,"Contained input"),COUNTIFS('Material routes'!$D$6:$D$1005,A417,'Material routes'!$C$6:$C$1005,"Transform input"))</x:f>
        <x:v>1</x:v>
      </x:c>
      <x:c r="AL417" s="4" t="n">
        <x:f>COUNTIFS('Material routes'!$D$6:$D$1005,A417,'Material routes'!$C$6:$C$1005,"Tool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Resources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resources;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x:v>
      </x:c>
      <x:c r="AG418" s="4" t="str">
        <x:v>Proposed tier: one above the highest listed material input; further ingredients may change the tier.</x:v>
      </x:c>
      <x:c r="AH418" s="4" t="str">
        <x:v>Not applicable</x:v>
      </x:c>
      <x:c r="AI418" s="4" t="str">
        <x:v>Material</x:v>
      </x:c>
      <x:c r="AJ418" s="4" t="n">
        <x:f>COUNTIFS('Material routes'!$D$6:$D$1005,A418,'Material routes'!$C$6:$C$1005,"Output")</x:f>
        <x:v>1</x:v>
      </x:c>
      <x:c r="AK418" s="4" t="n">
        <x:f>SUM(COUNTIFS('Material routes'!$D$6:$D$1005,A418,'Material routes'!$C$6:$C$1005,"Ingredient candidate"),COUNTIFS('Material routes'!$D$6:$D$1005,A418,'Material routes'!$C$6:$C$1005,"Consumed input"),COUNTIFS('Material routes'!$D$6:$D$1005,A418,'Material routes'!$C$6:$C$1005,"Contained input"),COUNTIFS('Material routes'!$D$6:$D$1005,A418,'Material routes'!$C$6:$C$1005,"Transform input"))</x:f>
        <x:v>2</x:v>
      </x:c>
      <x:c r="AL418" s="4" t="n">
        <x:f>COUNTIFS('Material routes'!$D$6:$D$1005,A418,'Material routes'!$C$6:$C$1005,"Tool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Resources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resources;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x:v>
      </x:c>
      <x:c r="AG419" s="4" t="str">
        <x:v>Proposed tier: one above the highest listed material input; further ingredients may change the tier.</x:v>
      </x:c>
      <x:c r="AH419" s="4" t="str">
        <x:v>Not applicable</x:v>
      </x:c>
      <x:c r="AI419" s="4" t="str">
        <x:v>Material</x:v>
      </x:c>
      <x:c r="AJ419" s="4" t="n">
        <x:f>COUNTIFS('Material routes'!$D$6:$D$1005,A419,'Material routes'!$C$6:$C$1005,"Output")</x:f>
        <x:v>1</x:v>
      </x:c>
      <x:c r="AK419" s="4" t="n">
        <x:f>SUM(COUNTIFS('Material routes'!$D$6:$D$1005,A419,'Material routes'!$C$6:$C$1005,"Ingredient candidate"),COUNTIFS('Material routes'!$D$6:$D$1005,A419,'Material routes'!$C$6:$C$1005,"Consumed input"),COUNTIFS('Material routes'!$D$6:$D$1005,A419,'Material routes'!$C$6:$C$1005,"Contained input"),COUNTIFS('Material routes'!$D$6:$D$1005,A419,'Material routes'!$C$6:$C$1005,"Transform input"))</x:f>
        <x:v>1</x:v>
      </x:c>
      <x:c r="AL419" s="4" t="n">
        <x:f>COUNTIFS('Material routes'!$D$6:$D$1005,A419,'Material routes'!$C$6:$C$1005,"Tool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Resources</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resources;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x:v>
      </x:c>
      <x:c r="AG420" s="4" t="str">
        <x:v>Proposed tier: one above the highest listed material input; further ingredients may change the tier.</x:v>
      </x:c>
      <x:c r="AH420" s="4" t="str">
        <x:v>Not applicable</x:v>
      </x:c>
      <x:c r="AI420" s="4" t="str">
        <x:v>Material</x:v>
      </x:c>
      <x:c r="AJ420" s="4" t="n">
        <x:f>COUNTIFS('Material routes'!$D$6:$D$1005,A420,'Material routes'!$C$6:$C$1005,"Output")</x:f>
        <x:v>1</x:v>
      </x:c>
      <x:c r="AK420" s="4" t="n">
        <x:f>SUM(COUNTIFS('Material routes'!$D$6:$D$1005,A420,'Material routes'!$C$6:$C$1005,"Ingredient candidate"),COUNTIFS('Material routes'!$D$6:$D$1005,A420,'Material routes'!$C$6:$C$1005,"Consumed input"),COUNTIFS('Material routes'!$D$6:$D$1005,A420,'Material routes'!$C$6:$C$1005,"Contained input"),COUNTIFS('Material routes'!$D$6:$D$1005,A420,'Material routes'!$C$6:$C$1005,"Transform input"))</x:f>
        <x:v>1</x:v>
      </x:c>
      <x:c r="AL420" s="4" t="n">
        <x:f>COUNTIFS('Material routes'!$D$6:$D$1005,A420,'Material routes'!$C$6:$C$1005,"Tool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Resources</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resources;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x:v>
      </x:c>
      <x:c r="AG421" s="4" t="str">
        <x:v>Proposed tier: one above the highest listed material input; further ingredients may change the tier.</x:v>
      </x:c>
      <x:c r="AH421" s="4" t="str">
        <x:v>Not applicable</x:v>
      </x:c>
      <x:c r="AI421" s="4" t="str">
        <x:v>Material</x:v>
      </x:c>
      <x:c r="AJ421" s="4" t="n">
        <x:f>COUNTIFS('Material routes'!$D$6:$D$1005,A421,'Material routes'!$C$6:$C$1005,"Output")</x:f>
        <x:v>1</x:v>
      </x:c>
      <x:c r="AK421" s="4" t="n">
        <x:f>SUM(COUNTIFS('Material routes'!$D$6:$D$1005,A421,'Material routes'!$C$6:$C$1005,"Ingredient candidate"),COUNTIFS('Material routes'!$D$6:$D$1005,A421,'Material routes'!$C$6:$C$1005,"Consumed input"),COUNTIFS('Material routes'!$D$6:$D$1005,A421,'Material routes'!$C$6:$C$1005,"Contained input"),COUNTIFS('Material routes'!$D$6:$D$1005,A421,'Material routes'!$C$6:$C$1005,"Transform input"))</x:f>
        <x:v>1</x:v>
      </x:c>
      <x:c r="AL421" s="4" t="n">
        <x:f>COUNTIFS('Material routes'!$D$6:$D$1005,A421,'Material routes'!$C$6:$C$1005,"Tool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Resources</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resources;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x:v>
      </x:c>
      <x:c r="AG422" s="4" t="str">
        <x:v>Proposed tier: one above the highest listed material input; further ingredients may change the tier.</x:v>
      </x:c>
      <x:c r="AH422" s="4" t="str">
        <x:v>Not applicable</x:v>
      </x:c>
      <x:c r="AI422" s="4" t="str">
        <x:v>Material</x:v>
      </x:c>
      <x:c r="AJ422" s="4" t="n">
        <x:f>COUNTIFS('Material routes'!$D$6:$D$1005,A422,'Material routes'!$C$6:$C$1005,"Output")</x:f>
        <x:v>1</x:v>
      </x:c>
      <x:c r="AK422" s="4" t="n">
        <x:f>SUM(COUNTIFS('Material routes'!$D$6:$D$1005,A422,'Material routes'!$C$6:$C$1005,"Ingredient candidate"),COUNTIFS('Material routes'!$D$6:$D$1005,A422,'Material routes'!$C$6:$C$1005,"Consumed input"),COUNTIFS('Material routes'!$D$6:$D$1005,A422,'Material routes'!$C$6:$C$1005,"Contained input"),COUNTIFS('Material routes'!$D$6:$D$1005,A422,'Material routes'!$C$6:$C$1005,"Transform input"))</x:f>
        <x:v>0</x:v>
      </x:c>
      <x:c r="AL422" s="4" t="n">
        <x:f>COUNTIFS('Material routes'!$D$6:$D$1005,A422,'Material routes'!$C$6:$C$1005,"Tool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Resources</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resources;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x:v>
      </x:c>
      <x:c r="AG423" s="4" t="str">
        <x:v>Proposed tier: one above the highest listed material input; further ingredients may change the tier.</x:v>
      </x:c>
      <x:c r="AH423" s="4" t="str">
        <x:v>Not applicable</x:v>
      </x:c>
      <x:c r="AI423" s="4" t="str">
        <x:v>Material</x:v>
      </x:c>
      <x:c r="AJ423" s="4" t="n">
        <x:f>COUNTIFS('Material routes'!$D$6:$D$1005,A423,'Material routes'!$C$6:$C$1005,"Output")</x:f>
        <x:v>1</x:v>
      </x:c>
      <x:c r="AK423" s="4" t="n">
        <x:f>SUM(COUNTIFS('Material routes'!$D$6:$D$1005,A423,'Material routes'!$C$6:$C$1005,"Ingredient candidate"),COUNTIFS('Material routes'!$D$6:$D$1005,A423,'Material routes'!$C$6:$C$1005,"Consumed input"),COUNTIFS('Material routes'!$D$6:$D$1005,A423,'Material routes'!$C$6:$C$1005,"Contained input"),COUNTIFS('Material routes'!$D$6:$D$1005,A423,'Material routes'!$C$6:$C$1005,"Transform input"))</x:f>
        <x:v>1</x:v>
      </x:c>
      <x:c r="AL423" s="4" t="n">
        <x:f>COUNTIFS('Material routes'!$D$6:$D$1005,A423,'Material routes'!$C$6:$C$1005,"Tool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Resources</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resources;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x:v>
      </x:c>
      <x:c r="AG424" s="4" t="str">
        <x:v>Proposed tier: one above the highest listed material input; further ingredients may change the tier.</x:v>
      </x:c>
      <x:c r="AH424" s="4" t="str">
        <x:v>Not applicable</x:v>
      </x:c>
      <x:c r="AI424" s="4" t="str">
        <x:v>Material</x:v>
      </x:c>
      <x:c r="AJ424" s="4" t="n">
        <x:f>COUNTIFS('Material routes'!$D$6:$D$1005,A424,'Material routes'!$C$6:$C$1005,"Output")</x:f>
        <x:v>1</x:v>
      </x:c>
      <x:c r="AK424" s="4" t="n">
        <x:f>SUM(COUNTIFS('Material routes'!$D$6:$D$1005,A424,'Material routes'!$C$6:$C$1005,"Ingredient candidate"),COUNTIFS('Material routes'!$D$6:$D$1005,A424,'Material routes'!$C$6:$C$1005,"Consumed input"),COUNTIFS('Material routes'!$D$6:$D$1005,A424,'Material routes'!$C$6:$C$1005,"Contained input"),COUNTIFS('Material routes'!$D$6:$D$1005,A424,'Material routes'!$C$6:$C$1005,"Transform input"))</x:f>
        <x:v>0</x:v>
      </x:c>
      <x:c r="AL424" s="4" t="n">
        <x:f>COUNTIFS('Material routes'!$D$6:$D$1005,A424,'Material routes'!$C$6:$C$1005,"Tool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Resources</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resources;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x:v>
      </x:c>
      <x:c r="AG425" s="4" t="str">
        <x:v>Proposed tier: one above the highest listed material input; further ingredients may change the tier.</x:v>
      </x:c>
      <x:c r="AH425" s="4" t="str">
        <x:v>Not applicable</x:v>
      </x:c>
      <x:c r="AI425" s="4" t="str">
        <x:v>Material</x:v>
      </x:c>
      <x:c r="AJ425" s="4" t="n">
        <x:f>COUNTIFS('Material routes'!$D$6:$D$1005,A425,'Material routes'!$C$6:$C$1005,"Output")</x:f>
        <x:v>1</x:v>
      </x:c>
      <x:c r="AK425" s="4" t="n">
        <x:f>SUM(COUNTIFS('Material routes'!$D$6:$D$1005,A425,'Material routes'!$C$6:$C$1005,"Ingredient candidate"),COUNTIFS('Material routes'!$D$6:$D$1005,A425,'Material routes'!$C$6:$C$1005,"Consumed input"),COUNTIFS('Material routes'!$D$6:$D$1005,A425,'Material routes'!$C$6:$C$1005,"Contained input"),COUNTIFS('Material routes'!$D$6:$D$1005,A425,'Material routes'!$C$6:$C$1005,"Transform input"))</x:f>
        <x:v>1</x:v>
      </x:c>
      <x:c r="AL425" s="4" t="n">
        <x:f>COUNTIFS('Material routes'!$D$6:$D$1005,A425,'Material routes'!$C$6:$C$1005,"Tool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Resources</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resources;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x:v>
      </x:c>
      <x:c r="AG426" s="4" t="str">
        <x:v>Proposed tier: one above the highest listed material input; further ingredients may change the tier.</x:v>
      </x:c>
      <x:c r="AH426" s="4" t="str">
        <x:v>Not applicable</x:v>
      </x:c>
      <x:c r="AI426" s="4" t="str">
        <x:v>Material</x:v>
      </x:c>
      <x:c r="AJ426" s="4" t="n">
        <x:f>COUNTIFS('Material routes'!$D$6:$D$1005,A426,'Material routes'!$C$6:$C$1005,"Output")</x:f>
        <x:v>1</x:v>
      </x:c>
      <x:c r="AK426" s="4" t="n">
        <x:f>SUM(COUNTIFS('Material routes'!$D$6:$D$1005,A426,'Material routes'!$C$6:$C$1005,"Ingredient candidate"),COUNTIFS('Material routes'!$D$6:$D$1005,A426,'Material routes'!$C$6:$C$1005,"Consumed input"),COUNTIFS('Material routes'!$D$6:$D$1005,A426,'Material routes'!$C$6:$C$1005,"Contained input"),COUNTIFS('Material routes'!$D$6:$D$1005,A426,'Material routes'!$C$6:$C$1005,"Transform input"))</x:f>
        <x:v>2</x:v>
      </x:c>
      <x:c r="AL426" s="4" t="n">
        <x:f>COUNTIFS('Material routes'!$D$6:$D$1005,A426,'Material routes'!$C$6:$C$1005,"Tool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Resources</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resources;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x:v>
      </x:c>
      <x:c r="AG427" s="4" t="str">
        <x:v>Proposed tier: one above the highest listed material input; further ingredients may change the tier.</x:v>
      </x:c>
      <x:c r="AH427" s="4" t="str">
        <x:v>Not applicable</x:v>
      </x:c>
      <x:c r="AI427" s="4" t="str">
        <x:v>Material</x:v>
      </x:c>
      <x:c r="AJ427" s="4" t="n">
        <x:f>COUNTIFS('Material routes'!$D$6:$D$1005,A427,'Material routes'!$C$6:$C$1005,"Output")</x:f>
        <x:v>1</x:v>
      </x:c>
      <x:c r="AK427" s="4" t="n">
        <x:f>SUM(COUNTIFS('Material routes'!$D$6:$D$1005,A427,'Material routes'!$C$6:$C$1005,"Ingredient candidate"),COUNTIFS('Material routes'!$D$6:$D$1005,A427,'Material routes'!$C$6:$C$1005,"Consumed input"),COUNTIFS('Material routes'!$D$6:$D$1005,A427,'Material routes'!$C$6:$C$1005,"Contained input"),COUNTIFS('Material routes'!$D$6:$D$1005,A427,'Material routes'!$C$6:$C$1005,"Transform input"))</x:f>
        <x:v>0</x:v>
      </x:c>
      <x:c r="AL427" s="4" t="n">
        <x:f>COUNTIFS('Material routes'!$D$6:$D$1005,A427,'Material routes'!$C$6:$C$1005,"Tool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Resources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resources;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x:v>
      </x:c>
      <x:c r="AG428" s="4" t="str">
        <x:v>Proposed tier: one above the highest listed material input; further ingredients may change the tier.</x:v>
      </x:c>
      <x:c r="AH428" s="4" t="str">
        <x:v>Not applicable</x:v>
      </x:c>
      <x:c r="AI428" s="4" t="str">
        <x:v>Material</x:v>
      </x:c>
      <x:c r="AJ428" s="4" t="n">
        <x:f>COUNTIFS('Material routes'!$D$6:$D$1005,A428,'Material routes'!$C$6:$C$1005,"Output")</x:f>
        <x:v>1</x:v>
      </x:c>
      <x:c r="AK428" s="4" t="n">
        <x:f>SUM(COUNTIFS('Material routes'!$D$6:$D$1005,A428,'Material routes'!$C$6:$C$1005,"Ingredient candidate"),COUNTIFS('Material routes'!$D$6:$D$1005,A428,'Material routes'!$C$6:$C$1005,"Consumed input"),COUNTIFS('Material routes'!$D$6:$D$1005,A428,'Material routes'!$C$6:$C$1005,"Contained input"),COUNTIFS('Material routes'!$D$6:$D$1005,A428,'Material routes'!$C$6:$C$1005,"Transform input"))</x:f>
        <x:v>2</x:v>
      </x:c>
      <x:c r="AL428" s="4" t="n">
        <x:f>COUNTIFS('Material routes'!$D$6:$D$1005,A428,'Material routes'!$C$6:$C$1005,"Tool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Resources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resources;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x:v>
      </x:c>
      <x:c r="AG429" s="4" t="str">
        <x:v>Proposed tier: one above the highest listed material input; further ingredients may change the tier.</x:v>
      </x:c>
      <x:c r="AH429" s="4" t="str">
        <x:v>Not applicable</x:v>
      </x:c>
      <x:c r="AI429" s="4" t="str">
        <x:v>Material</x:v>
      </x:c>
      <x:c r="AJ429" s="4" t="n">
        <x:f>COUNTIFS('Material routes'!$D$6:$D$1005,A429,'Material routes'!$C$6:$C$1005,"Output")</x:f>
        <x:v>1</x:v>
      </x:c>
      <x:c r="AK429" s="4" t="n">
        <x:f>SUM(COUNTIFS('Material routes'!$D$6:$D$1005,A429,'Material routes'!$C$6:$C$1005,"Ingredient candidate"),COUNTIFS('Material routes'!$D$6:$D$1005,A429,'Material routes'!$C$6:$C$1005,"Consumed input"),COUNTIFS('Material routes'!$D$6:$D$1005,A429,'Material routes'!$C$6:$C$1005,"Contained input"),COUNTIFS('Material routes'!$D$6:$D$1005,A429,'Material routes'!$C$6:$C$1005,"Transform input"))</x:f>
        <x:v>4</x:v>
      </x:c>
      <x:c r="AL429" s="4" t="n">
        <x:f>COUNTIFS('Material routes'!$D$6:$D$1005,A429,'Material routes'!$C$6:$C$1005,"Tool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Resources</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resources;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x:v>
      </x:c>
      <x:c r="AG430" s="4" t="str">
        <x:v>Proposed tier: one above the highest listed material input; further ingredients may change the tier.</x:v>
      </x:c>
      <x:c r="AH430" s="4" t="str">
        <x:v>Not applicable</x:v>
      </x:c>
      <x:c r="AI430" s="4" t="str">
        <x:v>Material</x:v>
      </x:c>
      <x:c r="AJ430" s="4" t="n">
        <x:f>COUNTIFS('Material routes'!$D$6:$D$1005,A430,'Material routes'!$C$6:$C$1005,"Output")</x:f>
        <x:v>1</x:v>
      </x:c>
      <x:c r="AK430" s="4" t="n">
        <x:f>SUM(COUNTIFS('Material routes'!$D$6:$D$1005,A430,'Material routes'!$C$6:$C$1005,"Ingredient candidate"),COUNTIFS('Material routes'!$D$6:$D$1005,A430,'Material routes'!$C$6:$C$1005,"Consumed input"),COUNTIFS('Material routes'!$D$6:$D$1005,A430,'Material routes'!$C$6:$C$1005,"Contained input"),COUNTIFS('Material routes'!$D$6:$D$1005,A430,'Material routes'!$C$6:$C$1005,"Transform input"))</x:f>
        <x:v>1</x:v>
      </x:c>
      <x:c r="AL430" s="4" t="n">
        <x:f>COUNTIFS('Material routes'!$D$6:$D$1005,A430,'Material routes'!$C$6:$C$1005,"Tool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Resources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resources;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x:v>
      </x:c>
      <x:c r="AG431" s="4" t="str">
        <x:v>Proposed tier: one above the highest listed material input; further ingredients may change the tier.</x:v>
      </x:c>
      <x:c r="AH431" s="4" t="str">
        <x:v>Not applicable</x:v>
      </x:c>
      <x:c r="AI431" s="4" t="str">
        <x:v>Material</x:v>
      </x:c>
      <x:c r="AJ431" s="4" t="n">
        <x:f>COUNTIFS('Material routes'!$D$6:$D$1005,A431,'Material routes'!$C$6:$C$1005,"Output")</x:f>
        <x:v>1</x:v>
      </x:c>
      <x:c r="AK431" s="4" t="n">
        <x:f>SUM(COUNTIFS('Material routes'!$D$6:$D$1005,A431,'Material routes'!$C$6:$C$1005,"Ingredient candidate"),COUNTIFS('Material routes'!$D$6:$D$1005,A431,'Material routes'!$C$6:$C$1005,"Consumed input"),COUNTIFS('Material routes'!$D$6:$D$1005,A431,'Material routes'!$C$6:$C$1005,"Contained input"),COUNTIFS('Material routes'!$D$6:$D$1005,A431,'Material routes'!$C$6:$C$1005,"Transform input"))</x:f>
        <x:v>4</x:v>
      </x:c>
      <x:c r="AL431" s="4" t="n">
        <x:f>COUNTIFS('Material routes'!$D$6:$D$1005,A431,'Material routes'!$C$6:$C$1005,"Tool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Resources</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resources;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x:v>
      </x:c>
      <x:c r="AG432" s="4" t="str">
        <x:v>Proposed tier: one above the highest listed material input; further ingredients may change the tier.</x:v>
      </x:c>
      <x:c r="AH432" s="4" t="str">
        <x:v>Not applicable</x:v>
      </x:c>
      <x:c r="AI432" s="4" t="str">
        <x:v>Material</x:v>
      </x:c>
      <x:c r="AJ432" s="4" t="n">
        <x:f>COUNTIFS('Material routes'!$D$6:$D$1005,A432,'Material routes'!$C$6:$C$1005,"Output")</x:f>
        <x:v>1</x:v>
      </x:c>
      <x:c r="AK432" s="4" t="n">
        <x:f>SUM(COUNTIFS('Material routes'!$D$6:$D$1005,A432,'Material routes'!$C$6:$C$1005,"Ingredient candidate"),COUNTIFS('Material routes'!$D$6:$D$1005,A432,'Material routes'!$C$6:$C$1005,"Consumed input"),COUNTIFS('Material routes'!$D$6:$D$1005,A432,'Material routes'!$C$6:$C$1005,"Contained input"),COUNTIFS('Material routes'!$D$6:$D$1005,A432,'Material routes'!$C$6:$C$1005,"Transform input"))</x:f>
        <x:v>3</x:v>
      </x:c>
      <x:c r="AL432" s="4" t="n">
        <x:f>COUNTIFS('Material routes'!$D$6:$D$1005,A432,'Material routes'!$C$6:$C$1005,"Tool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Resources</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resources;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x:v>
      </x:c>
      <x:c r="AG433" s="4" t="str">
        <x:v>Proposed tier: one above the highest listed material input; further ingredients may change the tier.</x:v>
      </x:c>
      <x:c r="AH433" s="4" t="str">
        <x:v>Not applicable</x:v>
      </x:c>
      <x:c r="AI433" s="4" t="str">
        <x:v>Material</x:v>
      </x:c>
      <x:c r="AJ433" s="4" t="n">
        <x:f>COUNTIFS('Material routes'!$D$6:$D$1005,A433,'Material routes'!$C$6:$C$1005,"Output")</x:f>
        <x:v>1</x:v>
      </x:c>
      <x:c r="AK433" s="4" t="n">
        <x:f>SUM(COUNTIFS('Material routes'!$D$6:$D$1005,A433,'Material routes'!$C$6:$C$1005,"Ingredient candidate"),COUNTIFS('Material routes'!$D$6:$D$1005,A433,'Material routes'!$C$6:$C$1005,"Consumed input"),COUNTIFS('Material routes'!$D$6:$D$1005,A433,'Material routes'!$C$6:$C$1005,"Contained input"),COUNTIFS('Material routes'!$D$6:$D$1005,A433,'Material routes'!$C$6:$C$1005,"Transform input"))</x:f>
        <x:v>0</x:v>
      </x:c>
      <x:c r="AL433" s="4" t="n">
        <x:f>COUNTIFS('Material routes'!$D$6:$D$1005,A433,'Material routes'!$C$6:$C$1005,"Tool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Resources</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resources;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x:v>
      </x:c>
      <x:c r="AG434" s="4" t="str">
        <x:v>Proposed tier: one above the highest listed material input; further ingredients may change the tier.</x:v>
      </x:c>
      <x:c r="AH434" s="4" t="str">
        <x:v>Not applicable</x:v>
      </x:c>
      <x:c r="AI434" s="4" t="str">
        <x:v>Material</x:v>
      </x:c>
      <x:c r="AJ434" s="4" t="n">
        <x:f>COUNTIFS('Material routes'!$D$6:$D$1005,A434,'Material routes'!$C$6:$C$1005,"Output")</x:f>
        <x:v>1</x:v>
      </x:c>
      <x:c r="AK434" s="4" t="n">
        <x:f>SUM(COUNTIFS('Material routes'!$D$6:$D$1005,A434,'Material routes'!$C$6:$C$1005,"Ingredient candidate"),COUNTIFS('Material routes'!$D$6:$D$1005,A434,'Material routes'!$C$6:$C$1005,"Consumed input"),COUNTIFS('Material routes'!$D$6:$D$1005,A434,'Material routes'!$C$6:$C$1005,"Contained input"),COUNTIFS('Material routes'!$D$6:$D$1005,A434,'Material routes'!$C$6:$C$1005,"Transform input"))</x:f>
        <x:v>0</x:v>
      </x:c>
      <x:c r="AL434" s="4" t="n">
        <x:f>COUNTIFS('Material routes'!$D$6:$D$1005,A434,'Material routes'!$C$6:$C$1005,"Tool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Resources</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resources;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x:v>
      </x:c>
      <x:c r="AG435" s="4" t="str">
        <x:v>Proposed tier: one above the highest listed material input; further ingredients may change the tier.</x:v>
      </x:c>
      <x:c r="AH435" s="4" t="str">
        <x:v>Not applicable</x:v>
      </x:c>
      <x:c r="AI435" s="4" t="str">
        <x:v>Material</x:v>
      </x:c>
      <x:c r="AJ435" s="4" t="n">
        <x:f>COUNTIFS('Material routes'!$D$6:$D$1005,A435,'Material routes'!$C$6:$C$1005,"Output")</x:f>
        <x:v>1</x:v>
      </x:c>
      <x:c r="AK435" s="4" t="n">
        <x:f>SUM(COUNTIFS('Material routes'!$D$6:$D$1005,A435,'Material routes'!$C$6:$C$1005,"Ingredient candidate"),COUNTIFS('Material routes'!$D$6:$D$1005,A435,'Material routes'!$C$6:$C$1005,"Consumed input"),COUNTIFS('Material routes'!$D$6:$D$1005,A435,'Material routes'!$C$6:$C$1005,"Contained input"),COUNTIFS('Material routes'!$D$6:$D$1005,A435,'Material routes'!$C$6:$C$1005,"Transform input"))</x:f>
        <x:v>1</x:v>
      </x:c>
      <x:c r="AL435" s="4" t="n">
        <x:f>COUNTIFS('Material routes'!$D$6:$D$1005,A435,'Material routes'!$C$6:$C$1005,"Tool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Resources</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resources;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x:v>
      </x:c>
      <x:c r="AG436" s="4" t="str">
        <x:v>Proposed tier: one above the highest listed material input; further ingredients may change the tier.</x:v>
      </x:c>
      <x:c r="AH436" s="4" t="str">
        <x:v>Not applicable</x:v>
      </x:c>
      <x:c r="AI436" s="4" t="str">
        <x:v>Material</x:v>
      </x:c>
      <x:c r="AJ436" s="4" t="n">
        <x:f>COUNTIFS('Material routes'!$D$6:$D$1005,A436,'Material routes'!$C$6:$C$1005,"Output")</x:f>
        <x:v>1</x:v>
      </x:c>
      <x:c r="AK436" s="4" t="n">
        <x:f>SUM(COUNTIFS('Material routes'!$D$6:$D$1005,A436,'Material routes'!$C$6:$C$1005,"Ingredient candidate"),COUNTIFS('Material routes'!$D$6:$D$1005,A436,'Material routes'!$C$6:$C$1005,"Consumed input"),COUNTIFS('Material routes'!$D$6:$D$1005,A436,'Material routes'!$C$6:$C$1005,"Contained input"),COUNTIFS('Material routes'!$D$6:$D$1005,A436,'Material routes'!$C$6:$C$1005,"Transform input"))</x:f>
        <x:v>2</x:v>
      </x:c>
      <x:c r="AL436" s="4" t="n">
        <x:f>COUNTIFS('Material routes'!$D$6:$D$1005,A436,'Material routes'!$C$6:$C$1005,"Tool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Resources</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resources;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x:v>
      </x:c>
      <x:c r="AG437" s="4" t="str">
        <x:v>Proposed tier: one above the highest listed material input; further ingredients may change the tier.</x:v>
      </x:c>
      <x:c r="AH437" s="4" t="str">
        <x:v>Not applicable</x:v>
      </x:c>
      <x:c r="AI437" s="4" t="str">
        <x:v>Material</x:v>
      </x:c>
      <x:c r="AJ437" s="4" t="n">
        <x:f>COUNTIFS('Material routes'!$D$6:$D$1005,A437,'Material routes'!$C$6:$C$1005,"Output")</x:f>
        <x:v>1</x:v>
      </x:c>
      <x:c r="AK437" s="4" t="n">
        <x:f>SUM(COUNTIFS('Material routes'!$D$6:$D$1005,A437,'Material routes'!$C$6:$C$1005,"Ingredient candidate"),COUNTIFS('Material routes'!$D$6:$D$1005,A437,'Material routes'!$C$6:$C$1005,"Consumed input"),COUNTIFS('Material routes'!$D$6:$D$1005,A437,'Material routes'!$C$6:$C$1005,"Contained input"),COUNTIFS('Material routes'!$D$6:$D$1005,A437,'Material routes'!$C$6:$C$1005,"Transform input"))</x:f>
        <x:v>1</x:v>
      </x:c>
      <x:c r="AL437" s="4" t="n">
        <x:f>COUNTIFS('Material routes'!$D$6:$D$1005,A437,'Material routes'!$C$6:$C$1005,"Tool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Resources</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resources;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x:v>
      </x:c>
      <x:c r="AG438" s="4" t="str">
        <x:v>Proposed tier: one above the highest listed material input; further ingredients may change the tier.</x:v>
      </x:c>
      <x:c r="AH438" s="4" t="str">
        <x:v>Not applicable</x:v>
      </x:c>
      <x:c r="AI438" s="4" t="str">
        <x:v>Material</x:v>
      </x:c>
      <x:c r="AJ438" s="4" t="n">
        <x:f>COUNTIFS('Material routes'!$D$6:$D$1005,A438,'Material routes'!$C$6:$C$1005,"Output")</x:f>
        <x:v>1</x:v>
      </x:c>
      <x:c r="AK438" s="4" t="n">
        <x:f>SUM(COUNTIFS('Material routes'!$D$6:$D$1005,A438,'Material routes'!$C$6:$C$1005,"Ingredient candidate"),COUNTIFS('Material routes'!$D$6:$D$1005,A438,'Material routes'!$C$6:$C$1005,"Consumed input"),COUNTIFS('Material routes'!$D$6:$D$1005,A438,'Material routes'!$C$6:$C$1005,"Contained input"),COUNTIFS('Material routes'!$D$6:$D$1005,A438,'Material routes'!$C$6:$C$1005,"Transform input"))</x:f>
        <x:v>1</x:v>
      </x:c>
      <x:c r="AL438" s="4" t="n">
        <x:f>COUNTIFS('Material routes'!$D$6:$D$1005,A438,'Material routes'!$C$6:$C$1005,"Tool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Resources</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resources;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x:v>
      </x:c>
      <x:c r="AG439" s="4" t="str">
        <x:v>Proposed tier: one above the highest listed material input; further ingredients may change the tier.</x:v>
      </x:c>
      <x:c r="AH439" s="4" t="str">
        <x:v>Not applicable</x:v>
      </x:c>
      <x:c r="AI439" s="4" t="str">
        <x:v>Material</x:v>
      </x:c>
      <x:c r="AJ439" s="4" t="n">
        <x:f>COUNTIFS('Material routes'!$D$6:$D$1005,A439,'Material routes'!$C$6:$C$1005,"Output")</x:f>
        <x:v>1</x:v>
      </x:c>
      <x:c r="AK439" s="4" t="n">
        <x:f>SUM(COUNTIFS('Material routes'!$D$6:$D$1005,A439,'Material routes'!$C$6:$C$1005,"Ingredient candidate"),COUNTIFS('Material routes'!$D$6:$D$1005,A439,'Material routes'!$C$6:$C$1005,"Consumed input"),COUNTIFS('Material routes'!$D$6:$D$1005,A439,'Material routes'!$C$6:$C$1005,"Contained input"),COUNTIFS('Material routes'!$D$6:$D$1005,A439,'Material routes'!$C$6:$C$1005,"Transform input"))</x:f>
        <x:v>1</x:v>
      </x:c>
      <x:c r="AL439" s="4" t="n">
        <x:f>COUNTIFS('Material routes'!$D$6:$D$1005,A439,'Material routes'!$C$6:$C$1005,"Tool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Resources</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resources;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x:v>
      </x:c>
      <x:c r="AG440" s="4" t="str">
        <x:v>Proposed tier: one above the highest listed material input; further ingredients may change the tier.</x:v>
      </x:c>
      <x:c r="AH440" s="4" t="str">
        <x:v>Not applicable</x:v>
      </x:c>
      <x:c r="AI440" s="4" t="str">
        <x:v>Material</x:v>
      </x:c>
      <x:c r="AJ440" s="4" t="n">
        <x:f>COUNTIFS('Material routes'!$D$6:$D$1005,A440,'Material routes'!$C$6:$C$1005,"Output")</x:f>
        <x:v>1</x:v>
      </x:c>
      <x:c r="AK440" s="4" t="n">
        <x:f>SUM(COUNTIFS('Material routes'!$D$6:$D$1005,A440,'Material routes'!$C$6:$C$1005,"Ingredient candidate"),COUNTIFS('Material routes'!$D$6:$D$1005,A440,'Material routes'!$C$6:$C$1005,"Consumed input"),COUNTIFS('Material routes'!$D$6:$D$1005,A440,'Material routes'!$C$6:$C$1005,"Contained input"),COUNTIFS('Material routes'!$D$6:$D$1005,A440,'Material routes'!$C$6:$C$1005,"Transform input"))</x:f>
        <x:v>1</x:v>
      </x:c>
      <x:c r="AL440" s="4" t="n">
        <x:f>COUNTIFS('Material routes'!$D$6:$D$1005,A440,'Material routes'!$C$6:$C$1005,"Tool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Resources</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resources;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x:v>
      </x:c>
      <x:c r="AG441" s="4" t="str">
        <x:v>Proposed tier: one above the highest listed material input; further ingredients may change the tier.</x:v>
      </x:c>
      <x:c r="AH441" s="4" t="str">
        <x:v>Not applicable</x:v>
      </x:c>
      <x:c r="AI441" s="4" t="str">
        <x:v>Material</x:v>
      </x:c>
      <x:c r="AJ441" s="4" t="n">
        <x:f>COUNTIFS('Material routes'!$D$6:$D$1005,A441,'Material routes'!$C$6:$C$1005,"Output")</x:f>
        <x:v>1</x:v>
      </x:c>
      <x:c r="AK441" s="4" t="n">
        <x:f>SUM(COUNTIFS('Material routes'!$D$6:$D$1005,A441,'Material routes'!$C$6:$C$1005,"Ingredient candidate"),COUNTIFS('Material routes'!$D$6:$D$1005,A441,'Material routes'!$C$6:$C$1005,"Consumed input"),COUNTIFS('Material routes'!$D$6:$D$1005,A441,'Material routes'!$C$6:$C$1005,"Contained input"),COUNTIFS('Material routes'!$D$6:$D$1005,A441,'Material routes'!$C$6:$C$1005,"Transform input"))</x:f>
        <x:v>2</x:v>
      </x:c>
      <x:c r="AL441" s="4" t="n">
        <x:f>COUNTIFS('Material routes'!$D$6:$D$1005,A441,'Material routes'!$C$6:$C$1005,"Tool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Resources</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resources;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x:v>
      </x:c>
      <x:c r="AG442" s="4" t="str">
        <x:v>Proposed tier: one above the highest listed material input; further ingredients may change the tier.</x:v>
      </x:c>
      <x:c r="AH442" s="4" t="str">
        <x:v>Not applicable</x:v>
      </x:c>
      <x:c r="AI442" s="4" t="str">
        <x:v>Material</x:v>
      </x:c>
      <x:c r="AJ442" s="4" t="n">
        <x:f>COUNTIFS('Material routes'!$D$6:$D$1005,A442,'Material routes'!$C$6:$C$1005,"Output")</x:f>
        <x:v>1</x:v>
      </x:c>
      <x:c r="AK442" s="4" t="n">
        <x:f>SUM(COUNTIFS('Material routes'!$D$6:$D$1005,A442,'Material routes'!$C$6:$C$1005,"Ingredient candidate"),COUNTIFS('Material routes'!$D$6:$D$1005,A442,'Material routes'!$C$6:$C$1005,"Consumed input"),COUNTIFS('Material routes'!$D$6:$D$1005,A442,'Material routes'!$C$6:$C$1005,"Contained input"),COUNTIFS('Material routes'!$D$6:$D$1005,A442,'Material routes'!$C$6:$C$1005,"Transform input"))</x:f>
        <x:v>0</x:v>
      </x:c>
      <x:c r="AL442" s="4" t="n">
        <x:f>COUNTIFS('Material routes'!$D$6:$D$1005,A442,'Material routes'!$C$6:$C$1005,"Tool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Resources</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resources;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x:v>
      </x:c>
      <x:c r="AG443" s="4" t="str">
        <x:v>Proposed tier: one above the highest listed material input; further ingredients may change the tier.</x:v>
      </x:c>
      <x:c r="AH443" s="4" t="str">
        <x:v>Not applicable</x:v>
      </x:c>
      <x:c r="AI443" s="4" t="str">
        <x:v>Material</x:v>
      </x:c>
      <x:c r="AJ443" s="4" t="n">
        <x:f>COUNTIFS('Material routes'!$D$6:$D$1005,A443,'Material routes'!$C$6:$C$1005,"Output")</x:f>
        <x:v>1</x:v>
      </x:c>
      <x:c r="AK443" s="4" t="n">
        <x:f>SUM(COUNTIFS('Material routes'!$D$6:$D$1005,A443,'Material routes'!$C$6:$C$1005,"Ingredient candidate"),COUNTIFS('Material routes'!$D$6:$D$1005,A443,'Material routes'!$C$6:$C$1005,"Consumed input"),COUNTIFS('Material routes'!$D$6:$D$1005,A443,'Material routes'!$C$6:$C$1005,"Contained input"),COUNTIFS('Material routes'!$D$6:$D$1005,A443,'Material routes'!$C$6:$C$1005,"Transform input"))</x:f>
        <x:v>0</x:v>
      </x:c>
      <x:c r="AL443" s="4" t="n">
        <x:f>COUNTIFS('Material routes'!$D$6:$D$1005,A443,'Material routes'!$C$6:$C$1005,"Tool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Resources</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resources;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x:v>
      </x:c>
      <x:c r="AG444" s="4" t="str">
        <x:v>Proposed tier: one above the highest listed material input; further ingredients may change the tier.</x:v>
      </x:c>
      <x:c r="AH444" s="4" t="str">
        <x:v>Not applicable</x:v>
      </x:c>
      <x:c r="AI444" s="4" t="str">
        <x:v>Material</x:v>
      </x:c>
      <x:c r="AJ444" s="4" t="n">
        <x:f>COUNTIFS('Material routes'!$D$6:$D$1005,A444,'Material routes'!$C$6:$C$1005,"Output")</x:f>
        <x:v>1</x:v>
      </x:c>
      <x:c r="AK444" s="4" t="n">
        <x:f>SUM(COUNTIFS('Material routes'!$D$6:$D$1005,A444,'Material routes'!$C$6:$C$1005,"Ingredient candidate"),COUNTIFS('Material routes'!$D$6:$D$1005,A444,'Material routes'!$C$6:$C$1005,"Consumed input"),COUNTIFS('Material routes'!$D$6:$D$1005,A444,'Material routes'!$C$6:$C$1005,"Contained input"),COUNTIFS('Material routes'!$D$6:$D$1005,A444,'Material routes'!$C$6:$C$1005,"Transform input"))</x:f>
        <x:v>0</x:v>
      </x:c>
      <x:c r="AL444" s="4" t="n">
        <x:f>COUNTIFS('Material routes'!$D$6:$D$1005,A444,'Material routes'!$C$6:$C$1005,"Tool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routes'!$D$6:$D$1005,A445,'Material routes'!$C$6:$C$1005,"Output")</x:f>
        <x:v>1</x:v>
      </x:c>
      <x:c r="AK445" s="4" t="n">
        <x:f>SUM(COUNTIFS('Material routes'!$D$6:$D$1005,A445,'Material routes'!$C$6:$C$1005,"Ingredient candidate"),COUNTIFS('Material routes'!$D$6:$D$1005,A445,'Material routes'!$C$6:$C$1005,"Consumed input"),COUNTIFS('Material routes'!$D$6:$D$1005,A445,'Material routes'!$C$6:$C$1005,"Contained input"),COUNTIFS('Material routes'!$D$6:$D$1005,A445,'Material routes'!$C$6:$C$1005,"Transform input"))</x:f>
        <x:v>0</x:v>
      </x:c>
      <x:c r="AL445" s="4" t="n">
        <x:f>COUNTIFS('Material routes'!$D$6:$D$1005,A445,'Material routes'!$C$6:$C$1005,"Tool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Resources</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resources;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x:v>
      </x:c>
      <x:c r="AG446" s="4" t="str">
        <x:v>Proposed tier: one above the highest listed material input; further ingredients may change the tier.</x:v>
      </x:c>
      <x:c r="AH446" s="4" t="str">
        <x:v>Not applicable</x:v>
      </x:c>
      <x:c r="AI446" s="4" t="str">
        <x:v>Material</x:v>
      </x:c>
      <x:c r="AJ446" s="4" t="n">
        <x:f>COUNTIFS('Material routes'!$D$6:$D$1005,A446,'Material routes'!$C$6:$C$1005,"Output")</x:f>
        <x:v>1</x:v>
      </x:c>
      <x:c r="AK446" s="4" t="n">
        <x:f>SUM(COUNTIFS('Material routes'!$D$6:$D$1005,A446,'Material routes'!$C$6:$C$1005,"Ingredient candidate"),COUNTIFS('Material routes'!$D$6:$D$1005,A446,'Material routes'!$C$6:$C$1005,"Consumed input"),COUNTIFS('Material routes'!$D$6:$D$1005,A446,'Material routes'!$C$6:$C$1005,"Contained input"),COUNTIFS('Material routes'!$D$6:$D$1005,A446,'Material routes'!$C$6:$C$1005,"Transform input"))</x:f>
        <x:v>0</x:v>
      </x:c>
      <x:c r="AL446" s="4" t="n">
        <x:f>COUNTIFS('Material routes'!$D$6:$D$1005,A446,'Material routes'!$C$6:$C$1005,"Tool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routes'!$D$6:$D$1005,A447,'Material routes'!$C$6:$C$1005,"Output")</x:f>
        <x:v>1</x:v>
      </x:c>
      <x:c r="AK447" s="4" t="n">
        <x:f>SUM(COUNTIFS('Material routes'!$D$6:$D$1005,A447,'Material routes'!$C$6:$C$1005,"Ingredient candidate"),COUNTIFS('Material routes'!$D$6:$D$1005,A447,'Material routes'!$C$6:$C$1005,"Consumed input"),COUNTIFS('Material routes'!$D$6:$D$1005,A447,'Material routes'!$C$6:$C$1005,"Contained input"),COUNTIFS('Material routes'!$D$6:$D$1005,A447,'Material routes'!$C$6:$C$1005,"Transform input"))</x:f>
        <x:v>0</x:v>
      </x:c>
      <x:c r="AL447" s="4" t="n">
        <x:f>COUNTIFS('Material routes'!$D$6:$D$1005,A447,'Material routes'!$C$6:$C$1005,"Tool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x:c r="C448"/>
      <x:c r="D448"/>
      <x:c r="E448"/>
      <x:c r="F448"/>
      <x:c r="G448"/>
      <x:c r="H448"/>
      <x:c r="I448"/>
      <x:c r="J448"/>
      <x:c r="K448"/>
      <x:c r="L448"/>
      <x:c r="M448"/>
      <x:c r="N448"/>
      <x:c r="O448"/>
      <x:c r="P448"/>
      <x:c r="Q448"/>
      <x:c r="R448"/>
      <x:c r="S448"/>
      <x:c r="T448"/>
      <x:c r="U448"/>
      <x:c r="V448"/>
      <x:c r="W448"/>
      <x:c r="X448"/>
      <x:c r="Y448"/>
      <x:c r="Z448"/>
      <x:c r="AA448"/>
      <x:c r="AB448"/>
      <x:c r="AC448"/>
      <x:c r="AD448"/>
      <x:c r="AE448"/>
      <x:c r="AF448"/>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x:c r="C449"/>
      <x:c r="D449"/>
      <x:c r="E449"/>
      <x:c r="F449"/>
      <x:c r="G449"/>
      <x:c r="H449"/>
      <x:c r="I449"/>
      <x:c r="J449"/>
      <x:c r="K449"/>
      <x:c r="L449"/>
      <x:c r="M449"/>
      <x:c r="N449"/>
      <x:c r="O449"/>
      <x:c r="P449"/>
      <x:c r="Q449"/>
      <x:c r="R449"/>
      <x:c r="S449"/>
      <x:c r="T449"/>
      <x:c r="U449"/>
      <x:c r="V449"/>
      <x:c r="W449"/>
      <x:c r="X449"/>
      <x:c r="Y449"/>
      <x:c r="Z449"/>
      <x:c r="AA449"/>
      <x:c r="AB449"/>
      <x:c r="AC449"/>
      <x:c r="AD449"/>
      <x:c r="AE449"/>
      <x:c r="AF449"/>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x:c r="C450"/>
      <x:c r="D450"/>
      <x:c r="E450"/>
      <x:c r="F450"/>
      <x:c r="G450"/>
      <x:c r="H450"/>
      <x:c r="I450"/>
      <x:c r="J450"/>
      <x:c r="K450"/>
      <x:c r="L450"/>
      <x:c r="M450"/>
      <x:c r="N450"/>
      <x:c r="O450"/>
      <x:c r="P450"/>
      <x:c r="Q450"/>
      <x:c r="R450"/>
      <x:c r="S450"/>
      <x:c r="T450"/>
      <x:c r="U450"/>
      <x:c r="V450"/>
      <x:c r="W450"/>
      <x:c r="X450"/>
      <x:c r="Y450"/>
      <x:c r="Z450"/>
      <x:c r="AA450"/>
      <x:c r="AB450"/>
      <x:c r="AC450"/>
      <x:c r="AD450"/>
      <x:c r="AE450"/>
      <x:c r="AF450"/>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x:c r="C451"/>
      <x:c r="D451"/>
      <x:c r="E451"/>
      <x:c r="F451"/>
      <x:c r="G451"/>
      <x:c r="H451"/>
      <x:c r="I451"/>
      <x:c r="J451"/>
      <x:c r="K451"/>
      <x:c r="L451"/>
      <x:c r="M451"/>
      <x:c r="N451"/>
      <x:c r="O451"/>
      <x:c r="P451"/>
      <x:c r="Q451"/>
      <x:c r="R451"/>
      <x:c r="S451"/>
      <x:c r="T451"/>
      <x:c r="U451"/>
      <x:c r="V451"/>
      <x:c r="W451"/>
      <x:c r="X451"/>
      <x:c r="Y451"/>
      <x:c r="Z451"/>
      <x:c r="AA451"/>
      <x:c r="AB451"/>
      <x:c r="AC451"/>
      <x:c r="AD451"/>
      <x:c r="AE451"/>
      <x:c r="AF451"/>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x:c r="C452"/>
      <x:c r="D452"/>
      <x:c r="E452"/>
      <x:c r="F452"/>
      <x:c r="G452"/>
      <x:c r="H452"/>
      <x:c r="I452"/>
      <x:c r="J452"/>
      <x:c r="K452"/>
      <x:c r="L452"/>
      <x:c r="M452"/>
      <x:c r="N452"/>
      <x:c r="O452"/>
      <x:c r="P452"/>
      <x:c r="Q452"/>
      <x:c r="R452"/>
      <x:c r="S452"/>
      <x:c r="T452"/>
      <x:c r="U452"/>
      <x:c r="V452"/>
      <x:c r="W452"/>
      <x:c r="X452"/>
      <x:c r="Y452"/>
      <x:c r="Z452"/>
      <x:c r="AA452"/>
      <x:c r="AB452"/>
      <x:c r="AC452"/>
      <x:c r="AD452"/>
      <x:c r="AE452"/>
      <x:c r="AF452"/>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x:c r="C453"/>
      <x:c r="D453"/>
      <x:c r="E453"/>
      <x:c r="F453"/>
      <x:c r="G453"/>
      <x:c r="H453"/>
      <x:c r="I453"/>
      <x:c r="J453"/>
      <x:c r="K453"/>
      <x:c r="L453"/>
      <x:c r="M453"/>
      <x:c r="N453"/>
      <x:c r="O453"/>
      <x:c r="P453"/>
      <x:c r="Q453"/>
      <x:c r="R453"/>
      <x:c r="S453"/>
      <x:c r="T453"/>
      <x:c r="U453"/>
      <x:c r="V453"/>
      <x:c r="W453"/>
      <x:c r="X453"/>
      <x:c r="Y453"/>
      <x:c r="Z453"/>
      <x:c r="AA453"/>
      <x:c r="AB453"/>
      <x:c r="AC453"/>
      <x:c r="AD453"/>
      <x:c r="AE453"/>
      <x:c r="AF453"/>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x:c r="C454"/>
      <x:c r="D454"/>
      <x:c r="E454"/>
      <x:c r="F454"/>
      <x:c r="G454"/>
      <x:c r="H454"/>
      <x:c r="I454"/>
      <x:c r="J454"/>
      <x:c r="K454"/>
      <x:c r="L454"/>
      <x:c r="M454"/>
      <x:c r="N454"/>
      <x:c r="O454"/>
      <x:c r="P454"/>
      <x:c r="Q454"/>
      <x:c r="R454"/>
      <x:c r="S454"/>
      <x:c r="T454"/>
      <x:c r="U454"/>
      <x:c r="V454"/>
      <x:c r="W454"/>
      <x:c r="X454"/>
      <x:c r="Y454"/>
      <x:c r="Z454"/>
      <x:c r="AA454"/>
      <x:c r="AB454"/>
      <x:c r="AC454"/>
      <x:c r="AD454"/>
      <x:c r="AE454"/>
      <x:c r="AF454"/>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x:c r="C455"/>
      <x:c r="D455"/>
      <x:c r="E455"/>
      <x:c r="F455"/>
      <x:c r="G455"/>
      <x:c r="H455"/>
      <x:c r="I455"/>
      <x:c r="J455"/>
      <x:c r="K455"/>
      <x:c r="L455"/>
      <x:c r="M455"/>
      <x:c r="N455"/>
      <x:c r="O455"/>
      <x:c r="P455"/>
      <x:c r="Q455"/>
      <x:c r="R455"/>
      <x:c r="S455"/>
      <x:c r="T455"/>
      <x:c r="U455"/>
      <x:c r="V455"/>
      <x:c r="W455"/>
      <x:c r="X455"/>
      <x:c r="Y455"/>
      <x:c r="Z455"/>
      <x:c r="AA455"/>
      <x:c r="AB455"/>
      <x:c r="AC455"/>
      <x:c r="AD455"/>
      <x:c r="AE455"/>
      <x:c r="AF455"/>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x:c r="C456"/>
      <x:c r="D456"/>
      <x:c r="E456"/>
      <x:c r="F456"/>
      <x:c r="G456"/>
      <x:c r="H456"/>
      <x:c r="I456"/>
      <x:c r="J456"/>
      <x:c r="K456"/>
      <x:c r="L456"/>
      <x:c r="M456"/>
      <x:c r="N456"/>
      <x:c r="O456"/>
      <x:c r="P456"/>
      <x:c r="Q456"/>
      <x:c r="R456"/>
      <x:c r="S456"/>
      <x:c r="T456"/>
      <x:c r="U456"/>
      <x:c r="V456"/>
      <x:c r="W456"/>
      <x:c r="X456"/>
      <x:c r="Y456"/>
      <x:c r="Z456"/>
      <x:c r="AA456"/>
      <x:c r="AB456"/>
      <x:c r="AC456"/>
      <x:c r="AD456"/>
      <x:c r="AE456"/>
      <x:c r="AF456"/>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x:c r="C457"/>
      <x:c r="D457"/>
      <x:c r="E457"/>
      <x:c r="F457"/>
      <x:c r="G457"/>
      <x:c r="H457"/>
      <x:c r="I457"/>
      <x:c r="J457"/>
      <x:c r="K457"/>
      <x:c r="L457"/>
      <x:c r="M457"/>
      <x:c r="N457"/>
      <x:c r="O457"/>
      <x:c r="P457"/>
      <x:c r="Q457"/>
      <x:c r="R457"/>
      <x:c r="S457"/>
      <x:c r="T457"/>
      <x:c r="U457"/>
      <x:c r="V457"/>
      <x:c r="W457"/>
      <x:c r="X457"/>
      <x:c r="Y457"/>
      <x:c r="Z457"/>
      <x:c r="AA457"/>
      <x:c r="AB457"/>
      <x:c r="AC457"/>
      <x:c r="AD457"/>
      <x:c r="AE457"/>
      <x:c r="AF457"/>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x:c r="C458"/>
      <x:c r="D458"/>
      <x:c r="E458"/>
      <x:c r="F458"/>
      <x:c r="G458"/>
      <x:c r="H458"/>
      <x:c r="I458"/>
      <x:c r="J458"/>
      <x:c r="K458"/>
      <x:c r="L458"/>
      <x:c r="M458"/>
      <x:c r="N458"/>
      <x:c r="O458"/>
      <x:c r="P458"/>
      <x:c r="Q458"/>
      <x:c r="R458"/>
      <x:c r="S458"/>
      <x:c r="T458"/>
      <x:c r="U458"/>
      <x:c r="V458"/>
      <x:c r="W458"/>
      <x:c r="X458"/>
      <x:c r="Y458"/>
      <x:c r="Z458"/>
      <x:c r="AA458"/>
      <x:c r="AB458"/>
      <x:c r="AC458"/>
      <x:c r="AD458"/>
      <x:c r="AE458"/>
      <x:c r="AF458"/>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x:c r="C459"/>
      <x:c r="D459"/>
      <x:c r="E459"/>
      <x:c r="F459"/>
      <x:c r="G459"/>
      <x:c r="H459"/>
      <x:c r="I459"/>
      <x:c r="J459"/>
      <x:c r="K459"/>
      <x:c r="L459"/>
      <x:c r="M459"/>
      <x:c r="N459"/>
      <x:c r="O459"/>
      <x:c r="P459"/>
      <x:c r="Q459"/>
      <x:c r="R459"/>
      <x:c r="S459"/>
      <x:c r="T459"/>
      <x:c r="U459"/>
      <x:c r="V459"/>
      <x:c r="W459"/>
      <x:c r="X459"/>
      <x:c r="Y459"/>
      <x:c r="Z459"/>
      <x:c r="AA459"/>
      <x:c r="AB459"/>
      <x:c r="AC459"/>
      <x:c r="AD459"/>
      <x:c r="AE459"/>
      <x:c r="AF459"/>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x:c r="C460"/>
      <x:c r="D460"/>
      <x:c r="E460"/>
      <x:c r="F460"/>
      <x:c r="G460"/>
      <x:c r="H460"/>
      <x:c r="I460"/>
      <x:c r="J460"/>
      <x:c r="K460"/>
      <x:c r="L460"/>
      <x:c r="M460"/>
      <x:c r="N460"/>
      <x:c r="O460"/>
      <x:c r="P460"/>
      <x:c r="Q460"/>
      <x:c r="R460"/>
      <x:c r="S460"/>
      <x:c r="T460"/>
      <x:c r="U460"/>
      <x:c r="V460"/>
      <x:c r="W460"/>
      <x:c r="X460"/>
      <x:c r="Y460"/>
      <x:c r="Z460"/>
      <x:c r="AA460"/>
      <x:c r="AB460"/>
      <x:c r="AC460"/>
      <x:c r="AD460"/>
      <x:c r="AE460"/>
      <x:c r="AF460"/>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x:c r="C461"/>
      <x:c r="D461"/>
      <x:c r="E461"/>
      <x:c r="F461"/>
      <x:c r="G461"/>
      <x:c r="H461"/>
      <x:c r="I461"/>
      <x:c r="J461"/>
      <x:c r="K461"/>
      <x:c r="L461"/>
      <x:c r="M461"/>
      <x:c r="N461"/>
      <x:c r="O461"/>
      <x:c r="P461"/>
      <x:c r="Q461"/>
      <x:c r="R461"/>
      <x:c r="S461"/>
      <x:c r="T461"/>
      <x:c r="U461"/>
      <x:c r="V461"/>
      <x:c r="W461"/>
      <x:c r="X461"/>
      <x:c r="Y461"/>
      <x:c r="Z461"/>
      <x:c r="AA461"/>
      <x:c r="AB461"/>
      <x:c r="AC461"/>
      <x:c r="AD461"/>
      <x:c r="AE461"/>
      <x:c r="AF461"/>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x:c r="C462"/>
      <x:c r="D462"/>
      <x:c r="E462"/>
      <x:c r="F462"/>
      <x:c r="G462"/>
      <x:c r="H462"/>
      <x:c r="I462"/>
      <x:c r="J462"/>
      <x:c r="K462"/>
      <x:c r="L462"/>
      <x:c r="M462"/>
      <x:c r="N462"/>
      <x:c r="O462"/>
      <x:c r="P462"/>
      <x:c r="Q462"/>
      <x:c r="R462"/>
      <x:c r="S462"/>
      <x:c r="T462"/>
      <x:c r="U462"/>
      <x:c r="V462"/>
      <x:c r="W462"/>
      <x:c r="X462"/>
      <x:c r="Y462"/>
      <x:c r="Z462"/>
      <x:c r="AA462"/>
      <x:c r="AB462"/>
      <x:c r="AC462"/>
      <x:c r="AD462"/>
      <x:c r="AE462"/>
      <x:c r="AF462"/>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x:c r="C463"/>
      <x:c r="D463"/>
      <x:c r="E463"/>
      <x:c r="F463"/>
      <x:c r="G463"/>
      <x:c r="H463"/>
      <x:c r="I463"/>
      <x:c r="J463"/>
      <x:c r="K463"/>
      <x:c r="L463"/>
      <x:c r="M463"/>
      <x:c r="N463"/>
      <x:c r="O463"/>
      <x:c r="P463"/>
      <x:c r="Q463"/>
      <x:c r="R463"/>
      <x:c r="S463"/>
      <x:c r="T463"/>
      <x:c r="U463"/>
      <x:c r="V463"/>
      <x:c r="W463"/>
      <x:c r="X463"/>
      <x:c r="Y463"/>
      <x:c r="Z463"/>
      <x:c r="AA463"/>
      <x:c r="AB463"/>
      <x:c r="AC463"/>
      <x:c r="AD463"/>
      <x:c r="AE463"/>
      <x:c r="AF463"/>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x:c r="C464"/>
      <x:c r="D464"/>
      <x:c r="E464"/>
      <x:c r="F464"/>
      <x:c r="G464"/>
      <x:c r="H464"/>
      <x:c r="I464"/>
      <x:c r="J464"/>
      <x:c r="K464"/>
      <x:c r="L464"/>
      <x:c r="M464"/>
      <x:c r="N464"/>
      <x:c r="O464"/>
      <x:c r="P464"/>
      <x:c r="Q464"/>
      <x:c r="R464"/>
      <x:c r="S464"/>
      <x:c r="T464"/>
      <x:c r="U464"/>
      <x:c r="V464"/>
      <x:c r="W464"/>
      <x:c r="X464"/>
      <x:c r="Y464"/>
      <x:c r="Z464"/>
      <x:c r="AA464"/>
      <x:c r="AB464"/>
      <x:c r="AC464"/>
      <x:c r="AD464"/>
      <x:c r="AE464"/>
      <x:c r="AF464"/>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x:c r="C465"/>
      <x:c r="D465"/>
      <x:c r="E465"/>
      <x:c r="F465"/>
      <x:c r="G465"/>
      <x:c r="H465"/>
      <x:c r="I465"/>
      <x:c r="J465"/>
      <x:c r="K465"/>
      <x:c r="L465"/>
      <x:c r="M465"/>
      <x:c r="N465"/>
      <x:c r="O465"/>
      <x:c r="P465"/>
      <x:c r="Q465"/>
      <x:c r="R465"/>
      <x:c r="S465"/>
      <x:c r="T465"/>
      <x:c r="U465"/>
      <x:c r="V465"/>
      <x:c r="W465"/>
      <x:c r="X465"/>
      <x:c r="Y465"/>
      <x:c r="Z465"/>
      <x:c r="AA465"/>
      <x:c r="AB465"/>
      <x:c r="AC465"/>
      <x:c r="AD465"/>
      <x:c r="AE465"/>
      <x:c r="AF465"/>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x:c r="C466"/>
      <x:c r="D466"/>
      <x:c r="E466"/>
      <x:c r="F466"/>
      <x:c r="G466"/>
      <x:c r="H466"/>
      <x:c r="I466"/>
      <x:c r="J466"/>
      <x:c r="K466"/>
      <x:c r="L466"/>
      <x:c r="M466"/>
      <x:c r="N466"/>
      <x:c r="O466"/>
      <x:c r="P466"/>
      <x:c r="Q466"/>
      <x:c r="R466"/>
      <x:c r="S466"/>
      <x:c r="T466"/>
      <x:c r="U466"/>
      <x:c r="V466"/>
      <x:c r="W466"/>
      <x:c r="X466"/>
      <x:c r="Y466"/>
      <x:c r="Z466"/>
      <x:c r="AA466"/>
      <x:c r="AB466"/>
      <x:c r="AC466"/>
      <x:c r="AD466"/>
      <x:c r="AE466"/>
      <x:c r="AF466"/>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x:c r="C467"/>
      <x:c r="D467"/>
      <x:c r="E467"/>
      <x:c r="F467"/>
      <x:c r="G467"/>
      <x:c r="H467"/>
      <x:c r="I467"/>
      <x:c r="J467"/>
      <x:c r="K467"/>
      <x:c r="L467"/>
      <x:c r="M467"/>
      <x:c r="N467"/>
      <x:c r="O467"/>
      <x:c r="P467"/>
      <x:c r="Q467"/>
      <x:c r="R467"/>
      <x:c r="S467"/>
      <x:c r="T467"/>
      <x:c r="U467"/>
      <x:c r="V467"/>
      <x:c r="W467"/>
      <x:c r="X467"/>
      <x:c r="Y467"/>
      <x:c r="Z467"/>
      <x:c r="AA467"/>
      <x:c r="AB467"/>
      <x:c r="AC467"/>
      <x:c r="AD467"/>
      <x:c r="AE467"/>
      <x:c r="AF467"/>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x:c r="C468"/>
      <x:c r="D468"/>
      <x:c r="E468"/>
      <x:c r="F468"/>
      <x:c r="G468"/>
      <x:c r="H468"/>
      <x:c r="I468"/>
      <x:c r="J468"/>
      <x:c r="K468"/>
      <x:c r="L468"/>
      <x:c r="M468"/>
      <x:c r="N468"/>
      <x:c r="O468"/>
      <x:c r="P468"/>
      <x:c r="Q468"/>
      <x:c r="R468"/>
      <x:c r="S468"/>
      <x:c r="T468"/>
      <x:c r="U468"/>
      <x:c r="V468"/>
      <x:c r="W468"/>
      <x:c r="X468"/>
      <x:c r="Y468"/>
      <x:c r="Z468"/>
      <x:c r="AA468"/>
      <x:c r="AB468"/>
      <x:c r="AC468"/>
      <x:c r="AD468"/>
      <x:c r="AE468"/>
      <x:c r="AF468"/>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x:c r="C469"/>
      <x:c r="D469"/>
      <x:c r="E469"/>
      <x:c r="F469"/>
      <x:c r="G469"/>
      <x:c r="H469"/>
      <x:c r="I469"/>
      <x:c r="J469"/>
      <x:c r="K469"/>
      <x:c r="L469"/>
      <x:c r="M469"/>
      <x:c r="N469"/>
      <x:c r="O469"/>
      <x:c r="P469"/>
      <x:c r="Q469"/>
      <x:c r="R469"/>
      <x:c r="S469"/>
      <x:c r="T469"/>
      <x:c r="U469"/>
      <x:c r="V469"/>
      <x:c r="W469"/>
      <x:c r="X469"/>
      <x:c r="Y469"/>
      <x:c r="Z469"/>
      <x:c r="AA469"/>
      <x:c r="AB469"/>
      <x:c r="AC469"/>
      <x:c r="AD469"/>
      <x:c r="AE469"/>
      <x:c r="AF469"/>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x:c r="C470"/>
      <x:c r="D470"/>
      <x:c r="E470"/>
      <x:c r="F470"/>
      <x:c r="G470"/>
      <x:c r="H470"/>
      <x:c r="I470"/>
      <x:c r="J470"/>
      <x:c r="K470"/>
      <x:c r="L470"/>
      <x:c r="M470"/>
      <x:c r="N470"/>
      <x:c r="O470"/>
      <x:c r="P470"/>
      <x:c r="Q470"/>
      <x:c r="R470"/>
      <x:c r="S470"/>
      <x:c r="T470"/>
      <x:c r="U470"/>
      <x:c r="V470"/>
      <x:c r="W470"/>
      <x:c r="X470"/>
      <x:c r="Y470"/>
      <x:c r="Z470"/>
      <x:c r="AA470"/>
      <x:c r="AB470"/>
      <x:c r="AC470"/>
      <x:c r="AD470"/>
      <x:c r="AE470"/>
      <x:c r="AF470"/>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x:c r="C471"/>
      <x:c r="D471"/>
      <x:c r="E471"/>
      <x:c r="F471"/>
      <x:c r="G471"/>
      <x:c r="H471"/>
      <x:c r="I471"/>
      <x:c r="J471"/>
      <x:c r="K471"/>
      <x:c r="L471"/>
      <x:c r="M471"/>
      <x:c r="N471"/>
      <x:c r="O471"/>
      <x:c r="P471"/>
      <x:c r="Q471"/>
      <x:c r="R471"/>
      <x:c r="S471"/>
      <x:c r="T471"/>
      <x:c r="U471"/>
      <x:c r="V471"/>
      <x:c r="W471"/>
      <x:c r="X471"/>
      <x:c r="Y471"/>
      <x:c r="Z471"/>
      <x:c r="AA471"/>
      <x:c r="AB471"/>
      <x:c r="AC471"/>
      <x:c r="AD471"/>
      <x:c r="AE471"/>
      <x:c r="AF471"/>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x:c r="C472"/>
      <x:c r="D472"/>
      <x:c r="E472"/>
      <x:c r="F472"/>
      <x:c r="G472"/>
      <x:c r="H472"/>
      <x:c r="I472"/>
      <x:c r="J472"/>
      <x:c r="K472"/>
      <x:c r="L472"/>
      <x:c r="M472"/>
      <x:c r="N472"/>
      <x:c r="O472"/>
      <x:c r="P472"/>
      <x:c r="Q472"/>
      <x:c r="R472"/>
      <x:c r="S472"/>
      <x:c r="T472"/>
      <x:c r="U472"/>
      <x:c r="V472"/>
      <x:c r="W472"/>
      <x:c r="X472"/>
      <x:c r="Y472"/>
      <x:c r="Z472"/>
      <x:c r="AA472"/>
      <x:c r="AB472"/>
      <x:c r="AC472"/>
      <x:c r="AD472"/>
      <x:c r="AE472"/>
      <x:c r="AF472"/>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x:c r="C473"/>
      <x:c r="D473"/>
      <x:c r="E473"/>
      <x:c r="F473"/>
      <x:c r="G473"/>
      <x:c r="H473"/>
      <x:c r="I473"/>
      <x:c r="J473"/>
      <x:c r="K473"/>
      <x:c r="L473"/>
      <x:c r="M473"/>
      <x:c r="N473"/>
      <x:c r="O473"/>
      <x:c r="P473"/>
      <x:c r="Q473"/>
      <x:c r="R473"/>
      <x:c r="S473"/>
      <x:c r="T473"/>
      <x:c r="U473"/>
      <x:c r="V473"/>
      <x:c r="W473"/>
      <x:c r="X473"/>
      <x:c r="Y473"/>
      <x:c r="Z473"/>
      <x:c r="AA473"/>
      <x:c r="AB473"/>
      <x:c r="AC473"/>
      <x:c r="AD473"/>
      <x:c r="AE473"/>
      <x:c r="AF473"/>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x:c r="C474"/>
      <x:c r="D474"/>
      <x:c r="E474"/>
      <x:c r="F474"/>
      <x:c r="G474"/>
      <x:c r="H474"/>
      <x:c r="I474"/>
      <x:c r="J474"/>
      <x:c r="K474"/>
      <x:c r="L474"/>
      <x:c r="M474"/>
      <x:c r="N474"/>
      <x:c r="O474"/>
      <x:c r="P474"/>
      <x:c r="Q474"/>
      <x:c r="R474"/>
      <x:c r="S474"/>
      <x:c r="T474"/>
      <x:c r="U474"/>
      <x:c r="V474"/>
      <x:c r="W474"/>
      <x:c r="X474"/>
      <x:c r="Y474"/>
      <x:c r="Z474"/>
      <x:c r="AA474"/>
      <x:c r="AB474"/>
      <x:c r="AC474"/>
      <x:c r="AD474"/>
      <x:c r="AE474"/>
      <x:c r="AF474"/>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x:c r="C475"/>
      <x:c r="D475"/>
      <x:c r="E475"/>
      <x:c r="F475"/>
      <x:c r="G475"/>
      <x:c r="H475"/>
      <x:c r="I475"/>
      <x:c r="J475"/>
      <x:c r="K475"/>
      <x:c r="L475"/>
      <x:c r="M475"/>
      <x:c r="N475"/>
      <x:c r="O475"/>
      <x:c r="P475"/>
      <x:c r="Q475"/>
      <x:c r="R475"/>
      <x:c r="S475"/>
      <x:c r="T475"/>
      <x:c r="U475"/>
      <x:c r="V475"/>
      <x:c r="W475"/>
      <x:c r="X475"/>
      <x:c r="Y475"/>
      <x:c r="Z475"/>
      <x:c r="AA475"/>
      <x:c r="AB475"/>
      <x:c r="AC475"/>
      <x:c r="AD475"/>
      <x:c r="AE475"/>
      <x:c r="AF475"/>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x:c r="C476"/>
      <x:c r="D476"/>
      <x:c r="E476"/>
      <x:c r="F476"/>
      <x:c r="G476"/>
      <x:c r="H476"/>
      <x:c r="I476"/>
      <x:c r="J476"/>
      <x:c r="K476"/>
      <x:c r="L476"/>
      <x:c r="M476"/>
      <x:c r="N476"/>
      <x:c r="O476"/>
      <x:c r="P476"/>
      <x:c r="Q476"/>
      <x:c r="R476"/>
      <x:c r="S476"/>
      <x:c r="T476"/>
      <x:c r="U476"/>
      <x:c r="V476"/>
      <x:c r="W476"/>
      <x:c r="X476"/>
      <x:c r="Y476"/>
      <x:c r="Z476"/>
      <x:c r="AA476"/>
      <x:c r="AB476"/>
      <x:c r="AC476"/>
      <x:c r="AD476"/>
      <x:c r="AE476"/>
      <x:c r="AF476"/>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x:c r="C477"/>
      <x:c r="D477"/>
      <x:c r="E477"/>
      <x:c r="F477"/>
      <x:c r="G477"/>
      <x:c r="H477"/>
      <x:c r="I477"/>
      <x:c r="J477"/>
      <x:c r="K477"/>
      <x:c r="L477"/>
      <x:c r="M477"/>
      <x:c r="N477"/>
      <x:c r="O477"/>
      <x:c r="P477"/>
      <x:c r="Q477"/>
      <x:c r="R477"/>
      <x:c r="S477"/>
      <x:c r="T477"/>
      <x:c r="U477"/>
      <x:c r="V477"/>
      <x:c r="W477"/>
      <x:c r="X477"/>
      <x:c r="Y477"/>
      <x:c r="Z477"/>
      <x:c r="AA477"/>
      <x:c r="AB477"/>
      <x:c r="AC477"/>
      <x:c r="AD477"/>
      <x:c r="AE477"/>
      <x:c r="AF477"/>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x:c r="C478"/>
      <x:c r="D478"/>
      <x:c r="E478"/>
      <x:c r="F478"/>
      <x:c r="G478"/>
      <x:c r="H478"/>
      <x:c r="I478"/>
      <x:c r="J478"/>
      <x:c r="K478"/>
      <x:c r="L478"/>
      <x:c r="M478"/>
      <x:c r="N478"/>
      <x:c r="O478"/>
      <x:c r="P478"/>
      <x:c r="Q478"/>
      <x:c r="R478"/>
      <x:c r="S478"/>
      <x:c r="T478"/>
      <x:c r="U478"/>
      <x:c r="V478"/>
      <x:c r="W478"/>
      <x:c r="X478"/>
      <x:c r="Y478"/>
      <x:c r="Z478"/>
      <x:c r="AA478"/>
      <x:c r="AB478"/>
      <x:c r="AC478"/>
      <x:c r="AD478"/>
      <x:c r="AE478"/>
      <x:c r="AF478"/>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x:c r="C479"/>
      <x:c r="D479"/>
      <x:c r="E479"/>
      <x:c r="F479"/>
      <x:c r="G479"/>
      <x:c r="H479"/>
      <x:c r="I479"/>
      <x:c r="J479"/>
      <x:c r="K479"/>
      <x:c r="L479"/>
      <x:c r="M479"/>
      <x:c r="N479"/>
      <x:c r="O479"/>
      <x:c r="P479"/>
      <x:c r="Q479"/>
      <x:c r="R479"/>
      <x:c r="S479"/>
      <x:c r="T479"/>
      <x:c r="U479"/>
      <x:c r="V479"/>
      <x:c r="W479"/>
      <x:c r="X479"/>
      <x:c r="Y479"/>
      <x:c r="Z479"/>
      <x:c r="AA479"/>
      <x:c r="AB479"/>
      <x:c r="AC479"/>
      <x:c r="AD479"/>
      <x:c r="AE479"/>
      <x:c r="AF479"/>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x:c r="C480"/>
      <x:c r="D480"/>
      <x:c r="E480"/>
      <x:c r="F480"/>
      <x:c r="G480"/>
      <x:c r="H480"/>
      <x:c r="I480"/>
      <x:c r="J480"/>
      <x:c r="K480"/>
      <x:c r="L480"/>
      <x:c r="M480"/>
      <x:c r="N480"/>
      <x:c r="O480"/>
      <x:c r="P480"/>
      <x:c r="Q480"/>
      <x:c r="R480"/>
      <x:c r="S480"/>
      <x:c r="T480"/>
      <x:c r="U480"/>
      <x:c r="V480"/>
      <x:c r="W480"/>
      <x:c r="X480"/>
      <x:c r="Y480"/>
      <x:c r="Z480"/>
      <x:c r="AA480"/>
      <x:c r="AB480"/>
      <x:c r="AC480"/>
      <x:c r="AD480"/>
      <x:c r="AE480"/>
      <x:c r="AF480"/>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x:c r="C481"/>
      <x:c r="D481"/>
      <x:c r="E481"/>
      <x:c r="F481"/>
      <x:c r="G481"/>
      <x:c r="H481"/>
      <x:c r="I481"/>
      <x:c r="J481"/>
      <x:c r="K481"/>
      <x:c r="L481"/>
      <x:c r="M481"/>
      <x:c r="N481"/>
      <x:c r="O481"/>
      <x:c r="P481"/>
      <x:c r="Q481"/>
      <x:c r="R481"/>
      <x:c r="S481"/>
      <x:c r="T481"/>
      <x:c r="U481"/>
      <x:c r="V481"/>
      <x:c r="W481"/>
      <x:c r="X481"/>
      <x:c r="Y481"/>
      <x:c r="Z481"/>
      <x:c r="AA481"/>
      <x:c r="AB481"/>
      <x:c r="AC481"/>
      <x:c r="AD481"/>
      <x:c r="AE481"/>
      <x:c r="AF481"/>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x:c r="C482"/>
      <x:c r="D482"/>
      <x:c r="E482"/>
      <x:c r="F482"/>
      <x:c r="G482"/>
      <x:c r="H482"/>
      <x:c r="I482"/>
      <x:c r="J482"/>
      <x:c r="K482"/>
      <x:c r="L482"/>
      <x:c r="M482"/>
      <x:c r="N482"/>
      <x:c r="O482"/>
      <x:c r="P482"/>
      <x:c r="Q482"/>
      <x:c r="R482"/>
      <x:c r="S482"/>
      <x:c r="T482"/>
      <x:c r="U482"/>
      <x:c r="V482"/>
      <x:c r="W482"/>
      <x:c r="X482"/>
      <x:c r="Y482"/>
      <x:c r="Z482"/>
      <x:c r="AA482"/>
      <x:c r="AB482"/>
      <x:c r="AC482"/>
      <x:c r="AD482"/>
      <x:c r="AE482"/>
      <x:c r="AF482"/>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x:c r="C483"/>
      <x:c r="D483"/>
      <x:c r="E483"/>
      <x:c r="F483"/>
      <x:c r="G483"/>
      <x:c r="H483"/>
      <x:c r="I483"/>
      <x:c r="J483"/>
      <x:c r="K483"/>
      <x:c r="L483"/>
      <x:c r="M483"/>
      <x:c r="N483"/>
      <x:c r="O483"/>
      <x:c r="P483"/>
      <x:c r="Q483"/>
      <x:c r="R483"/>
      <x:c r="S483"/>
      <x:c r="T483"/>
      <x:c r="U483"/>
      <x:c r="V483"/>
      <x:c r="W483"/>
      <x:c r="X483"/>
      <x:c r="Y483"/>
      <x:c r="Z483"/>
      <x:c r="AA483"/>
      <x:c r="AB483"/>
      <x:c r="AC483"/>
      <x:c r="AD483"/>
      <x:c r="AE483"/>
      <x:c r="AF483"/>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x:c r="C484"/>
      <x:c r="D484"/>
      <x:c r="E484"/>
      <x:c r="F484"/>
      <x:c r="G484"/>
      <x:c r="H484"/>
      <x:c r="I484"/>
      <x:c r="J484"/>
      <x:c r="K484"/>
      <x:c r="L484"/>
      <x:c r="M484"/>
      <x:c r="N484"/>
      <x:c r="O484"/>
      <x:c r="P484"/>
      <x:c r="Q484"/>
      <x:c r="R484"/>
      <x:c r="S484"/>
      <x:c r="T484"/>
      <x:c r="U484"/>
      <x:c r="V484"/>
      <x:c r="W484"/>
      <x:c r="X484"/>
      <x:c r="Y484"/>
      <x:c r="Z484"/>
      <x:c r="AA484"/>
      <x:c r="AB484"/>
      <x:c r="AC484"/>
      <x:c r="AD484"/>
      <x:c r="AE484"/>
      <x:c r="AF484"/>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x:c r="C485"/>
      <x:c r="D485"/>
      <x:c r="E485"/>
      <x:c r="F485"/>
      <x:c r="G485"/>
      <x:c r="H485"/>
      <x:c r="I485"/>
      <x:c r="J485"/>
      <x:c r="K485"/>
      <x:c r="L485"/>
      <x:c r="M485"/>
      <x:c r="N485"/>
      <x:c r="O485"/>
      <x:c r="P485"/>
      <x:c r="Q485"/>
      <x:c r="R485"/>
      <x:c r="S485"/>
      <x:c r="T485"/>
      <x:c r="U485"/>
      <x:c r="V485"/>
      <x:c r="W485"/>
      <x:c r="X485"/>
      <x:c r="Y485"/>
      <x:c r="Z485"/>
      <x:c r="AA485"/>
      <x:c r="AB485"/>
      <x:c r="AC485"/>
      <x:c r="AD485"/>
      <x:c r="AE485"/>
      <x:c r="AF485"/>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x:c r="C486"/>
      <x:c r="D486"/>
      <x:c r="E486"/>
      <x:c r="F486"/>
      <x:c r="G486"/>
      <x:c r="H486"/>
      <x:c r="I486"/>
      <x:c r="J486"/>
      <x:c r="K486"/>
      <x:c r="L486"/>
      <x:c r="M486"/>
      <x:c r="N486"/>
      <x:c r="O486"/>
      <x:c r="P486"/>
      <x:c r="Q486"/>
      <x:c r="R486"/>
      <x:c r="S486"/>
      <x:c r="T486"/>
      <x:c r="U486"/>
      <x:c r="V486"/>
      <x:c r="W486"/>
      <x:c r="X486"/>
      <x:c r="Y486"/>
      <x:c r="Z486"/>
      <x:c r="AA486"/>
      <x:c r="AB486"/>
      <x:c r="AC486"/>
      <x:c r="AD486"/>
      <x:c r="AE486"/>
      <x:c r="AF486"/>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x:c r="C487"/>
      <x:c r="D487"/>
      <x:c r="E487"/>
      <x:c r="F487"/>
      <x:c r="G487"/>
      <x:c r="H487"/>
      <x:c r="I487"/>
      <x:c r="J487"/>
      <x:c r="K487"/>
      <x:c r="L487"/>
      <x:c r="M487"/>
      <x:c r="N487"/>
      <x:c r="O487"/>
      <x:c r="P487"/>
      <x:c r="Q487"/>
      <x:c r="R487"/>
      <x:c r="S487"/>
      <x:c r="T487"/>
      <x:c r="U487"/>
      <x:c r="V487"/>
      <x:c r="W487"/>
      <x:c r="X487"/>
      <x:c r="Y487"/>
      <x:c r="Z487"/>
      <x:c r="AA487"/>
      <x:c r="AB487"/>
      <x:c r="AC487"/>
      <x:c r="AD487"/>
      <x:c r="AE487"/>
      <x:c r="AF487"/>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x:c r="C488"/>
      <x:c r="D488"/>
      <x:c r="E488"/>
      <x:c r="F488"/>
      <x:c r="G488"/>
      <x:c r="H488"/>
      <x:c r="I488"/>
      <x:c r="J488"/>
      <x:c r="K488"/>
      <x:c r="L488"/>
      <x:c r="M488"/>
      <x:c r="N488"/>
      <x:c r="O488"/>
      <x:c r="P488"/>
      <x:c r="Q488"/>
      <x:c r="R488"/>
      <x:c r="S488"/>
      <x:c r="T488"/>
      <x:c r="U488"/>
      <x:c r="V488"/>
      <x:c r="W488"/>
      <x:c r="X488"/>
      <x:c r="Y488"/>
      <x:c r="Z488"/>
      <x:c r="AA488"/>
      <x:c r="AB488"/>
      <x:c r="AC488"/>
      <x:c r="AD488"/>
      <x:c r="AE488"/>
      <x:c r="AF488"/>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x:c r="C489"/>
      <x:c r="D489"/>
      <x:c r="E489"/>
      <x:c r="F489"/>
      <x:c r="G489"/>
      <x:c r="H489"/>
      <x:c r="I489"/>
      <x:c r="J489"/>
      <x:c r="K489"/>
      <x:c r="L489"/>
      <x:c r="M489"/>
      <x:c r="N489"/>
      <x:c r="O489"/>
      <x:c r="P489"/>
      <x:c r="Q489"/>
      <x:c r="R489"/>
      <x:c r="S489"/>
      <x:c r="T489"/>
      <x:c r="U489"/>
      <x:c r="V489"/>
      <x:c r="W489"/>
      <x:c r="X489"/>
      <x:c r="Y489"/>
      <x:c r="Z489"/>
      <x:c r="AA489"/>
      <x:c r="AB489"/>
      <x:c r="AC489"/>
      <x:c r="AD489"/>
      <x:c r="AE489"/>
      <x:c r="AF489"/>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x:c r="C490"/>
      <x:c r="D490"/>
      <x:c r="E490"/>
      <x:c r="F490"/>
      <x:c r="G490"/>
      <x:c r="H490"/>
      <x:c r="I490"/>
      <x:c r="J490"/>
      <x:c r="K490"/>
      <x:c r="L490"/>
      <x:c r="M490"/>
      <x:c r="N490"/>
      <x:c r="O490"/>
      <x:c r="P490"/>
      <x:c r="Q490"/>
      <x:c r="R490"/>
      <x:c r="S490"/>
      <x:c r="T490"/>
      <x:c r="U490"/>
      <x:c r="V490"/>
      <x:c r="W490"/>
      <x:c r="X490"/>
      <x:c r="Y490"/>
      <x:c r="Z490"/>
      <x:c r="AA490"/>
      <x:c r="AB490"/>
      <x:c r="AC490"/>
      <x:c r="AD490"/>
      <x:c r="AE490"/>
      <x:c r="AF490"/>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x:c r="C491"/>
      <x:c r="D491"/>
      <x:c r="E491"/>
      <x:c r="F491"/>
      <x:c r="G491"/>
      <x:c r="H491"/>
      <x:c r="I491"/>
      <x:c r="J491"/>
      <x:c r="K491"/>
      <x:c r="L491"/>
      <x:c r="M491"/>
      <x:c r="N491"/>
      <x:c r="O491"/>
      <x:c r="P491"/>
      <x:c r="Q491"/>
      <x:c r="R491"/>
      <x:c r="S491"/>
      <x:c r="T491"/>
      <x:c r="U491"/>
      <x:c r="V491"/>
      <x:c r="W491"/>
      <x:c r="X491"/>
      <x:c r="Y491"/>
      <x:c r="Z491"/>
      <x:c r="AA491"/>
      <x:c r="AB491"/>
      <x:c r="AC491"/>
      <x:c r="AD491"/>
      <x:c r="AE491"/>
      <x:c r="AF491"/>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x:c r="C492"/>
      <x:c r="D492"/>
      <x:c r="E492"/>
      <x:c r="F492"/>
      <x:c r="G492"/>
      <x:c r="H492"/>
      <x:c r="I492"/>
      <x:c r="J492"/>
      <x:c r="K492"/>
      <x:c r="L492"/>
      <x:c r="M492"/>
      <x:c r="N492"/>
      <x:c r="O492"/>
      <x:c r="P492"/>
      <x:c r="Q492"/>
      <x:c r="R492"/>
      <x:c r="S492"/>
      <x:c r="T492"/>
      <x:c r="U492"/>
      <x:c r="V492"/>
      <x:c r="W492"/>
      <x:c r="X492"/>
      <x:c r="Y492"/>
      <x:c r="Z492"/>
      <x:c r="AA492"/>
      <x:c r="AB492"/>
      <x:c r="AC492"/>
      <x:c r="AD492"/>
      <x:c r="AE492"/>
      <x:c r="AF492"/>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x:c r="C493"/>
      <x:c r="D493"/>
      <x:c r="E493"/>
      <x:c r="F493"/>
      <x:c r="G493"/>
      <x:c r="H493"/>
      <x:c r="I493"/>
      <x:c r="J493"/>
      <x:c r="K493"/>
      <x:c r="L493"/>
      <x:c r="M493"/>
      <x:c r="N493"/>
      <x:c r="O493"/>
      <x:c r="P493"/>
      <x:c r="Q493"/>
      <x:c r="R493"/>
      <x:c r="S493"/>
      <x:c r="T493"/>
      <x:c r="U493"/>
      <x:c r="V493"/>
      <x:c r="W493"/>
      <x:c r="X493"/>
      <x:c r="Y493"/>
      <x:c r="Z493"/>
      <x:c r="AA493"/>
      <x:c r="AB493"/>
      <x:c r="AC493"/>
      <x:c r="AD493"/>
      <x:c r="AE493"/>
      <x:c r="AF493"/>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x:c r="C494"/>
      <x:c r="D494"/>
      <x:c r="E494"/>
      <x:c r="F494"/>
      <x:c r="G494"/>
      <x:c r="H494"/>
      <x:c r="I494"/>
      <x:c r="J494"/>
      <x:c r="K494"/>
      <x:c r="L494"/>
      <x:c r="M494"/>
      <x:c r="N494"/>
      <x:c r="O494"/>
      <x:c r="P494"/>
      <x:c r="Q494"/>
      <x:c r="R494"/>
      <x:c r="S494"/>
      <x:c r="T494"/>
      <x:c r="U494"/>
      <x:c r="V494"/>
      <x:c r="W494"/>
      <x:c r="X494"/>
      <x:c r="Y494"/>
      <x:c r="Z494"/>
      <x:c r="AA494"/>
      <x:c r="AB494"/>
      <x:c r="AC494"/>
      <x:c r="AD494"/>
      <x:c r="AE494"/>
      <x:c r="AF494"/>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x:c r="C495"/>
      <x:c r="D495"/>
      <x:c r="E495"/>
      <x:c r="F495"/>
      <x:c r="G495"/>
      <x:c r="H495"/>
      <x:c r="I495"/>
      <x:c r="J495"/>
      <x:c r="K495"/>
      <x:c r="L495"/>
      <x:c r="M495"/>
      <x:c r="N495"/>
      <x:c r="O495"/>
      <x:c r="P495"/>
      <x:c r="Q495"/>
      <x:c r="R495"/>
      <x:c r="S495"/>
      <x:c r="T495"/>
      <x:c r="U495"/>
      <x:c r="V495"/>
      <x:c r="W495"/>
      <x:c r="X495"/>
      <x:c r="Y495"/>
      <x:c r="Z495"/>
      <x:c r="AA495"/>
      <x:c r="AB495"/>
      <x:c r="AC495"/>
      <x:c r="AD495"/>
      <x:c r="AE495"/>
      <x:c r="AF495"/>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x:c r="C496"/>
      <x:c r="D496"/>
      <x:c r="E496"/>
      <x:c r="F496"/>
      <x:c r="G496"/>
      <x:c r="H496"/>
      <x:c r="I496"/>
      <x:c r="J496"/>
      <x:c r="K496"/>
      <x:c r="L496"/>
      <x:c r="M496"/>
      <x:c r="N496"/>
      <x:c r="O496"/>
      <x:c r="P496"/>
      <x:c r="Q496"/>
      <x:c r="R496"/>
      <x:c r="S496"/>
      <x:c r="T496"/>
      <x:c r="U496"/>
      <x:c r="V496"/>
      <x:c r="W496"/>
      <x:c r="X496"/>
      <x:c r="Y496"/>
      <x:c r="Z496"/>
      <x:c r="AA496"/>
      <x:c r="AB496"/>
      <x:c r="AC496"/>
      <x:c r="AD496"/>
      <x:c r="AE496"/>
      <x:c r="AF496"/>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x:c r="C497"/>
      <x:c r="D497"/>
      <x:c r="E497"/>
      <x:c r="F497"/>
      <x:c r="G497"/>
      <x:c r="H497"/>
      <x:c r="I497"/>
      <x:c r="J497"/>
      <x:c r="K497"/>
      <x:c r="L497"/>
      <x:c r="M497"/>
      <x:c r="N497"/>
      <x:c r="O497"/>
      <x:c r="P497"/>
      <x:c r="Q497"/>
      <x:c r="R497"/>
      <x:c r="S497"/>
      <x:c r="T497"/>
      <x:c r="U497"/>
      <x:c r="V497"/>
      <x:c r="W497"/>
      <x:c r="X497"/>
      <x:c r="Y497"/>
      <x:c r="Z497"/>
      <x:c r="AA497"/>
      <x:c r="AB497"/>
      <x:c r="AC497"/>
      <x:c r="AD497"/>
      <x:c r="AE497"/>
      <x:c r="AF497"/>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x:c r="C498"/>
      <x:c r="D498"/>
      <x:c r="E498"/>
      <x:c r="F498"/>
      <x:c r="G498"/>
      <x:c r="H498"/>
      <x:c r="I498"/>
      <x:c r="J498"/>
      <x:c r="K498"/>
      <x:c r="L498"/>
      <x:c r="M498"/>
      <x:c r="N498"/>
      <x:c r="O498"/>
      <x:c r="P498"/>
      <x:c r="Q498"/>
      <x:c r="R498"/>
      <x:c r="S498"/>
      <x:c r="T498"/>
      <x:c r="U498"/>
      <x:c r="V498"/>
      <x:c r="W498"/>
      <x:c r="X498"/>
      <x:c r="Y498"/>
      <x:c r="Z498"/>
      <x:c r="AA498"/>
      <x:c r="AB498"/>
      <x:c r="AC498"/>
      <x:c r="AD498"/>
      <x:c r="AE498"/>
      <x:c r="AF498"/>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x:c r="C499"/>
      <x:c r="D499"/>
      <x:c r="E499"/>
      <x:c r="F499"/>
      <x:c r="G499"/>
      <x:c r="H499"/>
      <x:c r="I499"/>
      <x:c r="J499"/>
      <x:c r="K499"/>
      <x:c r="L499"/>
      <x:c r="M499"/>
      <x:c r="N499"/>
      <x:c r="O499"/>
      <x:c r="P499"/>
      <x:c r="Q499"/>
      <x:c r="R499"/>
      <x:c r="S499"/>
      <x:c r="T499"/>
      <x:c r="U499"/>
      <x:c r="V499"/>
      <x:c r="W499"/>
      <x:c r="X499"/>
      <x:c r="Y499"/>
      <x:c r="Z499"/>
      <x:c r="AA499"/>
      <x:c r="AB499"/>
      <x:c r="AC499"/>
      <x:c r="AD499"/>
      <x:c r="AE499"/>
      <x:c r="AF499"/>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x:c r="C500"/>
      <x:c r="D500"/>
      <x:c r="E500"/>
      <x:c r="F500"/>
      <x:c r="G500"/>
      <x:c r="H500"/>
      <x:c r="I500"/>
      <x:c r="J500"/>
      <x:c r="K500"/>
      <x:c r="L500"/>
      <x:c r="M500"/>
      <x:c r="N500"/>
      <x:c r="O500"/>
      <x:c r="P500"/>
      <x:c r="Q500"/>
      <x:c r="R500"/>
      <x:c r="S500"/>
      <x:c r="T500"/>
      <x:c r="U500"/>
      <x:c r="V500"/>
      <x:c r="W500"/>
      <x:c r="X500"/>
      <x:c r="Y500"/>
      <x:c r="Z500"/>
      <x:c r="AA500"/>
      <x:c r="AB500"/>
      <x:c r="AC500"/>
      <x:c r="AD500"/>
      <x:c r="AE500"/>
      <x:c r="AF500"/>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x:c r="C501"/>
      <x:c r="D501"/>
      <x:c r="E501"/>
      <x:c r="F501"/>
      <x:c r="G501"/>
      <x:c r="H501"/>
      <x:c r="I501"/>
      <x:c r="J501"/>
      <x:c r="K501"/>
      <x:c r="L501"/>
      <x:c r="M501"/>
      <x:c r="N501"/>
      <x:c r="O501"/>
      <x:c r="P501"/>
      <x:c r="Q501"/>
      <x:c r="R501"/>
      <x:c r="S501"/>
      <x:c r="T501"/>
      <x:c r="U501"/>
      <x:c r="V501"/>
      <x:c r="W501"/>
      <x:c r="X501"/>
      <x:c r="Y501"/>
      <x:c r="Z501"/>
      <x:c r="AA501"/>
      <x:c r="AB501"/>
      <x:c r="AC501"/>
      <x:c r="AD501"/>
      <x:c r="AE501"/>
      <x:c r="AF501"/>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x:c r="C502"/>
      <x:c r="D502"/>
      <x:c r="E502"/>
      <x:c r="F502"/>
      <x:c r="G502"/>
      <x:c r="H502"/>
      <x:c r="I502"/>
      <x:c r="J502"/>
      <x:c r="K502"/>
      <x:c r="L502"/>
      <x:c r="M502"/>
      <x:c r="N502"/>
      <x:c r="O502"/>
      <x:c r="P502"/>
      <x:c r="Q502"/>
      <x:c r="R502"/>
      <x:c r="S502"/>
      <x:c r="T502"/>
      <x:c r="U502"/>
      <x:c r="V502"/>
      <x:c r="W502"/>
      <x:c r="X502"/>
      <x:c r="Y502"/>
      <x:c r="Z502"/>
      <x:c r="AA502"/>
      <x:c r="AB502"/>
      <x:c r="AC502"/>
      <x:c r="AD502"/>
      <x:c r="AE502"/>
      <x:c r="AF502"/>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x:c r="C503"/>
      <x:c r="D503"/>
      <x:c r="E503"/>
      <x:c r="F503"/>
      <x:c r="G503"/>
      <x:c r="H503"/>
      <x:c r="I503"/>
      <x:c r="J503"/>
      <x:c r="K503"/>
      <x:c r="L503"/>
      <x:c r="M503"/>
      <x:c r="N503"/>
      <x:c r="O503"/>
      <x:c r="P503"/>
      <x:c r="Q503"/>
      <x:c r="R503"/>
      <x:c r="S503"/>
      <x:c r="T503"/>
      <x:c r="U503"/>
      <x:c r="V503"/>
      <x:c r="W503"/>
      <x:c r="X503"/>
      <x:c r="Y503"/>
      <x:c r="Z503"/>
      <x:c r="AA503"/>
      <x:c r="AB503"/>
      <x:c r="AC503"/>
      <x:c r="AD503"/>
      <x:c r="AE503"/>
      <x:c r="AF503"/>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x:c r="C504"/>
      <x:c r="D504"/>
      <x:c r="E504"/>
      <x:c r="F504"/>
      <x:c r="G504"/>
      <x:c r="H504"/>
      <x:c r="I504"/>
      <x:c r="J504"/>
      <x:c r="K504"/>
      <x:c r="L504"/>
      <x:c r="M504"/>
      <x:c r="N504"/>
      <x:c r="O504"/>
      <x:c r="P504"/>
      <x:c r="Q504"/>
      <x:c r="R504"/>
      <x:c r="S504"/>
      <x:c r="T504"/>
      <x:c r="U504"/>
      <x:c r="V504"/>
      <x:c r="W504"/>
      <x:c r="X504"/>
      <x:c r="Y504"/>
      <x:c r="Z504"/>
      <x:c r="AA504"/>
      <x:c r="AB504"/>
      <x:c r="AC504"/>
      <x:c r="AD504"/>
      <x:c r="AE504"/>
      <x:c r="AF504"/>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x:c r="C505"/>
      <x:c r="D505"/>
      <x:c r="E505"/>
      <x:c r="F505"/>
      <x:c r="G505"/>
      <x:c r="H505"/>
      <x:c r="I505"/>
      <x:c r="J505"/>
      <x:c r="K505"/>
      <x:c r="L505"/>
      <x:c r="M505"/>
      <x:c r="N505"/>
      <x:c r="O505"/>
      <x:c r="P505"/>
      <x:c r="Q505"/>
      <x:c r="R505"/>
      <x:c r="S505"/>
      <x:c r="T505"/>
      <x:c r="U505"/>
      <x:c r="V505"/>
      <x:c r="W505"/>
      <x:c r="X505"/>
      <x:c r="Y505"/>
      <x:c r="Z505"/>
      <x:c r="AA505"/>
      <x:c r="AB505"/>
      <x:c r="AC505"/>
      <x:c r="AD505"/>
      <x:c r="AE505"/>
      <x:c r="AF505"/>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x:c r="C506"/>
      <x:c r="D506"/>
      <x:c r="E506"/>
      <x:c r="F506"/>
      <x:c r="G506"/>
      <x:c r="H506"/>
      <x:c r="I506"/>
      <x:c r="J506"/>
      <x:c r="K506"/>
      <x:c r="L506"/>
      <x:c r="M506"/>
      <x:c r="N506"/>
      <x:c r="O506"/>
      <x:c r="P506"/>
      <x:c r="Q506"/>
      <x:c r="R506"/>
      <x:c r="S506"/>
      <x:c r="T506"/>
      <x:c r="U506"/>
      <x:c r="V506"/>
      <x:c r="W506"/>
      <x:c r="X506"/>
      <x:c r="Y506"/>
      <x:c r="Z506"/>
      <x:c r="AA506"/>
      <x:c r="AB506"/>
      <x:c r="AC506"/>
      <x:c r="AD506"/>
      <x:c r="AE506"/>
      <x:c r="AF506"/>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x:c r="C507"/>
      <x:c r="D507"/>
      <x:c r="E507"/>
      <x:c r="F507"/>
      <x:c r="G507"/>
      <x:c r="H507"/>
      <x:c r="I507"/>
      <x:c r="J507"/>
      <x:c r="K507"/>
      <x:c r="L507"/>
      <x:c r="M507"/>
      <x:c r="N507"/>
      <x:c r="O507"/>
      <x:c r="P507"/>
      <x:c r="Q507"/>
      <x:c r="R507"/>
      <x:c r="S507"/>
      <x:c r="T507"/>
      <x:c r="U507"/>
      <x:c r="V507"/>
      <x:c r="W507"/>
      <x:c r="X507"/>
      <x:c r="Y507"/>
      <x:c r="Z507"/>
      <x:c r="AA507"/>
      <x:c r="AB507"/>
      <x:c r="AC507"/>
      <x:c r="AD507"/>
      <x:c r="AE507"/>
      <x:c r="AF507"/>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x:c r="C508"/>
      <x:c r="D508"/>
      <x:c r="E508"/>
      <x:c r="F508"/>
      <x:c r="G508"/>
      <x:c r="H508"/>
      <x:c r="I508"/>
      <x:c r="J508"/>
      <x:c r="K508"/>
      <x:c r="L508"/>
      <x:c r="M508"/>
      <x:c r="N508"/>
      <x:c r="O508"/>
      <x:c r="P508"/>
      <x:c r="Q508"/>
      <x:c r="R508"/>
      <x:c r="S508"/>
      <x:c r="T508"/>
      <x:c r="U508"/>
      <x:c r="V508"/>
      <x:c r="W508"/>
      <x:c r="X508"/>
      <x:c r="Y508"/>
      <x:c r="Z508"/>
      <x:c r="AA508"/>
      <x:c r="AB508"/>
      <x:c r="AC508"/>
      <x:c r="AD508"/>
      <x:c r="AE508"/>
      <x:c r="AF508"/>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x:c r="C509"/>
      <x:c r="D509"/>
      <x:c r="E509"/>
      <x:c r="F509"/>
      <x:c r="G509"/>
      <x:c r="H509"/>
      <x:c r="I509"/>
      <x:c r="J509"/>
      <x:c r="K509"/>
      <x:c r="L509"/>
      <x:c r="M509"/>
      <x:c r="N509"/>
      <x:c r="O509"/>
      <x:c r="P509"/>
      <x:c r="Q509"/>
      <x:c r="R509"/>
      <x:c r="S509"/>
      <x:c r="T509"/>
      <x:c r="U509"/>
      <x:c r="V509"/>
      <x:c r="W509"/>
      <x:c r="X509"/>
      <x:c r="Y509"/>
      <x:c r="Z509"/>
      <x:c r="AA509"/>
      <x:c r="AB509"/>
      <x:c r="AC509"/>
      <x:c r="AD509"/>
      <x:c r="AE509"/>
      <x:c r="AF509"/>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x:c r="C510"/>
      <x:c r="D510"/>
      <x:c r="E510"/>
      <x:c r="F510"/>
      <x:c r="G510"/>
      <x:c r="H510"/>
      <x:c r="I510"/>
      <x:c r="J510"/>
      <x:c r="K510"/>
      <x:c r="L510"/>
      <x:c r="M510"/>
      <x:c r="N510"/>
      <x:c r="O510"/>
      <x:c r="P510"/>
      <x:c r="Q510"/>
      <x:c r="R510"/>
      <x:c r="S510"/>
      <x:c r="T510"/>
      <x:c r="U510"/>
      <x:c r="V510"/>
      <x:c r="W510"/>
      <x:c r="X510"/>
      <x:c r="Y510"/>
      <x:c r="Z510"/>
      <x:c r="AA510"/>
      <x:c r="AB510"/>
      <x:c r="AC510"/>
      <x:c r="AD510"/>
      <x:c r="AE510"/>
      <x:c r="AF510"/>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C511"/>
      <x:c r="D511"/>
      <x:c r="E511"/>
      <x:c r="F511"/>
      <x:c r="G511"/>
      <x:c r="H511"/>
      <x:c r="I511"/>
      <x:c r="J511"/>
      <x:c r="K511"/>
      <x:c r="L511"/>
      <x:c r="M511"/>
      <x:c r="N511"/>
      <x:c r="O511"/>
      <x:c r="P511"/>
      <x:c r="Q511"/>
      <x:c r="R511"/>
      <x:c r="S511"/>
      <x:c r="T511"/>
      <x:c r="U511"/>
      <x:c r="V511"/>
      <x:c r="W511"/>
      <x:c r="X511"/>
      <x:c r="Y511"/>
      <x:c r="Z511"/>
      <x:c r="AA511"/>
      <x:c r="AB511"/>
      <x:c r="AC511"/>
      <x:c r="AD511"/>
      <x:c r="AE511"/>
      <x:c r="AF511"/>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x:c r="C512"/>
      <x:c r="D512"/>
      <x:c r="E512"/>
      <x:c r="F512"/>
      <x:c r="G512"/>
      <x:c r="H512"/>
      <x:c r="I512"/>
      <x:c r="J512"/>
      <x:c r="K512"/>
      <x:c r="L512"/>
      <x:c r="M512"/>
      <x:c r="N512"/>
      <x:c r="O512"/>
      <x:c r="P512"/>
      <x:c r="Q512"/>
      <x:c r="R512"/>
      <x:c r="S512"/>
      <x:c r="T512"/>
      <x:c r="U512"/>
      <x:c r="V512"/>
      <x:c r="W512"/>
      <x:c r="X512"/>
      <x:c r="Y512"/>
      <x:c r="Z512"/>
      <x:c r="AA512"/>
      <x:c r="AB512"/>
      <x:c r="AC512"/>
      <x:c r="AD512"/>
      <x:c r="AE512"/>
      <x:c r="AF512"/>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x:c r="C513"/>
      <x:c r="D513"/>
      <x:c r="E513"/>
      <x:c r="F513"/>
      <x:c r="G513"/>
      <x:c r="H513"/>
      <x:c r="I513"/>
      <x:c r="J513"/>
      <x:c r="K513"/>
      <x:c r="L513"/>
      <x:c r="M513"/>
      <x:c r="N513"/>
      <x:c r="O513"/>
      <x:c r="P513"/>
      <x:c r="Q513"/>
      <x:c r="R513"/>
      <x:c r="S513"/>
      <x:c r="T513"/>
      <x:c r="U513"/>
      <x:c r="V513"/>
      <x:c r="W513"/>
      <x:c r="X513"/>
      <x:c r="Y513"/>
      <x:c r="Z513"/>
      <x:c r="AA513"/>
      <x:c r="AB513"/>
      <x:c r="AC513"/>
      <x:c r="AD513"/>
      <x:c r="AE513"/>
      <x:c r="AF513"/>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x:c r="C514"/>
      <x:c r="D514"/>
      <x:c r="E514"/>
      <x:c r="F514"/>
      <x:c r="G514"/>
      <x:c r="H514"/>
      <x:c r="I514"/>
      <x:c r="J514"/>
      <x:c r="K514"/>
      <x:c r="L514"/>
      <x:c r="M514"/>
      <x:c r="N514"/>
      <x:c r="O514"/>
      <x:c r="P514"/>
      <x:c r="Q514"/>
      <x:c r="R514"/>
      <x:c r="S514"/>
      <x:c r="T514"/>
      <x:c r="U514"/>
      <x:c r="V514"/>
      <x:c r="W514"/>
      <x:c r="X514"/>
      <x:c r="Y514"/>
      <x:c r="Z514"/>
      <x:c r="AA514"/>
      <x:c r="AB514"/>
      <x:c r="AC514"/>
      <x:c r="AD514"/>
      <x:c r="AE514"/>
      <x:c r="AF514"/>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x:c r="C515"/>
      <x:c r="D515"/>
      <x:c r="E515"/>
      <x:c r="F515"/>
      <x:c r="G515"/>
      <x:c r="H515"/>
      <x:c r="I515"/>
      <x:c r="J515"/>
      <x:c r="K515"/>
      <x:c r="L515"/>
      <x:c r="M515"/>
      <x:c r="N515"/>
      <x:c r="O515"/>
      <x:c r="P515"/>
      <x:c r="Q515"/>
      <x:c r="R515"/>
      <x:c r="S515"/>
      <x:c r="T515"/>
      <x:c r="U515"/>
      <x:c r="V515"/>
      <x:c r="W515"/>
      <x:c r="X515"/>
      <x:c r="Y515"/>
      <x:c r="Z515"/>
      <x:c r="AA515"/>
      <x:c r="AB515"/>
      <x:c r="AC515"/>
      <x:c r="AD515"/>
      <x:c r="AE515"/>
      <x:c r="AF515"/>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x:c r="C516"/>
      <x:c r="D516"/>
      <x:c r="E516"/>
      <x:c r="F516"/>
      <x:c r="G516"/>
      <x:c r="H516"/>
      <x:c r="I516"/>
      <x:c r="J516"/>
      <x:c r="K516"/>
      <x:c r="L516"/>
      <x:c r="M516"/>
      <x:c r="N516"/>
      <x:c r="O516"/>
      <x:c r="P516"/>
      <x:c r="Q516"/>
      <x:c r="R516"/>
      <x:c r="S516"/>
      <x:c r="T516"/>
      <x:c r="U516"/>
      <x:c r="V516"/>
      <x:c r="W516"/>
      <x:c r="X516"/>
      <x:c r="Y516"/>
      <x:c r="Z516"/>
      <x:c r="AA516"/>
      <x:c r="AB516"/>
      <x:c r="AC516"/>
      <x:c r="AD516"/>
      <x:c r="AE516"/>
      <x:c r="AF516"/>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x:c r="C517"/>
      <x:c r="D517"/>
      <x:c r="E517"/>
      <x:c r="F517"/>
      <x:c r="G517"/>
      <x:c r="H517"/>
      <x:c r="I517"/>
      <x:c r="J517"/>
      <x:c r="K517"/>
      <x:c r="L517"/>
      <x:c r="M517"/>
      <x:c r="N517"/>
      <x:c r="O517"/>
      <x:c r="P517"/>
      <x:c r="Q517"/>
      <x:c r="R517"/>
      <x:c r="S517"/>
      <x:c r="T517"/>
      <x:c r="U517"/>
      <x:c r="V517"/>
      <x:c r="W517"/>
      <x:c r="X517"/>
      <x:c r="Y517"/>
      <x:c r="Z517"/>
      <x:c r="AA517"/>
      <x:c r="AB517"/>
      <x:c r="AC517"/>
      <x:c r="AD517"/>
      <x:c r="AE517"/>
      <x:c r="AF517"/>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x:c r="C518"/>
      <x:c r="D518"/>
      <x:c r="E518"/>
      <x:c r="F518"/>
      <x:c r="G518"/>
      <x:c r="H518"/>
      <x:c r="I518"/>
      <x:c r="J518"/>
      <x:c r="K518"/>
      <x:c r="L518"/>
      <x:c r="M518"/>
      <x:c r="N518"/>
      <x:c r="O518"/>
      <x:c r="P518"/>
      <x:c r="Q518"/>
      <x:c r="R518"/>
      <x:c r="S518"/>
      <x:c r="T518"/>
      <x:c r="U518"/>
      <x:c r="V518"/>
      <x:c r="W518"/>
      <x:c r="X518"/>
      <x:c r="Y518"/>
      <x:c r="Z518"/>
      <x:c r="AA518"/>
      <x:c r="AB518"/>
      <x:c r="AC518"/>
      <x:c r="AD518"/>
      <x:c r="AE518"/>
      <x:c r="AF518"/>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x:c r="C519"/>
      <x:c r="D519"/>
      <x:c r="E519"/>
      <x:c r="F519"/>
      <x:c r="G519"/>
      <x:c r="H519"/>
      <x:c r="I519"/>
      <x:c r="J519"/>
      <x:c r="K519"/>
      <x:c r="L519"/>
      <x:c r="M519"/>
      <x:c r="N519"/>
      <x:c r="O519"/>
      <x:c r="P519"/>
      <x:c r="Q519"/>
      <x:c r="R519"/>
      <x:c r="S519"/>
      <x:c r="T519"/>
      <x:c r="U519"/>
      <x:c r="V519"/>
      <x:c r="W519"/>
      <x:c r="X519"/>
      <x:c r="Y519"/>
      <x:c r="Z519"/>
      <x:c r="AA519"/>
      <x:c r="AB519"/>
      <x:c r="AC519"/>
      <x:c r="AD519"/>
      <x:c r="AE519"/>
      <x:c r="AF519"/>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x:c r="C520"/>
      <x:c r="D520"/>
      <x:c r="E520"/>
      <x:c r="F520"/>
      <x:c r="G520"/>
      <x:c r="H520"/>
      <x:c r="I520"/>
      <x:c r="J520"/>
      <x:c r="K520"/>
      <x:c r="L520"/>
      <x:c r="M520"/>
      <x:c r="N520"/>
      <x:c r="O520"/>
      <x:c r="P520"/>
      <x:c r="Q520"/>
      <x:c r="R520"/>
      <x:c r="S520"/>
      <x:c r="T520"/>
      <x:c r="U520"/>
      <x:c r="V520"/>
      <x:c r="W520"/>
      <x:c r="X520"/>
      <x:c r="Y520"/>
      <x:c r="Z520"/>
      <x:c r="AA520"/>
      <x:c r="AB520"/>
      <x:c r="AC520"/>
      <x:c r="AD520"/>
      <x:c r="AE520"/>
      <x:c r="AF520"/>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x:c r="C521"/>
      <x:c r="D521"/>
      <x:c r="E521"/>
      <x:c r="F521"/>
      <x:c r="G521"/>
      <x:c r="H521"/>
      <x:c r="I521"/>
      <x:c r="J521"/>
      <x:c r="K521"/>
      <x:c r="L521"/>
      <x:c r="M521"/>
      <x:c r="N521"/>
      <x:c r="O521"/>
      <x:c r="P521"/>
      <x:c r="Q521"/>
      <x:c r="R521"/>
      <x:c r="S521"/>
      <x:c r="T521"/>
      <x:c r="U521"/>
      <x:c r="V521"/>
      <x:c r="W521"/>
      <x:c r="X521"/>
      <x:c r="Y521"/>
      <x:c r="Z521"/>
      <x:c r="AA521"/>
      <x:c r="AB521"/>
      <x:c r="AC521"/>
      <x:c r="AD521"/>
      <x:c r="AE521"/>
      <x:c r="AF521"/>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x:c r="C522"/>
      <x:c r="D522"/>
      <x:c r="E522"/>
      <x:c r="F522"/>
      <x:c r="G522"/>
      <x:c r="H522"/>
      <x:c r="I522"/>
      <x:c r="J522"/>
      <x:c r="K522"/>
      <x:c r="L522"/>
      <x:c r="M522"/>
      <x:c r="N522"/>
      <x:c r="O522"/>
      <x:c r="P522"/>
      <x:c r="Q522"/>
      <x:c r="R522"/>
      <x:c r="S522"/>
      <x:c r="T522"/>
      <x:c r="U522"/>
      <x:c r="V522"/>
      <x:c r="W522"/>
      <x:c r="X522"/>
      <x:c r="Y522"/>
      <x:c r="Z522"/>
      <x:c r="AA522"/>
      <x:c r="AB522"/>
      <x:c r="AC522"/>
      <x:c r="AD522"/>
      <x:c r="AE522"/>
      <x:c r="AF522"/>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x:c r="C523"/>
      <x:c r="D523"/>
      <x:c r="E523"/>
      <x:c r="F523"/>
      <x:c r="G523"/>
      <x:c r="H523"/>
      <x:c r="I523"/>
      <x:c r="J523"/>
      <x:c r="K523"/>
      <x:c r="L523"/>
      <x:c r="M523"/>
      <x:c r="N523"/>
      <x:c r="O523"/>
      <x:c r="P523"/>
      <x:c r="Q523"/>
      <x:c r="R523"/>
      <x:c r="S523"/>
      <x:c r="T523"/>
      <x:c r="U523"/>
      <x:c r="V523"/>
      <x:c r="W523"/>
      <x:c r="X523"/>
      <x:c r="Y523"/>
      <x:c r="Z523"/>
      <x:c r="AA523"/>
      <x:c r="AB523"/>
      <x:c r="AC523"/>
      <x:c r="AD523"/>
      <x:c r="AE523"/>
      <x:c r="AF523"/>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x:c r="C524"/>
      <x:c r="D524"/>
      <x:c r="E524"/>
      <x:c r="F524"/>
      <x:c r="G524"/>
      <x:c r="H524"/>
      <x:c r="I524"/>
      <x:c r="J524"/>
      <x:c r="K524"/>
      <x:c r="L524"/>
      <x:c r="M524"/>
      <x:c r="N524"/>
      <x:c r="O524"/>
      <x:c r="P524"/>
      <x:c r="Q524"/>
      <x:c r="R524"/>
      <x:c r="S524"/>
      <x:c r="T524"/>
      <x:c r="U524"/>
      <x:c r="V524"/>
      <x:c r="W524"/>
      <x:c r="X524"/>
      <x:c r="Y524"/>
      <x:c r="Z524"/>
      <x:c r="AA524"/>
      <x:c r="AB524"/>
      <x:c r="AC524"/>
      <x:c r="AD524"/>
      <x:c r="AE524"/>
      <x:c r="AF524"/>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x:c r="C525"/>
      <x:c r="D525"/>
      <x:c r="E525"/>
      <x:c r="F525"/>
      <x:c r="G525"/>
      <x:c r="H525"/>
      <x:c r="I525"/>
      <x:c r="J525"/>
      <x:c r="K525"/>
      <x:c r="L525"/>
      <x:c r="M525"/>
      <x:c r="N525"/>
      <x:c r="O525"/>
      <x:c r="P525"/>
      <x:c r="Q525"/>
      <x:c r="R525"/>
      <x:c r="S525"/>
      <x:c r="T525"/>
      <x:c r="U525"/>
      <x:c r="V525"/>
      <x:c r="W525"/>
      <x:c r="X525"/>
      <x:c r="Y525"/>
      <x:c r="Z525"/>
      <x:c r="AA525"/>
      <x:c r="AB525"/>
      <x:c r="AC525"/>
      <x:c r="AD525"/>
      <x:c r="AE525"/>
      <x:c r="AF525"/>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x:c r="C526"/>
      <x:c r="D526"/>
      <x:c r="E526"/>
      <x:c r="F526"/>
      <x:c r="G526"/>
      <x:c r="H526"/>
      <x:c r="I526"/>
      <x:c r="J526"/>
      <x:c r="K526"/>
      <x:c r="L526"/>
      <x:c r="M526"/>
      <x:c r="N526"/>
      <x:c r="O526"/>
      <x:c r="P526"/>
      <x:c r="Q526"/>
      <x:c r="R526"/>
      <x:c r="S526"/>
      <x:c r="T526"/>
      <x:c r="U526"/>
      <x:c r="V526"/>
      <x:c r="W526"/>
      <x:c r="X526"/>
      <x:c r="Y526"/>
      <x:c r="Z526"/>
      <x:c r="AA526"/>
      <x:c r="AB526"/>
      <x:c r="AC526"/>
      <x:c r="AD526"/>
      <x:c r="AE526"/>
      <x:c r="AF526"/>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C527"/>
      <x:c r="D527"/>
      <x:c r="E527"/>
      <x:c r="F527"/>
      <x:c r="G527"/>
      <x:c r="H527"/>
      <x:c r="I527"/>
      <x:c r="J527"/>
      <x:c r="K527"/>
      <x:c r="L527"/>
      <x:c r="M527"/>
      <x:c r="N527"/>
      <x:c r="O527"/>
      <x:c r="P527"/>
      <x:c r="Q527"/>
      <x:c r="R527"/>
      <x:c r="S527"/>
      <x:c r="T527"/>
      <x:c r="U527"/>
      <x:c r="V527"/>
      <x:c r="W527"/>
      <x:c r="X527"/>
      <x:c r="Y527"/>
      <x:c r="Z527"/>
      <x:c r="AA527"/>
      <x:c r="AB527"/>
      <x:c r="AC527"/>
      <x:c r="AD527"/>
      <x:c r="AE527"/>
      <x:c r="AF527"/>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x:c r="C528"/>
      <x:c r="D528"/>
      <x:c r="E528"/>
      <x:c r="F528"/>
      <x:c r="G528"/>
      <x:c r="H528"/>
      <x:c r="I528"/>
      <x:c r="J528"/>
      <x:c r="K528"/>
      <x:c r="L528"/>
      <x:c r="M528"/>
      <x:c r="N528"/>
      <x:c r="O528"/>
      <x:c r="P528"/>
      <x:c r="Q528"/>
      <x:c r="R528"/>
      <x:c r="S528"/>
      <x:c r="T528"/>
      <x:c r="U528"/>
      <x:c r="V528"/>
      <x:c r="W528"/>
      <x:c r="X528"/>
      <x:c r="Y528"/>
      <x:c r="Z528"/>
      <x:c r="AA528"/>
      <x:c r="AB528"/>
      <x:c r="AC528"/>
      <x:c r="AD528"/>
      <x:c r="AE528"/>
      <x:c r="AF528"/>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x:c r="C529"/>
      <x:c r="D529"/>
      <x:c r="E529"/>
      <x:c r="F529"/>
      <x:c r="G529"/>
      <x:c r="H529"/>
      <x:c r="I529"/>
      <x:c r="J529"/>
      <x:c r="K529"/>
      <x:c r="L529"/>
      <x:c r="M529"/>
      <x:c r="N529"/>
      <x:c r="O529"/>
      <x:c r="P529"/>
      <x:c r="Q529"/>
      <x:c r="R529"/>
      <x:c r="S529"/>
      <x:c r="T529"/>
      <x:c r="U529"/>
      <x:c r="V529"/>
      <x:c r="W529"/>
      <x:c r="X529"/>
      <x:c r="Y529"/>
      <x:c r="Z529"/>
      <x:c r="AA529"/>
      <x:c r="AB529"/>
      <x:c r="AC529"/>
      <x:c r="AD529"/>
      <x:c r="AE529"/>
      <x:c r="AF529"/>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x:c r="C530"/>
      <x:c r="D530"/>
      <x:c r="E530"/>
      <x:c r="F530"/>
      <x:c r="G530"/>
      <x:c r="H530"/>
      <x:c r="I530"/>
      <x:c r="J530"/>
      <x:c r="K530"/>
      <x:c r="L530"/>
      <x:c r="M530"/>
      <x:c r="N530"/>
      <x:c r="O530"/>
      <x:c r="P530"/>
      <x:c r="Q530"/>
      <x:c r="R530"/>
      <x:c r="S530"/>
      <x:c r="T530"/>
      <x:c r="U530"/>
      <x:c r="V530"/>
      <x:c r="W530"/>
      <x:c r="X530"/>
      <x:c r="Y530"/>
      <x:c r="Z530"/>
      <x:c r="AA530"/>
      <x:c r="AB530"/>
      <x:c r="AC530"/>
      <x:c r="AD530"/>
      <x:c r="AE530"/>
      <x:c r="AF530"/>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x:c r="C531"/>
      <x:c r="D531"/>
      <x:c r="E531"/>
      <x:c r="F531"/>
      <x:c r="G531"/>
      <x:c r="H531"/>
      <x:c r="I531"/>
      <x:c r="J531"/>
      <x:c r="K531"/>
      <x:c r="L531"/>
      <x:c r="M531"/>
      <x:c r="N531"/>
      <x:c r="O531"/>
      <x:c r="P531"/>
      <x:c r="Q531"/>
      <x:c r="R531"/>
      <x:c r="S531"/>
      <x:c r="T531"/>
      <x:c r="U531"/>
      <x:c r="V531"/>
      <x:c r="W531"/>
      <x:c r="X531"/>
      <x:c r="Y531"/>
      <x:c r="Z531"/>
      <x:c r="AA531"/>
      <x:c r="AB531"/>
      <x:c r="AC531"/>
      <x:c r="AD531"/>
      <x:c r="AE531"/>
      <x:c r="AF531"/>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C532"/>
      <x:c r="D532"/>
      <x:c r="E532"/>
      <x:c r="F532"/>
      <x:c r="G532"/>
      <x:c r="H532"/>
      <x:c r="I532"/>
      <x:c r="J532"/>
      <x:c r="K532"/>
      <x:c r="L532"/>
      <x:c r="M532"/>
      <x:c r="N532"/>
      <x:c r="O532"/>
      <x:c r="P532"/>
      <x:c r="Q532"/>
      <x:c r="R532"/>
      <x:c r="S532"/>
      <x:c r="T532"/>
      <x:c r="U532"/>
      <x:c r="V532"/>
      <x:c r="W532"/>
      <x:c r="X532"/>
      <x:c r="Y532"/>
      <x:c r="Z532"/>
      <x:c r="AA532"/>
      <x:c r="AB532"/>
      <x:c r="AC532"/>
      <x:c r="AD532"/>
      <x:c r="AE532"/>
      <x:c r="AF532"/>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x:c r="C533"/>
      <x:c r="D533"/>
      <x:c r="E533"/>
      <x:c r="F533"/>
      <x:c r="G533"/>
      <x:c r="H533"/>
      <x:c r="I533"/>
      <x:c r="J533"/>
      <x:c r="K533"/>
      <x:c r="L533"/>
      <x:c r="M533"/>
      <x:c r="N533"/>
      <x:c r="O533"/>
      <x:c r="P533"/>
      <x:c r="Q533"/>
      <x:c r="R533"/>
      <x:c r="S533"/>
      <x:c r="T533"/>
      <x:c r="U533"/>
      <x:c r="V533"/>
      <x:c r="W533"/>
      <x:c r="X533"/>
      <x:c r="Y533"/>
      <x:c r="Z533"/>
      <x:c r="AA533"/>
      <x:c r="AB533"/>
      <x:c r="AC533"/>
      <x:c r="AD533"/>
      <x:c r="AE533"/>
      <x:c r="AF533"/>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C534"/>
      <x:c r="D534"/>
      <x:c r="E534"/>
      <x:c r="F534"/>
      <x:c r="G534"/>
      <x:c r="H534"/>
      <x:c r="I534"/>
      <x:c r="J534"/>
      <x:c r="K534"/>
      <x:c r="L534"/>
      <x:c r="M534"/>
      <x:c r="N534"/>
      <x:c r="O534"/>
      <x:c r="P534"/>
      <x:c r="Q534"/>
      <x:c r="R534"/>
      <x:c r="S534"/>
      <x:c r="T534"/>
      <x:c r="U534"/>
      <x:c r="V534"/>
      <x:c r="W534"/>
      <x:c r="X534"/>
      <x:c r="Y534"/>
      <x:c r="Z534"/>
      <x:c r="AA534"/>
      <x:c r="AB534"/>
      <x:c r="AC534"/>
      <x:c r="AD534"/>
      <x:c r="AE534"/>
      <x:c r="AF53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x:c r="C535"/>
      <x:c r="D535"/>
      <x:c r="E535"/>
      <x:c r="F535"/>
      <x:c r="G535"/>
      <x:c r="H535"/>
      <x:c r="I535"/>
      <x:c r="J535"/>
      <x:c r="K535"/>
      <x:c r="L535"/>
      <x:c r="M535"/>
      <x:c r="N535"/>
      <x:c r="O535"/>
      <x:c r="P535"/>
      <x:c r="Q535"/>
      <x:c r="R535"/>
      <x:c r="S535"/>
      <x:c r="T535"/>
      <x:c r="U535"/>
      <x:c r="V535"/>
      <x:c r="W535"/>
      <x:c r="X535"/>
      <x:c r="Y535"/>
      <x:c r="Z535"/>
      <x:c r="AA535"/>
      <x:c r="AB535"/>
      <x:c r="AC535"/>
      <x:c r="AD535"/>
      <x:c r="AE535"/>
      <x:c r="AF535"/>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x:c r="C536"/>
      <x:c r="D536"/>
      <x:c r="E536"/>
      <x:c r="F536"/>
      <x:c r="G536"/>
      <x:c r="H536"/>
      <x:c r="I536"/>
      <x:c r="J536"/>
      <x:c r="K536"/>
      <x:c r="L536"/>
      <x:c r="M536"/>
      <x:c r="N536"/>
      <x:c r="O536"/>
      <x:c r="P536"/>
      <x:c r="Q536"/>
      <x:c r="R536"/>
      <x:c r="S536"/>
      <x:c r="T536"/>
      <x:c r="U536"/>
      <x:c r="V536"/>
      <x:c r="W536"/>
      <x:c r="X536"/>
      <x:c r="Y536"/>
      <x:c r="Z536"/>
      <x:c r="AA536"/>
      <x:c r="AB536"/>
      <x:c r="AC536"/>
      <x:c r="AD536"/>
      <x:c r="AE536"/>
      <x:c r="AF536"/>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x:c r="C537"/>
      <x:c r="D537"/>
      <x:c r="E537"/>
      <x:c r="F537"/>
      <x:c r="G537"/>
      <x:c r="H537"/>
      <x:c r="I537"/>
      <x:c r="J537"/>
      <x:c r="K537"/>
      <x:c r="L537"/>
      <x:c r="M537"/>
      <x:c r="N537"/>
      <x:c r="O537"/>
      <x:c r="P537"/>
      <x:c r="Q537"/>
      <x:c r="R537"/>
      <x:c r="S537"/>
      <x:c r="T537"/>
      <x:c r="U537"/>
      <x:c r="V537"/>
      <x:c r="W537"/>
      <x:c r="X537"/>
      <x:c r="Y537"/>
      <x:c r="Z537"/>
      <x:c r="AA537"/>
      <x:c r="AB537"/>
      <x:c r="AC537"/>
      <x:c r="AD537"/>
      <x:c r="AE537"/>
      <x:c r="AF537"/>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x:c r="C538"/>
      <x:c r="D538"/>
      <x:c r="E538"/>
      <x:c r="F538"/>
      <x:c r="G538"/>
      <x:c r="H538"/>
      <x:c r="I538"/>
      <x:c r="J538"/>
      <x:c r="K538"/>
      <x:c r="L538"/>
      <x:c r="M538"/>
      <x:c r="N538"/>
      <x:c r="O538"/>
      <x:c r="P538"/>
      <x:c r="Q538"/>
      <x:c r="R538"/>
      <x:c r="S538"/>
      <x:c r="T538"/>
      <x:c r="U538"/>
      <x:c r="V538"/>
      <x:c r="W538"/>
      <x:c r="X538"/>
      <x:c r="Y538"/>
      <x:c r="Z538"/>
      <x:c r="AA538"/>
      <x:c r="AB538"/>
      <x:c r="AC538"/>
      <x:c r="AD538"/>
      <x:c r="AE538"/>
      <x:c r="AF538"/>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x:c r="C539"/>
      <x:c r="D539"/>
      <x:c r="E539"/>
      <x:c r="F539"/>
      <x:c r="G539"/>
      <x:c r="H539"/>
      <x:c r="I539"/>
      <x:c r="J539"/>
      <x:c r="K539"/>
      <x:c r="L539"/>
      <x:c r="M539"/>
      <x:c r="N539"/>
      <x:c r="O539"/>
      <x:c r="P539"/>
      <x:c r="Q539"/>
      <x:c r="R539"/>
      <x:c r="S539"/>
      <x:c r="T539"/>
      <x:c r="U539"/>
      <x:c r="V539"/>
      <x:c r="W539"/>
      <x:c r="X539"/>
      <x:c r="Y539"/>
      <x:c r="Z539"/>
      <x:c r="AA539"/>
      <x:c r="AB539"/>
      <x:c r="AC539"/>
      <x:c r="AD539"/>
      <x:c r="AE539"/>
      <x:c r="AF539"/>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x:c r="C540"/>
      <x:c r="D540"/>
      <x:c r="E540"/>
      <x:c r="F540"/>
      <x:c r="G540"/>
      <x:c r="H540"/>
      <x:c r="I540"/>
      <x:c r="J540"/>
      <x:c r="K540"/>
      <x:c r="L540"/>
      <x:c r="M540"/>
      <x:c r="N540"/>
      <x:c r="O540"/>
      <x:c r="P540"/>
      <x:c r="Q540"/>
      <x:c r="R540"/>
      <x:c r="S540"/>
      <x:c r="T540"/>
      <x:c r="U540"/>
      <x:c r="V540"/>
      <x:c r="W540"/>
      <x:c r="X540"/>
      <x:c r="Y540"/>
      <x:c r="Z540"/>
      <x:c r="AA540"/>
      <x:c r="AB540"/>
      <x:c r="AC540"/>
      <x:c r="AD540"/>
      <x:c r="AE540"/>
      <x:c r="AF540"/>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x:c r="C541"/>
      <x:c r="D541"/>
      <x:c r="E541"/>
      <x:c r="F541"/>
      <x:c r="G541"/>
      <x:c r="H541"/>
      <x:c r="I541"/>
      <x:c r="J541"/>
      <x:c r="K541"/>
      <x:c r="L541"/>
      <x:c r="M541"/>
      <x:c r="N541"/>
      <x:c r="O541"/>
      <x:c r="P541"/>
      <x:c r="Q541"/>
      <x:c r="R541"/>
      <x:c r="S541"/>
      <x:c r="T541"/>
      <x:c r="U541"/>
      <x:c r="V541"/>
      <x:c r="W541"/>
      <x:c r="X541"/>
      <x:c r="Y541"/>
      <x:c r="Z541"/>
      <x:c r="AA541"/>
      <x:c r="AB541"/>
      <x:c r="AC541"/>
      <x:c r="AD541"/>
      <x:c r="AE541"/>
      <x:c r="AF541"/>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x:c r="C542"/>
      <x:c r="D542"/>
      <x:c r="E542"/>
      <x:c r="F542"/>
      <x:c r="G542"/>
      <x:c r="H542"/>
      <x:c r="I542"/>
      <x:c r="J542"/>
      <x:c r="K542"/>
      <x:c r="L542"/>
      <x:c r="M542"/>
      <x:c r="N542"/>
      <x:c r="O542"/>
      <x:c r="P542"/>
      <x:c r="Q542"/>
      <x:c r="R542"/>
      <x:c r="S542"/>
      <x:c r="T542"/>
      <x:c r="U542"/>
      <x:c r="V542"/>
      <x:c r="W542"/>
      <x:c r="X542"/>
      <x:c r="Y542"/>
      <x:c r="Z542"/>
      <x:c r="AA542"/>
      <x:c r="AB542"/>
      <x:c r="AC542"/>
      <x:c r="AD542"/>
      <x:c r="AE542"/>
      <x:c r="AF542"/>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x:c r="C543"/>
      <x:c r="D543"/>
      <x:c r="E543"/>
      <x:c r="F543"/>
      <x:c r="G543"/>
      <x:c r="H543"/>
      <x:c r="I543"/>
      <x:c r="J543"/>
      <x:c r="K543"/>
      <x:c r="L543"/>
      <x:c r="M543"/>
      <x:c r="N543"/>
      <x:c r="O543"/>
      <x:c r="P543"/>
      <x:c r="Q543"/>
      <x:c r="R543"/>
      <x:c r="S543"/>
      <x:c r="T543"/>
      <x:c r="U543"/>
      <x:c r="V543"/>
      <x:c r="W543"/>
      <x:c r="X543"/>
      <x:c r="Y543"/>
      <x:c r="Z543"/>
      <x:c r="AA543"/>
      <x:c r="AB543"/>
      <x:c r="AC543"/>
      <x:c r="AD543"/>
      <x:c r="AE543"/>
      <x:c r="AF543"/>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x:c r="C544"/>
      <x:c r="D544"/>
      <x:c r="E544"/>
      <x:c r="F544"/>
      <x:c r="G544"/>
      <x:c r="H544"/>
      <x:c r="I544"/>
      <x:c r="J544"/>
      <x:c r="K544"/>
      <x:c r="L544"/>
      <x:c r="M544"/>
      <x:c r="N544"/>
      <x:c r="O544"/>
      <x:c r="P544"/>
      <x:c r="Q544"/>
      <x:c r="R544"/>
      <x:c r="S544"/>
      <x:c r="T544"/>
      <x:c r="U544"/>
      <x:c r="V544"/>
      <x:c r="W544"/>
      <x:c r="X544"/>
      <x:c r="Y544"/>
      <x:c r="Z544"/>
      <x:c r="AA544"/>
      <x:c r="AB544"/>
      <x:c r="AC544"/>
      <x:c r="AD544"/>
      <x:c r="AE544"/>
      <x:c r="AF544"/>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C545"/>
      <x:c r="D545"/>
      <x:c r="E545"/>
      <x:c r="F545"/>
      <x:c r="G545"/>
      <x:c r="H545"/>
      <x:c r="I545"/>
      <x:c r="J545"/>
      <x:c r="K545"/>
      <x:c r="L545"/>
      <x:c r="M545"/>
      <x:c r="N545"/>
      <x:c r="O545"/>
      <x:c r="P545"/>
      <x:c r="Q545"/>
      <x:c r="R545"/>
      <x:c r="S545"/>
      <x:c r="T545"/>
      <x:c r="U545"/>
      <x:c r="V545"/>
      <x:c r="W545"/>
      <x:c r="X545"/>
      <x:c r="Y545"/>
      <x:c r="Z545"/>
      <x:c r="AA545"/>
      <x:c r="AB545"/>
      <x:c r="AC545"/>
      <x:c r="AD545"/>
      <x:c r="AE545"/>
      <x:c r="AF545"/>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x:c r="C546"/>
      <x:c r="D546"/>
      <x:c r="E546"/>
      <x:c r="F546"/>
      <x:c r="G546"/>
      <x:c r="H546"/>
      <x:c r="I546"/>
      <x:c r="J546"/>
      <x:c r="K546"/>
      <x:c r="L546"/>
      <x:c r="M546"/>
      <x:c r="N546"/>
      <x:c r="O546"/>
      <x:c r="P546"/>
      <x:c r="Q546"/>
      <x:c r="R546"/>
      <x:c r="S546"/>
      <x:c r="T546"/>
      <x:c r="U546"/>
      <x:c r="V546"/>
      <x:c r="W546"/>
      <x:c r="X546"/>
      <x:c r="Y546"/>
      <x:c r="Z546"/>
      <x:c r="AA546"/>
      <x:c r="AB546"/>
      <x:c r="AC546"/>
      <x:c r="AD546"/>
      <x:c r="AE546"/>
      <x:c r="AF546"/>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x:c r="C547"/>
      <x:c r="D547"/>
      <x:c r="E547"/>
      <x:c r="F547"/>
      <x:c r="G547"/>
      <x:c r="H547"/>
      <x:c r="I547"/>
      <x:c r="J547"/>
      <x:c r="K547"/>
      <x:c r="L547"/>
      <x:c r="M547"/>
      <x:c r="N547"/>
      <x:c r="O547"/>
      <x:c r="P547"/>
      <x:c r="Q547"/>
      <x:c r="R547"/>
      <x:c r="S547"/>
      <x:c r="T547"/>
      <x:c r="U547"/>
      <x:c r="V547"/>
      <x:c r="W547"/>
      <x:c r="X547"/>
      <x:c r="Y547"/>
      <x:c r="Z547"/>
      <x:c r="AA547"/>
      <x:c r="AB547"/>
      <x:c r="AC547"/>
      <x:c r="AD547"/>
      <x:c r="AE547"/>
      <x:c r="AF547"/>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x:c r="C548"/>
      <x:c r="D548"/>
      <x:c r="E548"/>
      <x:c r="F548"/>
      <x:c r="G548"/>
      <x:c r="H548"/>
      <x:c r="I548"/>
      <x:c r="J548"/>
      <x:c r="K548"/>
      <x:c r="L548"/>
      <x:c r="M548"/>
      <x:c r="N548"/>
      <x:c r="O548"/>
      <x:c r="P548"/>
      <x:c r="Q548"/>
      <x:c r="R548"/>
      <x:c r="S548"/>
      <x:c r="T548"/>
      <x:c r="U548"/>
      <x:c r="V548"/>
      <x:c r="W548"/>
      <x:c r="X548"/>
      <x:c r="Y548"/>
      <x:c r="Z548"/>
      <x:c r="AA548"/>
      <x:c r="AB548"/>
      <x:c r="AC548"/>
      <x:c r="AD548"/>
      <x:c r="AE548"/>
      <x:c r="AF548"/>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C549"/>
      <x:c r="D549"/>
      <x:c r="E549"/>
      <x:c r="F549"/>
      <x:c r="G549"/>
      <x:c r="H549"/>
      <x:c r="I549"/>
      <x:c r="J549"/>
      <x:c r="K549"/>
      <x:c r="L549"/>
      <x:c r="M549"/>
      <x:c r="N549"/>
      <x:c r="O549"/>
      <x:c r="P549"/>
      <x:c r="Q549"/>
      <x:c r="R549"/>
      <x:c r="S549"/>
      <x:c r="T549"/>
      <x:c r="U549"/>
      <x:c r="V549"/>
      <x:c r="W549"/>
      <x:c r="X549"/>
      <x:c r="Y549"/>
      <x:c r="Z549"/>
      <x:c r="AA549"/>
      <x:c r="AB549"/>
      <x:c r="AC549"/>
      <x:c r="AD549"/>
      <x:c r="AE549"/>
      <x:c r="AF549"/>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x:c r="C550"/>
      <x:c r="D550"/>
      <x:c r="E550"/>
      <x:c r="F550"/>
      <x:c r="G550"/>
      <x:c r="H550"/>
      <x:c r="I550"/>
      <x:c r="J550"/>
      <x:c r="K550"/>
      <x:c r="L550"/>
      <x:c r="M550"/>
      <x:c r="N550"/>
      <x:c r="O550"/>
      <x:c r="P550"/>
      <x:c r="Q550"/>
      <x:c r="R550"/>
      <x:c r="S550"/>
      <x:c r="T550"/>
      <x:c r="U550"/>
      <x:c r="V550"/>
      <x:c r="W550"/>
      <x:c r="X550"/>
      <x:c r="Y550"/>
      <x:c r="Z550"/>
      <x:c r="AA550"/>
      <x:c r="AB550"/>
      <x:c r="AC550"/>
      <x:c r="AD550"/>
      <x:c r="AE550"/>
      <x:c r="AF550"/>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x:c r="C551"/>
      <x:c r="D551"/>
      <x:c r="E551"/>
      <x:c r="F551"/>
      <x:c r="G551"/>
      <x:c r="H551"/>
      <x:c r="I551"/>
      <x:c r="J551"/>
      <x:c r="K551"/>
      <x:c r="L551"/>
      <x:c r="M551"/>
      <x:c r="N551"/>
      <x:c r="O551"/>
      <x:c r="P551"/>
      <x:c r="Q551"/>
      <x:c r="R551"/>
      <x:c r="S551"/>
      <x:c r="T551"/>
      <x:c r="U551"/>
      <x:c r="V551"/>
      <x:c r="W551"/>
      <x:c r="X551"/>
      <x:c r="Y551"/>
      <x:c r="Z551"/>
      <x:c r="AA551"/>
      <x:c r="AB551"/>
      <x:c r="AC551"/>
      <x:c r="AD551"/>
      <x:c r="AE551"/>
      <x:c r="AF551"/>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x:c r="C552"/>
      <x:c r="D552"/>
      <x:c r="E552"/>
      <x:c r="F552"/>
      <x:c r="G552"/>
      <x:c r="H552"/>
      <x:c r="I552"/>
      <x:c r="J552"/>
      <x:c r="K552"/>
      <x:c r="L552"/>
      <x:c r="M552"/>
      <x:c r="N552"/>
      <x:c r="O552"/>
      <x:c r="P552"/>
      <x:c r="Q552"/>
      <x:c r="R552"/>
      <x:c r="S552"/>
      <x:c r="T552"/>
      <x:c r="U552"/>
      <x:c r="V552"/>
      <x:c r="W552"/>
      <x:c r="X552"/>
      <x:c r="Y552"/>
      <x:c r="Z552"/>
      <x:c r="AA552"/>
      <x:c r="AB552"/>
      <x:c r="AC552"/>
      <x:c r="AD552"/>
      <x:c r="AE552"/>
      <x:c r="AF552"/>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x:c r="C553"/>
      <x:c r="D553"/>
      <x:c r="E553"/>
      <x:c r="F553"/>
      <x:c r="G553"/>
      <x:c r="H553"/>
      <x:c r="I553"/>
      <x:c r="J553"/>
      <x:c r="K553"/>
      <x:c r="L553"/>
      <x:c r="M553"/>
      <x:c r="N553"/>
      <x:c r="O553"/>
      <x:c r="P553"/>
      <x:c r="Q553"/>
      <x:c r="R553"/>
      <x:c r="S553"/>
      <x:c r="T553"/>
      <x:c r="U553"/>
      <x:c r="V553"/>
      <x:c r="W553"/>
      <x:c r="X553"/>
      <x:c r="Y553"/>
      <x:c r="Z553"/>
      <x:c r="AA553"/>
      <x:c r="AB553"/>
      <x:c r="AC553"/>
      <x:c r="AD553"/>
      <x:c r="AE553"/>
      <x:c r="AF553"/>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x:c r="C554"/>
      <x:c r="D554"/>
      <x:c r="E554"/>
      <x:c r="F554"/>
      <x:c r="G554"/>
      <x:c r="H554"/>
      <x:c r="I554"/>
      <x:c r="J554"/>
      <x:c r="K554"/>
      <x:c r="L554"/>
      <x:c r="M554"/>
      <x:c r="N554"/>
      <x:c r="O554"/>
      <x:c r="P554"/>
      <x:c r="Q554"/>
      <x:c r="R554"/>
      <x:c r="S554"/>
      <x:c r="T554"/>
      <x:c r="U554"/>
      <x:c r="V554"/>
      <x:c r="W554"/>
      <x:c r="X554"/>
      <x:c r="Y554"/>
      <x:c r="Z554"/>
      <x:c r="AA554"/>
      <x:c r="AB554"/>
      <x:c r="AC554"/>
      <x:c r="AD554"/>
      <x:c r="AE554"/>
      <x:c r="AF554"/>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x:c r="C555"/>
      <x:c r="D555"/>
      <x:c r="E555"/>
      <x:c r="F555"/>
      <x:c r="G555"/>
      <x:c r="H555"/>
      <x:c r="I555"/>
      <x:c r="J555"/>
      <x:c r="K555"/>
      <x:c r="L555"/>
      <x:c r="M555"/>
      <x:c r="N555"/>
      <x:c r="O555"/>
      <x:c r="P555"/>
      <x:c r="Q555"/>
      <x:c r="R555"/>
      <x:c r="S555"/>
      <x:c r="T555"/>
      <x:c r="U555"/>
      <x:c r="V555"/>
      <x:c r="W555"/>
      <x:c r="X555"/>
      <x:c r="Y555"/>
      <x:c r="Z555"/>
      <x:c r="AA555"/>
      <x:c r="AB555"/>
      <x:c r="AC555"/>
      <x:c r="AD555"/>
      <x:c r="AE555"/>
      <x:c r="AF555"/>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x:c r="C556"/>
      <x:c r="D556"/>
      <x:c r="E556"/>
      <x:c r="F556"/>
      <x:c r="G556"/>
      <x:c r="H556"/>
      <x:c r="I556"/>
      <x:c r="J556"/>
      <x:c r="K556"/>
      <x:c r="L556"/>
      <x:c r="M556"/>
      <x:c r="N556"/>
      <x:c r="O556"/>
      <x:c r="P556"/>
      <x:c r="Q556"/>
      <x:c r="R556"/>
      <x:c r="S556"/>
      <x:c r="T556"/>
      <x:c r="U556"/>
      <x:c r="V556"/>
      <x:c r="W556"/>
      <x:c r="X556"/>
      <x:c r="Y556"/>
      <x:c r="Z556"/>
      <x:c r="AA556"/>
      <x:c r="AB556"/>
      <x:c r="AC556"/>
      <x:c r="AD556"/>
      <x:c r="AE556"/>
      <x:c r="AF556"/>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x:c r="C557"/>
      <x:c r="D557"/>
      <x:c r="E557"/>
      <x:c r="F557"/>
      <x:c r="G557"/>
      <x:c r="H557"/>
      <x:c r="I557"/>
      <x:c r="J557"/>
      <x:c r="K557"/>
      <x:c r="L557"/>
      <x:c r="M557"/>
      <x:c r="N557"/>
      <x:c r="O557"/>
      <x:c r="P557"/>
      <x:c r="Q557"/>
      <x:c r="R557"/>
      <x:c r="S557"/>
      <x:c r="T557"/>
      <x:c r="U557"/>
      <x:c r="V557"/>
      <x:c r="W557"/>
      <x:c r="X557"/>
      <x:c r="Y557"/>
      <x:c r="Z557"/>
      <x:c r="AA557"/>
      <x:c r="AB557"/>
      <x:c r="AC557"/>
      <x:c r="AD557"/>
      <x:c r="AE557"/>
      <x:c r="AF557"/>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C558"/>
      <x:c r="D558"/>
      <x:c r="E558"/>
      <x:c r="F558"/>
      <x:c r="G558"/>
      <x:c r="H558"/>
      <x:c r="I558"/>
      <x:c r="J558"/>
      <x:c r="K558"/>
      <x:c r="L558"/>
      <x:c r="M558"/>
      <x:c r="N558"/>
      <x:c r="O558"/>
      <x:c r="P558"/>
      <x:c r="Q558"/>
      <x:c r="R558"/>
      <x:c r="S558"/>
      <x:c r="T558"/>
      <x:c r="U558"/>
      <x:c r="V558"/>
      <x:c r="W558"/>
      <x:c r="X558"/>
      <x:c r="Y558"/>
      <x:c r="Z558"/>
      <x:c r="AA558"/>
      <x:c r="AB558"/>
      <x:c r="AC558"/>
      <x:c r="AD558"/>
      <x:c r="AE558"/>
      <x:c r="AF558"/>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x:c r="C559"/>
      <x:c r="D559"/>
      <x:c r="E559"/>
      <x:c r="F559"/>
      <x:c r="G559"/>
      <x:c r="H559"/>
      <x:c r="I559"/>
      <x:c r="J559"/>
      <x:c r="K559"/>
      <x:c r="L559"/>
      <x:c r="M559"/>
      <x:c r="N559"/>
      <x:c r="O559"/>
      <x:c r="P559"/>
      <x:c r="Q559"/>
      <x:c r="R559"/>
      <x:c r="S559"/>
      <x:c r="T559"/>
      <x:c r="U559"/>
      <x:c r="V559"/>
      <x:c r="W559"/>
      <x:c r="X559"/>
      <x:c r="Y559"/>
      <x:c r="Z559"/>
      <x:c r="AA559"/>
      <x:c r="AB559"/>
      <x:c r="AC559"/>
      <x:c r="AD559"/>
      <x:c r="AE559"/>
      <x:c r="AF559"/>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x:c r="C560"/>
      <x:c r="D560"/>
      <x:c r="E560"/>
      <x:c r="F560"/>
      <x:c r="G560"/>
      <x:c r="H560"/>
      <x:c r="I560"/>
      <x:c r="J560"/>
      <x:c r="K560"/>
      <x:c r="L560"/>
      <x:c r="M560"/>
      <x:c r="N560"/>
      <x:c r="O560"/>
      <x:c r="P560"/>
      <x:c r="Q560"/>
      <x:c r="R560"/>
      <x:c r="S560"/>
      <x:c r="T560"/>
      <x:c r="U560"/>
      <x:c r="V560"/>
      <x:c r="W560"/>
      <x:c r="X560"/>
      <x:c r="Y560"/>
      <x:c r="Z560"/>
      <x:c r="AA560"/>
      <x:c r="AB560"/>
      <x:c r="AC560"/>
      <x:c r="AD560"/>
      <x:c r="AE560"/>
      <x:c r="AF560"/>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x:c r="C561"/>
      <x:c r="D561"/>
      <x:c r="E561"/>
      <x:c r="F561"/>
      <x:c r="G561"/>
      <x:c r="H561"/>
      <x:c r="I561"/>
      <x:c r="J561"/>
      <x:c r="K561"/>
      <x:c r="L561"/>
      <x:c r="M561"/>
      <x:c r="N561"/>
      <x:c r="O561"/>
      <x:c r="P561"/>
      <x:c r="Q561"/>
      <x:c r="R561"/>
      <x:c r="S561"/>
      <x:c r="T561"/>
      <x:c r="U561"/>
      <x:c r="V561"/>
      <x:c r="W561"/>
      <x:c r="X561"/>
      <x:c r="Y561"/>
      <x:c r="Z561"/>
      <x:c r="AA561"/>
      <x:c r="AB561"/>
      <x:c r="AC561"/>
      <x:c r="AD561"/>
      <x:c r="AE561"/>
      <x:c r="AF561"/>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x:c r="C562"/>
      <x:c r="D562"/>
      <x:c r="E562"/>
      <x:c r="F562"/>
      <x:c r="G562"/>
      <x:c r="H562"/>
      <x:c r="I562"/>
      <x:c r="J562"/>
      <x:c r="K562"/>
      <x:c r="L562"/>
      <x:c r="M562"/>
      <x:c r="N562"/>
      <x:c r="O562"/>
      <x:c r="P562"/>
      <x:c r="Q562"/>
      <x:c r="R562"/>
      <x:c r="S562"/>
      <x:c r="T562"/>
      <x:c r="U562"/>
      <x:c r="V562"/>
      <x:c r="W562"/>
      <x:c r="X562"/>
      <x:c r="Y562"/>
      <x:c r="Z562"/>
      <x:c r="AA562"/>
      <x:c r="AB562"/>
      <x:c r="AC562"/>
      <x:c r="AD562"/>
      <x:c r="AE562"/>
      <x:c r="AF562"/>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x:c r="C563"/>
      <x:c r="D563"/>
      <x:c r="E563"/>
      <x:c r="F563"/>
      <x:c r="G563"/>
      <x:c r="H563"/>
      <x:c r="I563"/>
      <x:c r="J563"/>
      <x:c r="K563"/>
      <x:c r="L563"/>
      <x:c r="M563"/>
      <x:c r="N563"/>
      <x:c r="O563"/>
      <x:c r="P563"/>
      <x:c r="Q563"/>
      <x:c r="R563"/>
      <x:c r="S563"/>
      <x:c r="T563"/>
      <x:c r="U563"/>
      <x:c r="V563"/>
      <x:c r="W563"/>
      <x:c r="X563"/>
      <x:c r="Y563"/>
      <x:c r="Z563"/>
      <x:c r="AA563"/>
      <x:c r="AB563"/>
      <x:c r="AC563"/>
      <x:c r="AD563"/>
      <x:c r="AE563"/>
      <x:c r="AF563"/>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x:c r="C564"/>
      <x:c r="D564"/>
      <x:c r="E564"/>
      <x:c r="F564"/>
      <x:c r="G564"/>
      <x:c r="H564"/>
      <x:c r="I564"/>
      <x:c r="J564"/>
      <x:c r="K564"/>
      <x:c r="L564"/>
      <x:c r="M564"/>
      <x:c r="N564"/>
      <x:c r="O564"/>
      <x:c r="P564"/>
      <x:c r="Q564"/>
      <x:c r="R564"/>
      <x:c r="S564"/>
      <x:c r="T564"/>
      <x:c r="U564"/>
      <x:c r="V564"/>
      <x:c r="W564"/>
      <x:c r="X564"/>
      <x:c r="Y564"/>
      <x:c r="Z564"/>
      <x:c r="AA564"/>
      <x:c r="AB564"/>
      <x:c r="AC564"/>
      <x:c r="AD564"/>
      <x:c r="AE564"/>
      <x:c r="AF564"/>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C565"/>
      <x:c r="D565"/>
      <x:c r="E565"/>
      <x:c r="F565"/>
      <x:c r="G565"/>
      <x:c r="H565"/>
      <x:c r="I565"/>
      <x:c r="J565"/>
      <x:c r="K565"/>
      <x:c r="L565"/>
      <x:c r="M565"/>
      <x:c r="N565"/>
      <x:c r="O565"/>
      <x:c r="P565"/>
      <x:c r="Q565"/>
      <x:c r="R565"/>
      <x:c r="S565"/>
      <x:c r="T565"/>
      <x:c r="U565"/>
      <x:c r="V565"/>
      <x:c r="W565"/>
      <x:c r="X565"/>
      <x:c r="Y565"/>
      <x:c r="Z565"/>
      <x:c r="AA565"/>
      <x:c r="AB565"/>
      <x:c r="AC565"/>
      <x:c r="AD565"/>
      <x:c r="AE565"/>
      <x:c r="AF565"/>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x:c r="C566"/>
      <x:c r="D566"/>
      <x:c r="E566"/>
      <x:c r="F566"/>
      <x:c r="G566"/>
      <x:c r="H566"/>
      <x:c r="I566"/>
      <x:c r="J566"/>
      <x:c r="K566"/>
      <x:c r="L566"/>
      <x:c r="M566"/>
      <x:c r="N566"/>
      <x:c r="O566"/>
      <x:c r="P566"/>
      <x:c r="Q566"/>
      <x:c r="R566"/>
      <x:c r="S566"/>
      <x:c r="T566"/>
      <x:c r="U566"/>
      <x:c r="V566"/>
      <x:c r="W566"/>
      <x:c r="X566"/>
      <x:c r="Y566"/>
      <x:c r="Z566"/>
      <x:c r="AA566"/>
      <x:c r="AB566"/>
      <x:c r="AC566"/>
      <x:c r="AD566"/>
      <x:c r="AE566"/>
      <x:c r="AF566"/>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x:c r="C567"/>
      <x:c r="D567"/>
      <x:c r="E567"/>
      <x:c r="F567"/>
      <x:c r="G567"/>
      <x:c r="H567"/>
      <x:c r="I567"/>
      <x:c r="J567"/>
      <x:c r="K567"/>
      <x:c r="L567"/>
      <x:c r="M567"/>
      <x:c r="N567"/>
      <x:c r="O567"/>
      <x:c r="P567"/>
      <x:c r="Q567"/>
      <x:c r="R567"/>
      <x:c r="S567"/>
      <x:c r="T567"/>
      <x:c r="U567"/>
      <x:c r="V567"/>
      <x:c r="W567"/>
      <x:c r="X567"/>
      <x:c r="Y567"/>
      <x:c r="Z567"/>
      <x:c r="AA567"/>
      <x:c r="AB567"/>
      <x:c r="AC567"/>
      <x:c r="AD567"/>
      <x:c r="AE567"/>
      <x:c r="AF567"/>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x:c r="C568"/>
      <x:c r="D568"/>
      <x:c r="E568"/>
      <x:c r="F568"/>
      <x:c r="G568"/>
      <x:c r="H568"/>
      <x:c r="I568"/>
      <x:c r="J568"/>
      <x:c r="K568"/>
      <x:c r="L568"/>
      <x:c r="M568"/>
      <x:c r="N568"/>
      <x:c r="O568"/>
      <x:c r="P568"/>
      <x:c r="Q568"/>
      <x:c r="R568"/>
      <x:c r="S568"/>
      <x:c r="T568"/>
      <x:c r="U568"/>
      <x:c r="V568"/>
      <x:c r="W568"/>
      <x:c r="X568"/>
      <x:c r="Y568"/>
      <x:c r="Z568"/>
      <x:c r="AA568"/>
      <x:c r="AB568"/>
      <x:c r="AC568"/>
      <x:c r="AD568"/>
      <x:c r="AE568"/>
      <x:c r="AF568"/>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x:c r="C569"/>
      <x:c r="D569"/>
      <x:c r="E569"/>
      <x:c r="F569"/>
      <x:c r="G569"/>
      <x:c r="H569"/>
      <x:c r="I569"/>
      <x:c r="J569"/>
      <x:c r="K569"/>
      <x:c r="L569"/>
      <x:c r="M569"/>
      <x:c r="N569"/>
      <x:c r="O569"/>
      <x:c r="P569"/>
      <x:c r="Q569"/>
      <x:c r="R569"/>
      <x:c r="S569"/>
      <x:c r="T569"/>
      <x:c r="U569"/>
      <x:c r="V569"/>
      <x:c r="W569"/>
      <x:c r="X569"/>
      <x:c r="Y569"/>
      <x:c r="Z569"/>
      <x:c r="AA569"/>
      <x:c r="AB569"/>
      <x:c r="AC569"/>
      <x:c r="AD569"/>
      <x:c r="AE569"/>
      <x:c r="AF569"/>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x:c r="C570"/>
      <x:c r="D570"/>
      <x:c r="E570"/>
      <x:c r="F570"/>
      <x:c r="G570"/>
      <x:c r="H570"/>
      <x:c r="I570"/>
      <x:c r="J570"/>
      <x:c r="K570"/>
      <x:c r="L570"/>
      <x:c r="M570"/>
      <x:c r="N570"/>
      <x:c r="O570"/>
      <x:c r="P570"/>
      <x:c r="Q570"/>
      <x:c r="R570"/>
      <x:c r="S570"/>
      <x:c r="T570"/>
      <x:c r="U570"/>
      <x:c r="V570"/>
      <x:c r="W570"/>
      <x:c r="X570"/>
      <x:c r="Y570"/>
      <x:c r="Z570"/>
      <x:c r="AA570"/>
      <x:c r="AB570"/>
      <x:c r="AC570"/>
      <x:c r="AD570"/>
      <x:c r="AE570"/>
      <x:c r="AF570"/>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x:c r="C571"/>
      <x:c r="D571"/>
      <x:c r="E571"/>
      <x:c r="F571"/>
      <x:c r="G571"/>
      <x:c r="H571"/>
      <x:c r="I571"/>
      <x:c r="J571"/>
      <x:c r="K571"/>
      <x:c r="L571"/>
      <x:c r="M571"/>
      <x:c r="N571"/>
      <x:c r="O571"/>
      <x:c r="P571"/>
      <x:c r="Q571"/>
      <x:c r="R571"/>
      <x:c r="S571"/>
      <x:c r="T571"/>
      <x:c r="U571"/>
      <x:c r="V571"/>
      <x:c r="W571"/>
      <x:c r="X571"/>
      <x:c r="Y571"/>
      <x:c r="Z571"/>
      <x:c r="AA571"/>
      <x:c r="AB571"/>
      <x:c r="AC571"/>
      <x:c r="AD571"/>
      <x:c r="AE571"/>
      <x:c r="AF571"/>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x:c r="C572"/>
      <x:c r="D572"/>
      <x:c r="E572"/>
      <x:c r="F572"/>
      <x:c r="G572"/>
      <x:c r="H572"/>
      <x:c r="I572"/>
      <x:c r="J572"/>
      <x:c r="K572"/>
      <x:c r="L572"/>
      <x:c r="M572"/>
      <x:c r="N572"/>
      <x:c r="O572"/>
      <x:c r="P572"/>
      <x:c r="Q572"/>
      <x:c r="R572"/>
      <x:c r="S572"/>
      <x:c r="T572"/>
      <x:c r="U572"/>
      <x:c r="V572"/>
      <x:c r="W572"/>
      <x:c r="X572"/>
      <x:c r="Y572"/>
      <x:c r="Z572"/>
      <x:c r="AA572"/>
      <x:c r="AB572"/>
      <x:c r="AC572"/>
      <x:c r="AD572"/>
      <x:c r="AE572"/>
      <x:c r="AF572"/>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x:c r="C573"/>
      <x:c r="D573"/>
      <x:c r="E573"/>
      <x:c r="F573"/>
      <x:c r="G573"/>
      <x:c r="H573"/>
      <x:c r="I573"/>
      <x:c r="J573"/>
      <x:c r="K573"/>
      <x:c r="L573"/>
      <x:c r="M573"/>
      <x:c r="N573"/>
      <x:c r="O573"/>
      <x:c r="P573"/>
      <x:c r="Q573"/>
      <x:c r="R573"/>
      <x:c r="S573"/>
      <x:c r="T573"/>
      <x:c r="U573"/>
      <x:c r="V573"/>
      <x:c r="W573"/>
      <x:c r="X573"/>
      <x:c r="Y573"/>
      <x:c r="Z573"/>
      <x:c r="AA573"/>
      <x:c r="AB573"/>
      <x:c r="AC573"/>
      <x:c r="AD573"/>
      <x:c r="AE573"/>
      <x:c r="AF573"/>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x:c r="C574"/>
      <x:c r="D574"/>
      <x:c r="E574"/>
      <x:c r="F574"/>
      <x:c r="G574"/>
      <x:c r="H574"/>
      <x:c r="I574"/>
      <x:c r="J574"/>
      <x:c r="K574"/>
      <x:c r="L574"/>
      <x:c r="M574"/>
      <x:c r="N574"/>
      <x:c r="O574"/>
      <x:c r="P574"/>
      <x:c r="Q574"/>
      <x:c r="R574"/>
      <x:c r="S574"/>
      <x:c r="T574"/>
      <x:c r="U574"/>
      <x:c r="V574"/>
      <x:c r="W574"/>
      <x:c r="X574"/>
      <x:c r="Y574"/>
      <x:c r="Z574"/>
      <x:c r="AA574"/>
      <x:c r="AB574"/>
      <x:c r="AC574"/>
      <x:c r="AD574"/>
      <x:c r="AE574"/>
      <x:c r="AF574"/>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x:c r="C575"/>
      <x:c r="D575"/>
      <x:c r="E575"/>
      <x:c r="F575"/>
      <x:c r="G575"/>
      <x:c r="H575"/>
      <x:c r="I575"/>
      <x:c r="J575"/>
      <x:c r="K575"/>
      <x:c r="L575"/>
      <x:c r="M575"/>
      <x:c r="N575"/>
      <x:c r="O575"/>
      <x:c r="P575"/>
      <x:c r="Q575"/>
      <x:c r="R575"/>
      <x:c r="S575"/>
      <x:c r="T575"/>
      <x:c r="U575"/>
      <x:c r="V575"/>
      <x:c r="W575"/>
      <x:c r="X575"/>
      <x:c r="Y575"/>
      <x:c r="Z575"/>
      <x:c r="AA575"/>
      <x:c r="AB575"/>
      <x:c r="AC575"/>
      <x:c r="AD575"/>
      <x:c r="AE575"/>
      <x:c r="AF575"/>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x:c r="C576"/>
      <x:c r="D576"/>
      <x:c r="E576"/>
      <x:c r="F576"/>
      <x:c r="G576"/>
      <x:c r="H576"/>
      <x:c r="I576"/>
      <x:c r="J576"/>
      <x:c r="K576"/>
      <x:c r="L576"/>
      <x:c r="M576"/>
      <x:c r="N576"/>
      <x:c r="O576"/>
      <x:c r="P576"/>
      <x:c r="Q576"/>
      <x:c r="R576"/>
      <x:c r="S576"/>
      <x:c r="T576"/>
      <x:c r="U576"/>
      <x:c r="V576"/>
      <x:c r="W576"/>
      <x:c r="X576"/>
      <x:c r="Y576"/>
      <x:c r="Z576"/>
      <x:c r="AA576"/>
      <x:c r="AB576"/>
      <x:c r="AC576"/>
      <x:c r="AD576"/>
      <x:c r="AE576"/>
      <x:c r="AF576"/>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x:c r="C577"/>
      <x:c r="D577"/>
      <x:c r="E577"/>
      <x:c r="F577"/>
      <x:c r="G577"/>
      <x:c r="H577"/>
      <x:c r="I577"/>
      <x:c r="J577"/>
      <x:c r="K577"/>
      <x:c r="L577"/>
      <x:c r="M577"/>
      <x:c r="N577"/>
      <x:c r="O577"/>
      <x:c r="P577"/>
      <x:c r="Q577"/>
      <x:c r="R577"/>
      <x:c r="S577"/>
      <x:c r="T577"/>
      <x:c r="U577"/>
      <x:c r="V577"/>
      <x:c r="W577"/>
      <x:c r="X577"/>
      <x:c r="Y577"/>
      <x:c r="Z577"/>
      <x:c r="AA577"/>
      <x:c r="AB577"/>
      <x:c r="AC577"/>
      <x:c r="AD577"/>
      <x:c r="AE577"/>
      <x:c r="AF577"/>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C578"/>
      <x:c r="D578"/>
      <x:c r="E578"/>
      <x:c r="F578"/>
      <x:c r="G578"/>
      <x:c r="H578"/>
      <x:c r="I578"/>
      <x:c r="J578"/>
      <x:c r="K578"/>
      <x:c r="L578"/>
      <x:c r="M578"/>
      <x:c r="N578"/>
      <x:c r="O578"/>
      <x:c r="P578"/>
      <x:c r="Q578"/>
      <x:c r="R578"/>
      <x:c r="S578"/>
      <x:c r="T578"/>
      <x:c r="U578"/>
      <x:c r="V578"/>
      <x:c r="W578"/>
      <x:c r="X578"/>
      <x:c r="Y578"/>
      <x:c r="Z578"/>
      <x:c r="AA578"/>
      <x:c r="AB578"/>
      <x:c r="AC578"/>
      <x:c r="AD578"/>
      <x:c r="AE578"/>
      <x:c r="AF578"/>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x:c r="C579"/>
      <x:c r="D579"/>
      <x:c r="E579"/>
      <x:c r="F579"/>
      <x:c r="G579"/>
      <x:c r="H579"/>
      <x:c r="I579"/>
      <x:c r="J579"/>
      <x:c r="K579"/>
      <x:c r="L579"/>
      <x:c r="M579"/>
      <x:c r="N579"/>
      <x:c r="O579"/>
      <x:c r="P579"/>
      <x:c r="Q579"/>
      <x:c r="R579"/>
      <x:c r="S579"/>
      <x:c r="T579"/>
      <x:c r="U579"/>
      <x:c r="V579"/>
      <x:c r="W579"/>
      <x:c r="X579"/>
      <x:c r="Y579"/>
      <x:c r="Z579"/>
      <x:c r="AA579"/>
      <x:c r="AB579"/>
      <x:c r="AC579"/>
      <x:c r="AD579"/>
      <x:c r="AE579"/>
      <x:c r="AF579"/>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x:c r="C580"/>
      <x:c r="D580"/>
      <x:c r="E580"/>
      <x:c r="F580"/>
      <x:c r="G580"/>
      <x:c r="H580"/>
      <x:c r="I580"/>
      <x:c r="J580"/>
      <x:c r="K580"/>
      <x:c r="L580"/>
      <x:c r="M580"/>
      <x:c r="N580"/>
      <x:c r="O580"/>
      <x:c r="P580"/>
      <x:c r="Q580"/>
      <x:c r="R580"/>
      <x:c r="S580"/>
      <x:c r="T580"/>
      <x:c r="U580"/>
      <x:c r="V580"/>
      <x:c r="W580"/>
      <x:c r="X580"/>
      <x:c r="Y580"/>
      <x:c r="Z580"/>
      <x:c r="AA580"/>
      <x:c r="AB580"/>
      <x:c r="AC580"/>
      <x:c r="AD580"/>
      <x:c r="AE580"/>
      <x:c r="AF580"/>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C581"/>
      <x:c r="D581"/>
      <x:c r="E581"/>
      <x:c r="F581"/>
      <x:c r="G581"/>
      <x:c r="H581"/>
      <x:c r="I581"/>
      <x:c r="J581"/>
      <x:c r="K581"/>
      <x:c r="L581"/>
      <x:c r="M581"/>
      <x:c r="N581"/>
      <x:c r="O581"/>
      <x:c r="P581"/>
      <x:c r="Q581"/>
      <x:c r="R581"/>
      <x:c r="S581"/>
      <x:c r="T581"/>
      <x:c r="U581"/>
      <x:c r="V581"/>
      <x:c r="W581"/>
      <x:c r="X581"/>
      <x:c r="Y581"/>
      <x:c r="Z581"/>
      <x:c r="AA581"/>
      <x:c r="AB581"/>
      <x:c r="AC581"/>
      <x:c r="AD581"/>
      <x:c r="AE581"/>
      <x:c r="AF581"/>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x:c r="C582"/>
      <x:c r="D582"/>
      <x:c r="E582"/>
      <x:c r="F582"/>
      <x:c r="G582"/>
      <x:c r="H582"/>
      <x:c r="I582"/>
      <x:c r="J582"/>
      <x:c r="K582"/>
      <x:c r="L582"/>
      <x:c r="M582"/>
      <x:c r="N582"/>
      <x:c r="O582"/>
      <x:c r="P582"/>
      <x:c r="Q582"/>
      <x:c r="R582"/>
      <x:c r="S582"/>
      <x:c r="T582"/>
      <x:c r="U582"/>
      <x:c r="V582"/>
      <x:c r="W582"/>
      <x:c r="X582"/>
      <x:c r="Y582"/>
      <x:c r="Z582"/>
      <x:c r="AA582"/>
      <x:c r="AB582"/>
      <x:c r="AC582"/>
      <x:c r="AD582"/>
      <x:c r="AE582"/>
      <x:c r="AF582"/>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x:c r="C583"/>
      <x:c r="D583"/>
      <x:c r="E583"/>
      <x:c r="F583"/>
      <x:c r="G583"/>
      <x:c r="H583"/>
      <x:c r="I583"/>
      <x:c r="J583"/>
      <x:c r="K583"/>
      <x:c r="L583"/>
      <x:c r="M583"/>
      <x:c r="N583"/>
      <x:c r="O583"/>
      <x:c r="P583"/>
      <x:c r="Q583"/>
      <x:c r="R583"/>
      <x:c r="S583"/>
      <x:c r="T583"/>
      <x:c r="U583"/>
      <x:c r="V583"/>
      <x:c r="W583"/>
      <x:c r="X583"/>
      <x:c r="Y583"/>
      <x:c r="Z583"/>
      <x:c r="AA583"/>
      <x:c r="AB583"/>
      <x:c r="AC583"/>
      <x:c r="AD583"/>
      <x:c r="AE583"/>
      <x:c r="AF583"/>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x:c r="C584"/>
      <x:c r="D584"/>
      <x:c r="E584"/>
      <x:c r="F584"/>
      <x:c r="G584"/>
      <x:c r="H584"/>
      <x:c r="I584"/>
      <x:c r="J584"/>
      <x:c r="K584"/>
      <x:c r="L584"/>
      <x:c r="M584"/>
      <x:c r="N584"/>
      <x:c r="O584"/>
      <x:c r="P584"/>
      <x:c r="Q584"/>
      <x:c r="R584"/>
      <x:c r="S584"/>
      <x:c r="T584"/>
      <x:c r="U584"/>
      <x:c r="V584"/>
      <x:c r="W584"/>
      <x:c r="X584"/>
      <x:c r="Y584"/>
      <x:c r="Z584"/>
      <x:c r="AA584"/>
      <x:c r="AB584"/>
      <x:c r="AC584"/>
      <x:c r="AD584"/>
      <x:c r="AE584"/>
      <x:c r="AF584"/>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x:c r="C585"/>
      <x:c r="D585"/>
      <x:c r="E585"/>
      <x:c r="F585"/>
      <x:c r="G585"/>
      <x:c r="H585"/>
      <x:c r="I585"/>
      <x:c r="J585"/>
      <x:c r="K585"/>
      <x:c r="L585"/>
      <x:c r="M585"/>
      <x:c r="N585"/>
      <x:c r="O585"/>
      <x:c r="P585"/>
      <x:c r="Q585"/>
      <x:c r="R585"/>
      <x:c r="S585"/>
      <x:c r="T585"/>
      <x:c r="U585"/>
      <x:c r="V585"/>
      <x:c r="W585"/>
      <x:c r="X585"/>
      <x:c r="Y585"/>
      <x:c r="Z585"/>
      <x:c r="AA585"/>
      <x:c r="AB585"/>
      <x:c r="AC585"/>
      <x:c r="AD585"/>
      <x:c r="AE585"/>
      <x:c r="AF585"/>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C586"/>
      <x:c r="D586"/>
      <x:c r="E586"/>
      <x:c r="F586"/>
      <x:c r="G586"/>
      <x:c r="H586"/>
      <x:c r="I586"/>
      <x:c r="J586"/>
      <x:c r="K586"/>
      <x:c r="L586"/>
      <x:c r="M586"/>
      <x:c r="N586"/>
      <x:c r="O586"/>
      <x:c r="P586"/>
      <x:c r="Q586"/>
      <x:c r="R586"/>
      <x:c r="S586"/>
      <x:c r="T586"/>
      <x:c r="U586"/>
      <x:c r="V586"/>
      <x:c r="W586"/>
      <x:c r="X586"/>
      <x:c r="Y586"/>
      <x:c r="Z586"/>
      <x:c r="AA586"/>
      <x:c r="AB586"/>
      <x:c r="AC586"/>
      <x:c r="AD586"/>
      <x:c r="AE586"/>
      <x:c r="AF586"/>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x:c r="C587"/>
      <x:c r="D587"/>
      <x:c r="E587"/>
      <x:c r="F587"/>
      <x:c r="G587"/>
      <x:c r="H587"/>
      <x:c r="I587"/>
      <x:c r="J587"/>
      <x:c r="K587"/>
      <x:c r="L587"/>
      <x:c r="M587"/>
      <x:c r="N587"/>
      <x:c r="O587"/>
      <x:c r="P587"/>
      <x:c r="Q587"/>
      <x:c r="R587"/>
      <x:c r="S587"/>
      <x:c r="T587"/>
      <x:c r="U587"/>
      <x:c r="V587"/>
      <x:c r="W587"/>
      <x:c r="X587"/>
      <x:c r="Y587"/>
      <x:c r="Z587"/>
      <x:c r="AA587"/>
      <x:c r="AB587"/>
      <x:c r="AC587"/>
      <x:c r="AD587"/>
      <x:c r="AE587"/>
      <x:c r="AF587"/>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x:c r="C588"/>
      <x:c r="D588"/>
      <x:c r="E588"/>
      <x:c r="F588"/>
      <x:c r="G588"/>
      <x:c r="H588"/>
      <x:c r="I588"/>
      <x:c r="J588"/>
      <x:c r="K588"/>
      <x:c r="L588"/>
      <x:c r="M588"/>
      <x:c r="N588"/>
      <x:c r="O588"/>
      <x:c r="P588"/>
      <x:c r="Q588"/>
      <x:c r="R588"/>
      <x:c r="S588"/>
      <x:c r="T588"/>
      <x:c r="U588"/>
      <x:c r="V588"/>
      <x:c r="W588"/>
      <x:c r="X588"/>
      <x:c r="Y588"/>
      <x:c r="Z588"/>
      <x:c r="AA588"/>
      <x:c r="AB588"/>
      <x:c r="AC588"/>
      <x:c r="AD588"/>
      <x:c r="AE588"/>
      <x:c r="AF588"/>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x:c r="C589"/>
      <x:c r="D589"/>
      <x:c r="E589"/>
      <x:c r="F589"/>
      <x:c r="G589"/>
      <x:c r="H589"/>
      <x:c r="I589"/>
      <x:c r="J589"/>
      <x:c r="K589"/>
      <x:c r="L589"/>
      <x:c r="M589"/>
      <x:c r="N589"/>
      <x:c r="O589"/>
      <x:c r="P589"/>
      <x:c r="Q589"/>
      <x:c r="R589"/>
      <x:c r="S589"/>
      <x:c r="T589"/>
      <x:c r="U589"/>
      <x:c r="V589"/>
      <x:c r="W589"/>
      <x:c r="X589"/>
      <x:c r="Y589"/>
      <x:c r="Z589"/>
      <x:c r="AA589"/>
      <x:c r="AB589"/>
      <x:c r="AC589"/>
      <x:c r="AD589"/>
      <x:c r="AE589"/>
      <x:c r="AF589"/>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x:c r="C590"/>
      <x:c r="D590"/>
      <x:c r="E590"/>
      <x:c r="F590"/>
      <x:c r="G590"/>
      <x:c r="H590"/>
      <x:c r="I590"/>
      <x:c r="J590"/>
      <x:c r="K590"/>
      <x:c r="L590"/>
      <x:c r="M590"/>
      <x:c r="N590"/>
      <x:c r="O590"/>
      <x:c r="P590"/>
      <x:c r="Q590"/>
      <x:c r="R590"/>
      <x:c r="S590"/>
      <x:c r="T590"/>
      <x:c r="U590"/>
      <x:c r="V590"/>
      <x:c r="W590"/>
      <x:c r="X590"/>
      <x:c r="Y590"/>
      <x:c r="Z590"/>
      <x:c r="AA590"/>
      <x:c r="AB590"/>
      <x:c r="AC590"/>
      <x:c r="AD590"/>
      <x:c r="AE590"/>
      <x:c r="AF590"/>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x:c r="C591"/>
      <x:c r="D591"/>
      <x:c r="E591"/>
      <x:c r="F591"/>
      <x:c r="G591"/>
      <x:c r="H591"/>
      <x:c r="I591"/>
      <x:c r="J591"/>
      <x:c r="K591"/>
      <x:c r="L591"/>
      <x:c r="M591"/>
      <x:c r="N591"/>
      <x:c r="O591"/>
      <x:c r="P591"/>
      <x:c r="Q591"/>
      <x:c r="R591"/>
      <x:c r="S591"/>
      <x:c r="T591"/>
      <x:c r="U591"/>
      <x:c r="V591"/>
      <x:c r="W591"/>
      <x:c r="X591"/>
      <x:c r="Y591"/>
      <x:c r="Z591"/>
      <x:c r="AA591"/>
      <x:c r="AB591"/>
      <x:c r="AC591"/>
      <x:c r="AD591"/>
      <x:c r="AE591"/>
      <x:c r="AF591"/>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x:c r="C592"/>
      <x:c r="D592"/>
      <x:c r="E592"/>
      <x:c r="F592"/>
      <x:c r="G592"/>
      <x:c r="H592"/>
      <x:c r="I592"/>
      <x:c r="J592"/>
      <x:c r="K592"/>
      <x:c r="L592"/>
      <x:c r="M592"/>
      <x:c r="N592"/>
      <x:c r="O592"/>
      <x:c r="P592"/>
      <x:c r="Q592"/>
      <x:c r="R592"/>
      <x:c r="S592"/>
      <x:c r="T592"/>
      <x:c r="U592"/>
      <x:c r="V592"/>
      <x:c r="W592"/>
      <x:c r="X592"/>
      <x:c r="Y592"/>
      <x:c r="Z592"/>
      <x:c r="AA592"/>
      <x:c r="AB592"/>
      <x:c r="AC592"/>
      <x:c r="AD592"/>
      <x:c r="AE592"/>
      <x:c r="AF592"/>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x:c r="C593"/>
      <x:c r="D593"/>
      <x:c r="E593"/>
      <x:c r="F593"/>
      <x:c r="G593"/>
      <x:c r="H593"/>
      <x:c r="I593"/>
      <x:c r="J593"/>
      <x:c r="K593"/>
      <x:c r="L593"/>
      <x:c r="M593"/>
      <x:c r="N593"/>
      <x:c r="O593"/>
      <x:c r="P593"/>
      <x:c r="Q593"/>
      <x:c r="R593"/>
      <x:c r="S593"/>
      <x:c r="T593"/>
      <x:c r="U593"/>
      <x:c r="V593"/>
      <x:c r="W593"/>
      <x:c r="X593"/>
      <x:c r="Y593"/>
      <x:c r="Z593"/>
      <x:c r="AA593"/>
      <x:c r="AB593"/>
      <x:c r="AC593"/>
      <x:c r="AD593"/>
      <x:c r="AE593"/>
      <x:c r="AF593"/>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x:c r="C594"/>
      <x:c r="D594"/>
      <x:c r="E594"/>
      <x:c r="F594"/>
      <x:c r="G594"/>
      <x:c r="H594"/>
      <x:c r="I594"/>
      <x:c r="J594"/>
      <x:c r="K594"/>
      <x:c r="L594"/>
      <x:c r="M594"/>
      <x:c r="N594"/>
      <x:c r="O594"/>
      <x:c r="P594"/>
      <x:c r="Q594"/>
      <x:c r="R594"/>
      <x:c r="S594"/>
      <x:c r="T594"/>
      <x:c r="U594"/>
      <x:c r="V594"/>
      <x:c r="W594"/>
      <x:c r="X594"/>
      <x:c r="Y594"/>
      <x:c r="Z594"/>
      <x:c r="AA594"/>
      <x:c r="AB594"/>
      <x:c r="AC594"/>
      <x:c r="AD594"/>
      <x:c r="AE594"/>
      <x:c r="AF594"/>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x:c r="C595"/>
      <x:c r="D595"/>
      <x:c r="E595"/>
      <x:c r="F595"/>
      <x:c r="G595"/>
      <x:c r="H595"/>
      <x:c r="I595"/>
      <x:c r="J595"/>
      <x:c r="K595"/>
      <x:c r="L595"/>
      <x:c r="M595"/>
      <x:c r="N595"/>
      <x:c r="O595"/>
      <x:c r="P595"/>
      <x:c r="Q595"/>
      <x:c r="R595"/>
      <x:c r="S595"/>
      <x:c r="T595"/>
      <x:c r="U595"/>
      <x:c r="V595"/>
      <x:c r="W595"/>
      <x:c r="X595"/>
      <x:c r="Y595"/>
      <x:c r="Z595"/>
      <x:c r="AA595"/>
      <x:c r="AB595"/>
      <x:c r="AC595"/>
      <x:c r="AD595"/>
      <x:c r="AE595"/>
      <x:c r="AF595"/>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x:c r="C596"/>
      <x:c r="D596"/>
      <x:c r="E596"/>
      <x:c r="F596"/>
      <x:c r="G596"/>
      <x:c r="H596"/>
      <x:c r="I596"/>
      <x:c r="J596"/>
      <x:c r="K596"/>
      <x:c r="L596"/>
      <x:c r="M596"/>
      <x:c r="N596"/>
      <x:c r="O596"/>
      <x:c r="P596"/>
      <x:c r="Q596"/>
      <x:c r="R596"/>
      <x:c r="S596"/>
      <x:c r="T596"/>
      <x:c r="U596"/>
      <x:c r="V596"/>
      <x:c r="W596"/>
      <x:c r="X596"/>
      <x:c r="Y596"/>
      <x:c r="Z596"/>
      <x:c r="AA596"/>
      <x:c r="AB596"/>
      <x:c r="AC596"/>
      <x:c r="AD596"/>
      <x:c r="AE596"/>
      <x:c r="AF596"/>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x:c r="C597"/>
      <x:c r="D597"/>
      <x:c r="E597"/>
      <x:c r="F597"/>
      <x:c r="G597"/>
      <x:c r="H597"/>
      <x:c r="I597"/>
      <x:c r="J597"/>
      <x:c r="K597"/>
      <x:c r="L597"/>
      <x:c r="M597"/>
      <x:c r="N597"/>
      <x:c r="O597"/>
      <x:c r="P597"/>
      <x:c r="Q597"/>
      <x:c r="R597"/>
      <x:c r="S597"/>
      <x:c r="T597"/>
      <x:c r="U597"/>
      <x:c r="V597"/>
      <x:c r="W597"/>
      <x:c r="X597"/>
      <x:c r="Y597"/>
      <x:c r="Z597"/>
      <x:c r="AA597"/>
      <x:c r="AB597"/>
      <x:c r="AC597"/>
      <x:c r="AD597"/>
      <x:c r="AE597"/>
      <x:c r="AF597"/>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x:c r="C598"/>
      <x:c r="D598"/>
      <x:c r="E598"/>
      <x:c r="F598"/>
      <x:c r="G598"/>
      <x:c r="H598"/>
      <x:c r="I598"/>
      <x:c r="J598"/>
      <x:c r="K598"/>
      <x:c r="L598"/>
      <x:c r="M598"/>
      <x:c r="N598"/>
      <x:c r="O598"/>
      <x:c r="P598"/>
      <x:c r="Q598"/>
      <x:c r="R598"/>
      <x:c r="S598"/>
      <x:c r="T598"/>
      <x:c r="U598"/>
      <x:c r="V598"/>
      <x:c r="W598"/>
      <x:c r="X598"/>
      <x:c r="Y598"/>
      <x:c r="Z598"/>
      <x:c r="AA598"/>
      <x:c r="AB598"/>
      <x:c r="AC598"/>
      <x:c r="AD598"/>
      <x:c r="AE598"/>
      <x:c r="AF598"/>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x:c r="C599"/>
      <x:c r="D599"/>
      <x:c r="E599"/>
      <x:c r="F599"/>
      <x:c r="G599"/>
      <x:c r="H599"/>
      <x:c r="I599"/>
      <x:c r="J599"/>
      <x:c r="K599"/>
      <x:c r="L599"/>
      <x:c r="M599"/>
      <x:c r="N599"/>
      <x:c r="O599"/>
      <x:c r="P599"/>
      <x:c r="Q599"/>
      <x:c r="R599"/>
      <x:c r="S599"/>
      <x:c r="T599"/>
      <x:c r="U599"/>
      <x:c r="V599"/>
      <x:c r="W599"/>
      <x:c r="X599"/>
      <x:c r="Y599"/>
      <x:c r="Z599"/>
      <x:c r="AA599"/>
      <x:c r="AB599"/>
      <x:c r="AC599"/>
      <x:c r="AD599"/>
      <x:c r="AE599"/>
      <x:c r="AF599"/>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x:c r="C600"/>
      <x:c r="D600"/>
      <x:c r="E600"/>
      <x:c r="F600"/>
      <x:c r="G600"/>
      <x:c r="H600"/>
      <x:c r="I600"/>
      <x:c r="J600"/>
      <x:c r="K600"/>
      <x:c r="L600"/>
      <x:c r="M600"/>
      <x:c r="N600"/>
      <x:c r="O600"/>
      <x:c r="P600"/>
      <x:c r="Q600"/>
      <x:c r="R600"/>
      <x:c r="S600"/>
      <x:c r="T600"/>
      <x:c r="U600"/>
      <x:c r="V600"/>
      <x:c r="W600"/>
      <x:c r="X600"/>
      <x:c r="Y600"/>
      <x:c r="Z600"/>
      <x:c r="AA600"/>
      <x:c r="AB600"/>
      <x:c r="AC600"/>
      <x:c r="AD600"/>
      <x:c r="AE600"/>
      <x:c r="AF600"/>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x:c r="C601"/>
      <x:c r="D601"/>
      <x:c r="E601"/>
      <x:c r="F601"/>
      <x:c r="G601"/>
      <x:c r="H601"/>
      <x:c r="I601"/>
      <x:c r="J601"/>
      <x:c r="K601"/>
      <x:c r="L601"/>
      <x:c r="M601"/>
      <x:c r="N601"/>
      <x:c r="O601"/>
      <x:c r="P601"/>
      <x:c r="Q601"/>
      <x:c r="R601"/>
      <x:c r="S601"/>
      <x:c r="T601"/>
      <x:c r="U601"/>
      <x:c r="V601"/>
      <x:c r="W601"/>
      <x:c r="X601"/>
      <x:c r="Y601"/>
      <x:c r="Z601"/>
      <x:c r="AA601"/>
      <x:c r="AB601"/>
      <x:c r="AC601"/>
      <x:c r="AD601"/>
      <x:c r="AE601"/>
      <x:c r="AF601"/>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x:c r="C602"/>
      <x:c r="D602"/>
      <x:c r="E602"/>
      <x:c r="F602"/>
      <x:c r="G602"/>
      <x:c r="H602"/>
      <x:c r="I602"/>
      <x:c r="J602"/>
      <x:c r="K602"/>
      <x:c r="L602"/>
      <x:c r="M602"/>
      <x:c r="N602"/>
      <x:c r="O602"/>
      <x:c r="P602"/>
      <x:c r="Q602"/>
      <x:c r="R602"/>
      <x:c r="S602"/>
      <x:c r="T602"/>
      <x:c r="U602"/>
      <x:c r="V602"/>
      <x:c r="W602"/>
      <x:c r="X602"/>
      <x:c r="Y602"/>
      <x:c r="Z602"/>
      <x:c r="AA602"/>
      <x:c r="AB602"/>
      <x:c r="AC602"/>
      <x:c r="AD602"/>
      <x:c r="AE602"/>
      <x:c r="AF602"/>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x:c r="C603"/>
      <x:c r="D603"/>
      <x:c r="E603"/>
      <x:c r="F603"/>
      <x:c r="G603"/>
      <x:c r="H603"/>
      <x:c r="I603"/>
      <x:c r="J603"/>
      <x:c r="K603"/>
      <x:c r="L603"/>
      <x:c r="M603"/>
      <x:c r="N603"/>
      <x:c r="O603"/>
      <x:c r="P603"/>
      <x:c r="Q603"/>
      <x:c r="R603"/>
      <x:c r="S603"/>
      <x:c r="T603"/>
      <x:c r="U603"/>
      <x:c r="V603"/>
      <x:c r="W603"/>
      <x:c r="X603"/>
      <x:c r="Y603"/>
      <x:c r="Z603"/>
      <x:c r="AA603"/>
      <x:c r="AB603"/>
      <x:c r="AC603"/>
      <x:c r="AD603"/>
      <x:c r="AE603"/>
      <x:c r="AF603"/>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x:c r="C604"/>
      <x:c r="D604"/>
      <x:c r="E604"/>
      <x:c r="F604"/>
      <x:c r="G604"/>
      <x:c r="H604"/>
      <x:c r="I604"/>
      <x:c r="J604"/>
      <x:c r="K604"/>
      <x:c r="L604"/>
      <x:c r="M604"/>
      <x:c r="N604"/>
      <x:c r="O604"/>
      <x:c r="P604"/>
      <x:c r="Q604"/>
      <x:c r="R604"/>
      <x:c r="S604"/>
      <x:c r="T604"/>
      <x:c r="U604"/>
      <x:c r="V604"/>
      <x:c r="W604"/>
      <x:c r="X604"/>
      <x:c r="Y604"/>
      <x:c r="Z604"/>
      <x:c r="AA604"/>
      <x:c r="AB604"/>
      <x:c r="AC604"/>
      <x:c r="AD604"/>
      <x:c r="AE604"/>
      <x:c r="AF604"/>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x:c r="C605"/>
      <x:c r="D605"/>
      <x:c r="E605"/>
      <x:c r="F605"/>
      <x:c r="G605"/>
      <x:c r="H605"/>
      <x:c r="I605"/>
      <x:c r="J605"/>
      <x:c r="K605"/>
      <x:c r="L605"/>
      <x:c r="M605"/>
      <x:c r="N605"/>
      <x:c r="O605"/>
      <x:c r="P605"/>
      <x:c r="Q605"/>
      <x:c r="R605"/>
      <x:c r="S605"/>
      <x:c r="T605"/>
      <x:c r="U605"/>
      <x:c r="V605"/>
      <x:c r="W605"/>
      <x:c r="X605"/>
      <x:c r="Y605"/>
      <x:c r="Z605"/>
      <x:c r="AA605"/>
      <x:c r="AB605"/>
      <x:c r="AC605"/>
      <x:c r="AD605"/>
      <x:c r="AE605"/>
      <x:c r="AF605"/>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x:c r="C606"/>
      <x:c r="D606"/>
      <x:c r="E606"/>
      <x:c r="F606"/>
      <x:c r="G606"/>
      <x:c r="H606"/>
      <x:c r="I606"/>
      <x:c r="J606"/>
      <x:c r="K606"/>
      <x:c r="L606"/>
      <x:c r="M606"/>
      <x:c r="N606"/>
      <x:c r="O606"/>
      <x:c r="P606"/>
      <x:c r="Q606"/>
      <x:c r="R606"/>
      <x:c r="S606"/>
      <x:c r="T606"/>
      <x:c r="U606"/>
      <x:c r="V606"/>
      <x:c r="W606"/>
      <x:c r="X606"/>
      <x:c r="Y606"/>
      <x:c r="Z606"/>
      <x:c r="AA606"/>
      <x:c r="AB606"/>
      <x:c r="AC606"/>
      <x:c r="AD606"/>
      <x:c r="AE606"/>
      <x:c r="AF606"/>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x:c r="C607"/>
      <x:c r="D607"/>
      <x:c r="E607"/>
      <x:c r="F607"/>
      <x:c r="G607"/>
      <x:c r="H607"/>
      <x:c r="I607"/>
      <x:c r="J607"/>
      <x:c r="K607"/>
      <x:c r="L607"/>
      <x:c r="M607"/>
      <x:c r="N607"/>
      <x:c r="O607"/>
      <x:c r="P607"/>
      <x:c r="Q607"/>
      <x:c r="R607"/>
      <x:c r="S607"/>
      <x:c r="T607"/>
      <x:c r="U607"/>
      <x:c r="V607"/>
      <x:c r="W607"/>
      <x:c r="X607"/>
      <x:c r="Y607"/>
      <x:c r="Z607"/>
      <x:c r="AA607"/>
      <x:c r="AB607"/>
      <x:c r="AC607"/>
      <x:c r="AD607"/>
      <x:c r="AE607"/>
      <x:c r="AF607"/>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x:c r="C608"/>
      <x:c r="D608"/>
      <x:c r="E608"/>
      <x:c r="F608"/>
      <x:c r="G608"/>
      <x:c r="H608"/>
      <x:c r="I608"/>
      <x:c r="J608"/>
      <x:c r="K608"/>
      <x:c r="L608"/>
      <x:c r="M608"/>
      <x:c r="N608"/>
      <x:c r="O608"/>
      <x:c r="P608"/>
      <x:c r="Q608"/>
      <x:c r="R608"/>
      <x:c r="S608"/>
      <x:c r="T608"/>
      <x:c r="U608"/>
      <x:c r="V608"/>
      <x:c r="W608"/>
      <x:c r="X608"/>
      <x:c r="Y608"/>
      <x:c r="Z608"/>
      <x:c r="AA608"/>
      <x:c r="AB608"/>
      <x:c r="AC608"/>
      <x:c r="AD608"/>
      <x:c r="AE608"/>
      <x:c r="AF608"/>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x:c r="C609"/>
      <x:c r="D609"/>
      <x:c r="E609"/>
      <x:c r="F609"/>
      <x:c r="G609"/>
      <x:c r="H609"/>
      <x:c r="I609"/>
      <x:c r="J609"/>
      <x:c r="K609"/>
      <x:c r="L609"/>
      <x:c r="M609"/>
      <x:c r="N609"/>
      <x:c r="O609"/>
      <x:c r="P609"/>
      <x:c r="Q609"/>
      <x:c r="R609"/>
      <x:c r="S609"/>
      <x:c r="T609"/>
      <x:c r="U609"/>
      <x:c r="V609"/>
      <x:c r="W609"/>
      <x:c r="X609"/>
      <x:c r="Y609"/>
      <x:c r="Z609"/>
      <x:c r="AA609"/>
      <x:c r="AB609"/>
      <x:c r="AC609"/>
      <x:c r="AD609"/>
      <x:c r="AE609"/>
      <x:c r="AF609"/>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x:c r="C610"/>
      <x:c r="D610"/>
      <x:c r="E610"/>
      <x:c r="F610"/>
      <x:c r="G610"/>
      <x:c r="H610"/>
      <x:c r="I610"/>
      <x:c r="J610"/>
      <x:c r="K610"/>
      <x:c r="L610"/>
      <x:c r="M610"/>
      <x:c r="N610"/>
      <x:c r="O610"/>
      <x:c r="P610"/>
      <x:c r="Q610"/>
      <x:c r="R610"/>
      <x:c r="S610"/>
      <x:c r="T610"/>
      <x:c r="U610"/>
      <x:c r="V610"/>
      <x:c r="W610"/>
      <x:c r="X610"/>
      <x:c r="Y610"/>
      <x:c r="Z610"/>
      <x:c r="AA610"/>
      <x:c r="AB610"/>
      <x:c r="AC610"/>
      <x:c r="AD610"/>
      <x:c r="AE610"/>
      <x:c r="AF610"/>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x:c r="C611"/>
      <x:c r="D611"/>
      <x:c r="E611"/>
      <x:c r="F611"/>
      <x:c r="G611"/>
      <x:c r="H611"/>
      <x:c r="I611"/>
      <x:c r="J611"/>
      <x:c r="K611"/>
      <x:c r="L611"/>
      <x:c r="M611"/>
      <x:c r="N611"/>
      <x:c r="O611"/>
      <x:c r="P611"/>
      <x:c r="Q611"/>
      <x:c r="R611"/>
      <x:c r="S611"/>
      <x:c r="T611"/>
      <x:c r="U611"/>
      <x:c r="V611"/>
      <x:c r="W611"/>
      <x:c r="X611"/>
      <x:c r="Y611"/>
      <x:c r="Z611"/>
      <x:c r="AA611"/>
      <x:c r="AB611"/>
      <x:c r="AC611"/>
      <x:c r="AD611"/>
      <x:c r="AE611"/>
      <x:c r="AF611"/>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x:c r="C612"/>
      <x:c r="D612"/>
      <x:c r="E612"/>
      <x:c r="F612"/>
      <x:c r="G612"/>
      <x:c r="H612"/>
      <x:c r="I612"/>
      <x:c r="J612"/>
      <x:c r="K612"/>
      <x:c r="L612"/>
      <x:c r="M612"/>
      <x:c r="N612"/>
      <x:c r="O612"/>
      <x:c r="P612"/>
      <x:c r="Q612"/>
      <x:c r="R612"/>
      <x:c r="S612"/>
      <x:c r="T612"/>
      <x:c r="U612"/>
      <x:c r="V612"/>
      <x:c r="W612"/>
      <x:c r="X612"/>
      <x:c r="Y612"/>
      <x:c r="Z612"/>
      <x:c r="AA612"/>
      <x:c r="AB612"/>
      <x:c r="AC612"/>
      <x:c r="AD612"/>
      <x:c r="AE612"/>
      <x:c r="AF612"/>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x:c r="C613"/>
      <x:c r="D613"/>
      <x:c r="E613"/>
      <x:c r="F613"/>
      <x:c r="G613"/>
      <x:c r="H613"/>
      <x:c r="I613"/>
      <x:c r="J613"/>
      <x:c r="K613"/>
      <x:c r="L613"/>
      <x:c r="M613"/>
      <x:c r="N613"/>
      <x:c r="O613"/>
      <x:c r="P613"/>
      <x:c r="Q613"/>
      <x:c r="R613"/>
      <x:c r="S613"/>
      <x:c r="T613"/>
      <x:c r="U613"/>
      <x:c r="V613"/>
      <x:c r="W613"/>
      <x:c r="X613"/>
      <x:c r="Y613"/>
      <x:c r="Z613"/>
      <x:c r="AA613"/>
      <x:c r="AB613"/>
      <x:c r="AC613"/>
      <x:c r="AD613"/>
      <x:c r="AE613"/>
      <x:c r="AF613"/>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x:c r="C614"/>
      <x:c r="D614"/>
      <x:c r="E614"/>
      <x:c r="F614"/>
      <x:c r="G614"/>
      <x:c r="H614"/>
      <x:c r="I614"/>
      <x:c r="J614"/>
      <x:c r="K614"/>
      <x:c r="L614"/>
      <x:c r="M614"/>
      <x:c r="N614"/>
      <x:c r="O614"/>
      <x:c r="P614"/>
      <x:c r="Q614"/>
      <x:c r="R614"/>
      <x:c r="S614"/>
      <x:c r="T614"/>
      <x:c r="U614"/>
      <x:c r="V614"/>
      <x:c r="W614"/>
      <x:c r="X614"/>
      <x:c r="Y614"/>
      <x:c r="Z614"/>
      <x:c r="AA614"/>
      <x:c r="AB614"/>
      <x:c r="AC614"/>
      <x:c r="AD614"/>
      <x:c r="AE614"/>
      <x:c r="AF614"/>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x:c r="C615"/>
      <x:c r="D615"/>
      <x:c r="E615"/>
      <x:c r="F615"/>
      <x:c r="G615"/>
      <x:c r="H615"/>
      <x:c r="I615"/>
      <x:c r="J615"/>
      <x:c r="K615"/>
      <x:c r="L615"/>
      <x:c r="M615"/>
      <x:c r="N615"/>
      <x:c r="O615"/>
      <x:c r="P615"/>
      <x:c r="Q615"/>
      <x:c r="R615"/>
      <x:c r="S615"/>
      <x:c r="T615"/>
      <x:c r="U615"/>
      <x:c r="V615"/>
      <x:c r="W615"/>
      <x:c r="X615"/>
      <x:c r="Y615"/>
      <x:c r="Z615"/>
      <x:c r="AA615"/>
      <x:c r="AB615"/>
      <x:c r="AC615"/>
      <x:c r="AD615"/>
      <x:c r="AE615"/>
      <x:c r="AF615"/>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x:c r="C616"/>
      <x:c r="D616"/>
      <x:c r="E616"/>
      <x:c r="F616"/>
      <x:c r="G616"/>
      <x:c r="H616"/>
      <x:c r="I616"/>
      <x:c r="J616"/>
      <x:c r="K616"/>
      <x:c r="L616"/>
      <x:c r="M616"/>
      <x:c r="N616"/>
      <x:c r="O616"/>
      <x:c r="P616"/>
      <x:c r="Q616"/>
      <x:c r="R616"/>
      <x:c r="S616"/>
      <x:c r="T616"/>
      <x:c r="U616"/>
      <x:c r="V616"/>
      <x:c r="W616"/>
      <x:c r="X616"/>
      <x:c r="Y616"/>
      <x:c r="Z616"/>
      <x:c r="AA616"/>
      <x:c r="AB616"/>
      <x:c r="AC616"/>
      <x:c r="AD616"/>
      <x:c r="AE616"/>
      <x:c r="AF616"/>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x:c r="C617"/>
      <x:c r="D617"/>
      <x:c r="E617"/>
      <x:c r="F617"/>
      <x:c r="G617"/>
      <x:c r="H617"/>
      <x:c r="I617"/>
      <x:c r="J617"/>
      <x:c r="K617"/>
      <x:c r="L617"/>
      <x:c r="M617"/>
      <x:c r="N617"/>
      <x:c r="O617"/>
      <x:c r="P617"/>
      <x:c r="Q617"/>
      <x:c r="R617"/>
      <x:c r="S617"/>
      <x:c r="T617"/>
      <x:c r="U617"/>
      <x:c r="V617"/>
      <x:c r="W617"/>
      <x:c r="X617"/>
      <x:c r="Y617"/>
      <x:c r="Z617"/>
      <x:c r="AA617"/>
      <x:c r="AB617"/>
      <x:c r="AC617"/>
      <x:c r="AD617"/>
      <x:c r="AE617"/>
      <x:c r="AF617"/>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x:c r="C618"/>
      <x:c r="D618"/>
      <x:c r="E618"/>
      <x:c r="F618"/>
      <x:c r="G618"/>
      <x:c r="H618"/>
      <x:c r="I618"/>
      <x:c r="J618"/>
      <x:c r="K618"/>
      <x:c r="L618"/>
      <x:c r="M618"/>
      <x:c r="N618"/>
      <x:c r="O618"/>
      <x:c r="P618"/>
      <x:c r="Q618"/>
      <x:c r="R618"/>
      <x:c r="S618"/>
      <x:c r="T618"/>
      <x:c r="U618"/>
      <x:c r="V618"/>
      <x:c r="W618"/>
      <x:c r="X618"/>
      <x:c r="Y618"/>
      <x:c r="Z618"/>
      <x:c r="AA618"/>
      <x:c r="AB618"/>
      <x:c r="AC618"/>
      <x:c r="AD618"/>
      <x:c r="AE618"/>
      <x:c r="AF618"/>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x:c r="C619"/>
      <x:c r="D619"/>
      <x:c r="E619"/>
      <x:c r="F619"/>
      <x:c r="G619"/>
      <x:c r="H619"/>
      <x:c r="I619"/>
      <x:c r="J619"/>
      <x:c r="K619"/>
      <x:c r="L619"/>
      <x:c r="M619"/>
      <x:c r="N619"/>
      <x:c r="O619"/>
      <x:c r="P619"/>
      <x:c r="Q619"/>
      <x:c r="R619"/>
      <x:c r="S619"/>
      <x:c r="T619"/>
      <x:c r="U619"/>
      <x:c r="V619"/>
      <x:c r="W619"/>
      <x:c r="X619"/>
      <x:c r="Y619"/>
      <x:c r="Z619"/>
      <x:c r="AA619"/>
      <x:c r="AB619"/>
      <x:c r="AC619"/>
      <x:c r="AD619"/>
      <x:c r="AE619"/>
      <x:c r="AF619"/>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x:c r="C620"/>
      <x:c r="D620"/>
      <x:c r="E620"/>
      <x:c r="F620"/>
      <x:c r="G620"/>
      <x:c r="H620"/>
      <x:c r="I620"/>
      <x:c r="J620"/>
      <x:c r="K620"/>
      <x:c r="L620"/>
      <x:c r="M620"/>
      <x:c r="N620"/>
      <x:c r="O620"/>
      <x:c r="P620"/>
      <x:c r="Q620"/>
      <x:c r="R620"/>
      <x:c r="S620"/>
      <x:c r="T620"/>
      <x:c r="U620"/>
      <x:c r="V620"/>
      <x:c r="W620"/>
      <x:c r="X620"/>
      <x:c r="Y620"/>
      <x:c r="Z620"/>
      <x:c r="AA620"/>
      <x:c r="AB620"/>
      <x:c r="AC620"/>
      <x:c r="AD620"/>
      <x:c r="AE620"/>
      <x:c r="AF620"/>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x:c r="C621"/>
      <x:c r="D621"/>
      <x:c r="E621"/>
      <x:c r="F621"/>
      <x:c r="G621"/>
      <x:c r="H621"/>
      <x:c r="I621"/>
      <x:c r="J621"/>
      <x:c r="K621"/>
      <x:c r="L621"/>
      <x:c r="M621"/>
      <x:c r="N621"/>
      <x:c r="O621"/>
      <x:c r="P621"/>
      <x:c r="Q621"/>
      <x:c r="R621"/>
      <x:c r="S621"/>
      <x:c r="T621"/>
      <x:c r="U621"/>
      <x:c r="V621"/>
      <x:c r="W621"/>
      <x:c r="X621"/>
      <x:c r="Y621"/>
      <x:c r="Z621"/>
      <x:c r="AA621"/>
      <x:c r="AB621"/>
      <x:c r="AC621"/>
      <x:c r="AD621"/>
      <x:c r="AE621"/>
      <x:c r="AF621"/>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x:c r="C622"/>
      <x:c r="D622"/>
      <x:c r="E622"/>
      <x:c r="F622"/>
      <x:c r="G622"/>
      <x:c r="H622"/>
      <x:c r="I622"/>
      <x:c r="J622"/>
      <x:c r="K622"/>
      <x:c r="L622"/>
      <x:c r="M622"/>
      <x:c r="N622"/>
      <x:c r="O622"/>
      <x:c r="P622"/>
      <x:c r="Q622"/>
      <x:c r="R622"/>
      <x:c r="S622"/>
      <x:c r="T622"/>
      <x:c r="U622"/>
      <x:c r="V622"/>
      <x:c r="W622"/>
      <x:c r="X622"/>
      <x:c r="Y622"/>
      <x:c r="Z622"/>
      <x:c r="AA622"/>
      <x:c r="AB622"/>
      <x:c r="AC622"/>
      <x:c r="AD622"/>
      <x:c r="AE622"/>
      <x:c r="AF622"/>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x:c r="C623"/>
      <x:c r="D623"/>
      <x:c r="E623"/>
      <x:c r="F623"/>
      <x:c r="G623"/>
      <x:c r="H623"/>
      <x:c r="I623"/>
      <x:c r="J623"/>
      <x:c r="K623"/>
      <x:c r="L623"/>
      <x:c r="M623"/>
      <x:c r="N623"/>
      <x:c r="O623"/>
      <x:c r="P623"/>
      <x:c r="Q623"/>
      <x:c r="R623"/>
      <x:c r="S623"/>
      <x:c r="T623"/>
      <x:c r="U623"/>
      <x:c r="V623"/>
      <x:c r="W623"/>
      <x:c r="X623"/>
      <x:c r="Y623"/>
      <x:c r="Z623"/>
      <x:c r="AA623"/>
      <x:c r="AB623"/>
      <x:c r="AC623"/>
      <x:c r="AD623"/>
      <x:c r="AE623"/>
      <x:c r="AF623"/>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x:c r="C624"/>
      <x:c r="D624"/>
      <x:c r="E624"/>
      <x:c r="F624"/>
      <x:c r="G624"/>
      <x:c r="H624"/>
      <x:c r="I624"/>
      <x:c r="J624"/>
      <x:c r="K624"/>
      <x:c r="L624"/>
      <x:c r="M624"/>
      <x:c r="N624"/>
      <x:c r="O624"/>
      <x:c r="P624"/>
      <x:c r="Q624"/>
      <x:c r="R624"/>
      <x:c r="S624"/>
      <x:c r="T624"/>
      <x:c r="U624"/>
      <x:c r="V624"/>
      <x:c r="W624"/>
      <x:c r="X624"/>
      <x:c r="Y624"/>
      <x:c r="Z624"/>
      <x:c r="AA624"/>
      <x:c r="AB624"/>
      <x:c r="AC624"/>
      <x:c r="AD624"/>
      <x:c r="AE624"/>
      <x:c r="AF624"/>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x:c r="C625"/>
      <x:c r="D625"/>
      <x:c r="E625"/>
      <x:c r="F625"/>
      <x:c r="G625"/>
      <x:c r="H625"/>
      <x:c r="I625"/>
      <x:c r="J625"/>
      <x:c r="K625"/>
      <x:c r="L625"/>
      <x:c r="M625"/>
      <x:c r="N625"/>
      <x:c r="O625"/>
      <x:c r="P625"/>
      <x:c r="Q625"/>
      <x:c r="R625"/>
      <x:c r="S625"/>
      <x:c r="T625"/>
      <x:c r="U625"/>
      <x:c r="V625"/>
      <x:c r="W625"/>
      <x:c r="X625"/>
      <x:c r="Y625"/>
      <x:c r="Z625"/>
      <x:c r="AA625"/>
      <x:c r="AB625"/>
      <x:c r="AC625"/>
      <x:c r="AD625"/>
      <x:c r="AE625"/>
      <x:c r="AF625"/>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x:c r="C626"/>
      <x:c r="D626"/>
      <x:c r="E626"/>
      <x:c r="F626"/>
      <x:c r="G626"/>
      <x:c r="H626"/>
      <x:c r="I626"/>
      <x:c r="J626"/>
      <x:c r="K626"/>
      <x:c r="L626"/>
      <x:c r="M626"/>
      <x:c r="N626"/>
      <x:c r="O626"/>
      <x:c r="P626"/>
      <x:c r="Q626"/>
      <x:c r="R626"/>
      <x:c r="S626"/>
      <x:c r="T626"/>
      <x:c r="U626"/>
      <x:c r="V626"/>
      <x:c r="W626"/>
      <x:c r="X626"/>
      <x:c r="Y626"/>
      <x:c r="Z626"/>
      <x:c r="AA626"/>
      <x:c r="AB626"/>
      <x:c r="AC626"/>
      <x:c r="AD626"/>
      <x:c r="AE626"/>
      <x:c r="AF626"/>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x:c r="C627"/>
      <x:c r="D627"/>
      <x:c r="E627"/>
      <x:c r="F627"/>
      <x:c r="G627"/>
      <x:c r="H627"/>
      <x:c r="I627"/>
      <x:c r="J627"/>
      <x:c r="K627"/>
      <x:c r="L627"/>
      <x:c r="M627"/>
      <x:c r="N627"/>
      <x:c r="O627"/>
      <x:c r="P627"/>
      <x:c r="Q627"/>
      <x:c r="R627"/>
      <x:c r="S627"/>
      <x:c r="T627"/>
      <x:c r="U627"/>
      <x:c r="V627"/>
      <x:c r="W627"/>
      <x:c r="X627"/>
      <x:c r="Y627"/>
      <x:c r="Z627"/>
      <x:c r="AA627"/>
      <x:c r="AB627"/>
      <x:c r="AC627"/>
      <x:c r="AD627"/>
      <x:c r="AE627"/>
      <x:c r="AF627"/>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x:c r="C628"/>
      <x:c r="D628"/>
      <x:c r="E628"/>
      <x:c r="F628"/>
      <x:c r="G628"/>
      <x:c r="H628"/>
      <x:c r="I628"/>
      <x:c r="J628"/>
      <x:c r="K628"/>
      <x:c r="L628"/>
      <x:c r="M628"/>
      <x:c r="N628"/>
      <x:c r="O628"/>
      <x:c r="P628"/>
      <x:c r="Q628"/>
      <x:c r="R628"/>
      <x:c r="S628"/>
      <x:c r="T628"/>
      <x:c r="U628"/>
      <x:c r="V628"/>
      <x:c r="W628"/>
      <x:c r="X628"/>
      <x:c r="Y628"/>
      <x:c r="Z628"/>
      <x:c r="AA628"/>
      <x:c r="AB628"/>
      <x:c r="AC628"/>
      <x:c r="AD628"/>
      <x:c r="AE628"/>
      <x:c r="AF628"/>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x:c r="C629"/>
      <x:c r="D629"/>
      <x:c r="E629"/>
      <x:c r="F629"/>
      <x:c r="G629"/>
      <x:c r="H629"/>
      <x:c r="I629"/>
      <x:c r="J629"/>
      <x:c r="K629"/>
      <x:c r="L629"/>
      <x:c r="M629"/>
      <x:c r="N629"/>
      <x:c r="O629"/>
      <x:c r="P629"/>
      <x:c r="Q629"/>
      <x:c r="R629"/>
      <x:c r="S629"/>
      <x:c r="T629"/>
      <x:c r="U629"/>
      <x:c r="V629"/>
      <x:c r="W629"/>
      <x:c r="X629"/>
      <x:c r="Y629"/>
      <x:c r="Z629"/>
      <x:c r="AA629"/>
      <x:c r="AB629"/>
      <x:c r="AC629"/>
      <x:c r="AD629"/>
      <x:c r="AE629"/>
      <x:c r="AF629"/>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x:c r="C630"/>
      <x:c r="D630"/>
      <x:c r="E630"/>
      <x:c r="F630"/>
      <x:c r="G630"/>
      <x:c r="H630"/>
      <x:c r="I630"/>
      <x:c r="J630"/>
      <x:c r="K630"/>
      <x:c r="L630"/>
      <x:c r="M630"/>
      <x:c r="N630"/>
      <x:c r="O630"/>
      <x:c r="P630"/>
      <x:c r="Q630"/>
      <x:c r="R630"/>
      <x:c r="S630"/>
      <x:c r="T630"/>
      <x:c r="U630"/>
      <x:c r="V630"/>
      <x:c r="W630"/>
      <x:c r="X630"/>
      <x:c r="Y630"/>
      <x:c r="Z630"/>
      <x:c r="AA630"/>
      <x:c r="AB630"/>
      <x:c r="AC630"/>
      <x:c r="AD630"/>
      <x:c r="AE630"/>
      <x:c r="AF630"/>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x:c r="C631"/>
      <x:c r="D631"/>
      <x:c r="E631"/>
      <x:c r="F631"/>
      <x:c r="G631"/>
      <x:c r="H631"/>
      <x:c r="I631"/>
      <x:c r="J631"/>
      <x:c r="K631"/>
      <x:c r="L631"/>
      <x:c r="M631"/>
      <x:c r="N631"/>
      <x:c r="O631"/>
      <x:c r="P631"/>
      <x:c r="Q631"/>
      <x:c r="R631"/>
      <x:c r="S631"/>
      <x:c r="T631"/>
      <x:c r="U631"/>
      <x:c r="V631"/>
      <x:c r="W631"/>
      <x:c r="X631"/>
      <x:c r="Y631"/>
      <x:c r="Z631"/>
      <x:c r="AA631"/>
      <x:c r="AB631"/>
      <x:c r="AC631"/>
      <x:c r="AD631"/>
      <x:c r="AE631"/>
      <x:c r="AF631"/>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x:c r="C632"/>
      <x:c r="D632"/>
      <x:c r="E632"/>
      <x:c r="F632"/>
      <x:c r="G632"/>
      <x:c r="H632"/>
      <x:c r="I632"/>
      <x:c r="J632"/>
      <x:c r="K632"/>
      <x:c r="L632"/>
      <x:c r="M632"/>
      <x:c r="N632"/>
      <x:c r="O632"/>
      <x:c r="P632"/>
      <x:c r="Q632"/>
      <x:c r="R632"/>
      <x:c r="S632"/>
      <x:c r="T632"/>
      <x:c r="U632"/>
      <x:c r="V632"/>
      <x:c r="W632"/>
      <x:c r="X632"/>
      <x:c r="Y632"/>
      <x:c r="Z632"/>
      <x:c r="AA632"/>
      <x:c r="AB632"/>
      <x:c r="AC632"/>
      <x:c r="AD632"/>
      <x:c r="AE632"/>
      <x:c r="AF632"/>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x:c r="C633"/>
      <x:c r="D633"/>
      <x:c r="E633"/>
      <x:c r="F633"/>
      <x:c r="G633"/>
      <x:c r="H633"/>
      <x:c r="I633"/>
      <x:c r="J633"/>
      <x:c r="K633"/>
      <x:c r="L633"/>
      <x:c r="M633"/>
      <x:c r="N633"/>
      <x:c r="O633"/>
      <x:c r="P633"/>
      <x:c r="Q633"/>
      <x:c r="R633"/>
      <x:c r="S633"/>
      <x:c r="T633"/>
      <x:c r="U633"/>
      <x:c r="V633"/>
      <x:c r="W633"/>
      <x:c r="X633"/>
      <x:c r="Y633"/>
      <x:c r="Z633"/>
      <x:c r="AA633"/>
      <x:c r="AB633"/>
      <x:c r="AC633"/>
      <x:c r="AD633"/>
      <x:c r="AE633"/>
      <x:c r="AF633"/>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C634"/>
      <x:c r="D634"/>
      <x:c r="E634"/>
      <x:c r="F634"/>
      <x:c r="G634"/>
      <x:c r="H634"/>
      <x:c r="I634"/>
      <x:c r="J634"/>
      <x:c r="K634"/>
      <x:c r="L634"/>
      <x:c r="M634"/>
      <x:c r="N634"/>
      <x:c r="O634"/>
      <x:c r="P634"/>
      <x:c r="Q634"/>
      <x:c r="R634"/>
      <x:c r="S634"/>
      <x:c r="T634"/>
      <x:c r="U634"/>
      <x:c r="V634"/>
      <x:c r="W634"/>
      <x:c r="X634"/>
      <x:c r="Y634"/>
      <x:c r="Z634"/>
      <x:c r="AA634"/>
      <x:c r="AB634"/>
      <x:c r="AC634"/>
      <x:c r="AD634"/>
      <x:c r="AE634"/>
      <x:c r="AF63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x:c r="C635"/>
      <x:c r="D635"/>
      <x:c r="E635"/>
      <x:c r="F635"/>
      <x:c r="G635"/>
      <x:c r="H635"/>
      <x:c r="I635"/>
      <x:c r="J635"/>
      <x:c r="K635"/>
      <x:c r="L635"/>
      <x:c r="M635"/>
      <x:c r="N635"/>
      <x:c r="O635"/>
      <x:c r="P635"/>
      <x:c r="Q635"/>
      <x:c r="R635"/>
      <x:c r="S635"/>
      <x:c r="T635"/>
      <x:c r="U635"/>
      <x:c r="V635"/>
      <x:c r="W635"/>
      <x:c r="X635"/>
      <x:c r="Y635"/>
      <x:c r="Z635"/>
      <x:c r="AA635"/>
      <x:c r="AB635"/>
      <x:c r="AC635"/>
      <x:c r="AD635"/>
      <x:c r="AE635"/>
      <x:c r="AF635"/>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x:c r="C636"/>
      <x:c r="D636"/>
      <x:c r="E636"/>
      <x:c r="F636"/>
      <x:c r="G636"/>
      <x:c r="H636"/>
      <x:c r="I636"/>
      <x:c r="J636"/>
      <x:c r="K636"/>
      <x:c r="L636"/>
      <x:c r="M636"/>
      <x:c r="N636"/>
      <x:c r="O636"/>
      <x:c r="P636"/>
      <x:c r="Q636"/>
      <x:c r="R636"/>
      <x:c r="S636"/>
      <x:c r="T636"/>
      <x:c r="U636"/>
      <x:c r="V636"/>
      <x:c r="W636"/>
      <x:c r="X636"/>
      <x:c r="Y636"/>
      <x:c r="Z636"/>
      <x:c r="AA636"/>
      <x:c r="AB636"/>
      <x:c r="AC636"/>
      <x:c r="AD636"/>
      <x:c r="AE636"/>
      <x:c r="AF636"/>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x:c r="C637"/>
      <x:c r="D637"/>
      <x:c r="E637"/>
      <x:c r="F637"/>
      <x:c r="G637"/>
      <x:c r="H637"/>
      <x:c r="I637"/>
      <x:c r="J637"/>
      <x:c r="K637"/>
      <x:c r="L637"/>
      <x:c r="M637"/>
      <x:c r="N637"/>
      <x:c r="O637"/>
      <x:c r="P637"/>
      <x:c r="Q637"/>
      <x:c r="R637"/>
      <x:c r="S637"/>
      <x:c r="T637"/>
      <x:c r="U637"/>
      <x:c r="V637"/>
      <x:c r="W637"/>
      <x:c r="X637"/>
      <x:c r="Y637"/>
      <x:c r="Z637"/>
      <x:c r="AA637"/>
      <x:c r="AB637"/>
      <x:c r="AC637"/>
      <x:c r="AD637"/>
      <x:c r="AE637"/>
      <x:c r="AF637"/>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x:c r="C638"/>
      <x:c r="D638"/>
      <x:c r="E638"/>
      <x:c r="F638"/>
      <x:c r="G638"/>
      <x:c r="H638"/>
      <x:c r="I638"/>
      <x:c r="J638"/>
      <x:c r="K638"/>
      <x:c r="L638"/>
      <x:c r="M638"/>
      <x:c r="N638"/>
      <x:c r="O638"/>
      <x:c r="P638"/>
      <x:c r="Q638"/>
      <x:c r="R638"/>
      <x:c r="S638"/>
      <x:c r="T638"/>
      <x:c r="U638"/>
      <x:c r="V638"/>
      <x:c r="W638"/>
      <x:c r="X638"/>
      <x:c r="Y638"/>
      <x:c r="Z638"/>
      <x:c r="AA638"/>
      <x:c r="AB638"/>
      <x:c r="AC638"/>
      <x:c r="AD638"/>
      <x:c r="AE638"/>
      <x:c r="AF638"/>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x:c r="C639"/>
      <x:c r="D639"/>
      <x:c r="E639"/>
      <x:c r="F639"/>
      <x:c r="G639"/>
      <x:c r="H639"/>
      <x:c r="I639"/>
      <x:c r="J639"/>
      <x:c r="K639"/>
      <x:c r="L639"/>
      <x:c r="M639"/>
      <x:c r="N639"/>
      <x:c r="O639"/>
      <x:c r="P639"/>
      <x:c r="Q639"/>
      <x:c r="R639"/>
      <x:c r="S639"/>
      <x:c r="T639"/>
      <x:c r="U639"/>
      <x:c r="V639"/>
      <x:c r="W639"/>
      <x:c r="X639"/>
      <x:c r="Y639"/>
      <x:c r="Z639"/>
      <x:c r="AA639"/>
      <x:c r="AB639"/>
      <x:c r="AC639"/>
      <x:c r="AD639"/>
      <x:c r="AE639"/>
      <x:c r="AF639"/>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C640"/>
      <x:c r="D640"/>
      <x:c r="E640"/>
      <x:c r="F640"/>
      <x:c r="G640"/>
      <x:c r="H640"/>
      <x:c r="I640"/>
      <x:c r="J640"/>
      <x:c r="K640"/>
      <x:c r="L640"/>
      <x:c r="M640"/>
      <x:c r="N640"/>
      <x:c r="O640"/>
      <x:c r="P640"/>
      <x:c r="Q640"/>
      <x:c r="R640"/>
      <x:c r="S640"/>
      <x:c r="T640"/>
      <x:c r="U640"/>
      <x:c r="V640"/>
      <x:c r="W640"/>
      <x:c r="X640"/>
      <x:c r="Y640"/>
      <x:c r="Z640"/>
      <x:c r="AA640"/>
      <x:c r="AB640"/>
      <x:c r="AC640"/>
      <x:c r="AD640"/>
      <x:c r="AE640"/>
      <x:c r="AF640"/>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x:c r="C641"/>
      <x:c r="D641"/>
      <x:c r="E641"/>
      <x:c r="F641"/>
      <x:c r="G641"/>
      <x:c r="H641"/>
      <x:c r="I641"/>
      <x:c r="J641"/>
      <x:c r="K641"/>
      <x:c r="L641"/>
      <x:c r="M641"/>
      <x:c r="N641"/>
      <x:c r="O641"/>
      <x:c r="P641"/>
      <x:c r="Q641"/>
      <x:c r="R641"/>
      <x:c r="S641"/>
      <x:c r="T641"/>
      <x:c r="U641"/>
      <x:c r="V641"/>
      <x:c r="W641"/>
      <x:c r="X641"/>
      <x:c r="Y641"/>
      <x:c r="Z641"/>
      <x:c r="AA641"/>
      <x:c r="AB641"/>
      <x:c r="AC641"/>
      <x:c r="AD641"/>
      <x:c r="AE641"/>
      <x:c r="AF641"/>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x:c r="C642"/>
      <x:c r="D642"/>
      <x:c r="E642"/>
      <x:c r="F642"/>
      <x:c r="G642"/>
      <x:c r="H642"/>
      <x:c r="I642"/>
      <x:c r="J642"/>
      <x:c r="K642"/>
      <x:c r="L642"/>
      <x:c r="M642"/>
      <x:c r="N642"/>
      <x:c r="O642"/>
      <x:c r="P642"/>
      <x:c r="Q642"/>
      <x:c r="R642"/>
      <x:c r="S642"/>
      <x:c r="T642"/>
      <x:c r="U642"/>
      <x:c r="V642"/>
      <x:c r="W642"/>
      <x:c r="X642"/>
      <x:c r="Y642"/>
      <x:c r="Z642"/>
      <x:c r="AA642"/>
      <x:c r="AB642"/>
      <x:c r="AC642"/>
      <x:c r="AD642"/>
      <x:c r="AE642"/>
      <x:c r="AF642"/>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x:c r="C643"/>
      <x:c r="D643"/>
      <x:c r="E643"/>
      <x:c r="F643"/>
      <x:c r="G643"/>
      <x:c r="H643"/>
      <x:c r="I643"/>
      <x:c r="J643"/>
      <x:c r="K643"/>
      <x:c r="L643"/>
      <x:c r="M643"/>
      <x:c r="N643"/>
      <x:c r="O643"/>
      <x:c r="P643"/>
      <x:c r="Q643"/>
      <x:c r="R643"/>
      <x:c r="S643"/>
      <x:c r="T643"/>
      <x:c r="U643"/>
      <x:c r="V643"/>
      <x:c r="W643"/>
      <x:c r="X643"/>
      <x:c r="Y643"/>
      <x:c r="Z643"/>
      <x:c r="AA643"/>
      <x:c r="AB643"/>
      <x:c r="AC643"/>
      <x:c r="AD643"/>
      <x:c r="AE643"/>
      <x:c r="AF643"/>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x:c r="C644"/>
      <x:c r="D644"/>
      <x:c r="E644"/>
      <x:c r="F644"/>
      <x:c r="G644"/>
      <x:c r="H644"/>
      <x:c r="I644"/>
      <x:c r="J644"/>
      <x:c r="K644"/>
      <x:c r="L644"/>
      <x:c r="M644"/>
      <x:c r="N644"/>
      <x:c r="O644"/>
      <x:c r="P644"/>
      <x:c r="Q644"/>
      <x:c r="R644"/>
      <x:c r="S644"/>
      <x:c r="T644"/>
      <x:c r="U644"/>
      <x:c r="V644"/>
      <x:c r="W644"/>
      <x:c r="X644"/>
      <x:c r="Y644"/>
      <x:c r="Z644"/>
      <x:c r="AA644"/>
      <x:c r="AB644"/>
      <x:c r="AC644"/>
      <x:c r="AD644"/>
      <x:c r="AE644"/>
      <x:c r="AF644"/>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x:c r="C645"/>
      <x:c r="D645"/>
      <x:c r="E645"/>
      <x:c r="F645"/>
      <x:c r="G645"/>
      <x:c r="H645"/>
      <x:c r="I645"/>
      <x:c r="J645"/>
      <x:c r="K645"/>
      <x:c r="L645"/>
      <x:c r="M645"/>
      <x:c r="N645"/>
      <x:c r="O645"/>
      <x:c r="P645"/>
      <x:c r="Q645"/>
      <x:c r="R645"/>
      <x:c r="S645"/>
      <x:c r="T645"/>
      <x:c r="U645"/>
      <x:c r="V645"/>
      <x:c r="W645"/>
      <x:c r="X645"/>
      <x:c r="Y645"/>
      <x:c r="Z645"/>
      <x:c r="AA645"/>
      <x:c r="AB645"/>
      <x:c r="AC645"/>
      <x:c r="AD645"/>
      <x:c r="AE645"/>
      <x:c r="AF645"/>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x:c r="C646"/>
      <x:c r="D646"/>
      <x:c r="E646"/>
      <x:c r="F646"/>
      <x:c r="G646"/>
      <x:c r="H646"/>
      <x:c r="I646"/>
      <x:c r="J646"/>
      <x:c r="K646"/>
      <x:c r="L646"/>
      <x:c r="M646"/>
      <x:c r="N646"/>
      <x:c r="O646"/>
      <x:c r="P646"/>
      <x:c r="Q646"/>
      <x:c r="R646"/>
      <x:c r="S646"/>
      <x:c r="T646"/>
      <x:c r="U646"/>
      <x:c r="V646"/>
      <x:c r="W646"/>
      <x:c r="X646"/>
      <x:c r="Y646"/>
      <x:c r="Z646"/>
      <x:c r="AA646"/>
      <x:c r="AB646"/>
      <x:c r="AC646"/>
      <x:c r="AD646"/>
      <x:c r="AE646"/>
      <x:c r="AF646"/>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x:c r="C647"/>
      <x:c r="D647"/>
      <x:c r="E647"/>
      <x:c r="F647"/>
      <x:c r="G647"/>
      <x:c r="H647"/>
      <x:c r="I647"/>
      <x:c r="J647"/>
      <x:c r="K647"/>
      <x:c r="L647"/>
      <x:c r="M647"/>
      <x:c r="N647"/>
      <x:c r="O647"/>
      <x:c r="P647"/>
      <x:c r="Q647"/>
      <x:c r="R647"/>
      <x:c r="S647"/>
      <x:c r="T647"/>
      <x:c r="U647"/>
      <x:c r="V647"/>
      <x:c r="W647"/>
      <x:c r="X647"/>
      <x:c r="Y647"/>
      <x:c r="Z647"/>
      <x:c r="AA647"/>
      <x:c r="AB647"/>
      <x:c r="AC647"/>
      <x:c r="AD647"/>
      <x:c r="AE647"/>
      <x:c r="AF647"/>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x:c r="C648"/>
      <x:c r="D648"/>
      <x:c r="E648"/>
      <x:c r="F648"/>
      <x:c r="G648"/>
      <x:c r="H648"/>
      <x:c r="I648"/>
      <x:c r="J648"/>
      <x:c r="K648"/>
      <x:c r="L648"/>
      <x:c r="M648"/>
      <x:c r="N648"/>
      <x:c r="O648"/>
      <x:c r="P648"/>
      <x:c r="Q648"/>
      <x:c r="R648"/>
      <x:c r="S648"/>
      <x:c r="T648"/>
      <x:c r="U648"/>
      <x:c r="V648"/>
      <x:c r="W648"/>
      <x:c r="X648"/>
      <x:c r="Y648"/>
      <x:c r="Z648"/>
      <x:c r="AA648"/>
      <x:c r="AB648"/>
      <x:c r="AC648"/>
      <x:c r="AD648"/>
      <x:c r="AE648"/>
      <x:c r="AF648"/>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x:c r="C649"/>
      <x:c r="D649"/>
      <x:c r="E649"/>
      <x:c r="F649"/>
      <x:c r="G649"/>
      <x:c r="H649"/>
      <x:c r="I649"/>
      <x:c r="J649"/>
      <x:c r="K649"/>
      <x:c r="L649"/>
      <x:c r="M649"/>
      <x:c r="N649"/>
      <x:c r="O649"/>
      <x:c r="P649"/>
      <x:c r="Q649"/>
      <x:c r="R649"/>
      <x:c r="S649"/>
      <x:c r="T649"/>
      <x:c r="U649"/>
      <x:c r="V649"/>
      <x:c r="W649"/>
      <x:c r="X649"/>
      <x:c r="Y649"/>
      <x:c r="Z649"/>
      <x:c r="AA649"/>
      <x:c r="AB649"/>
      <x:c r="AC649"/>
      <x:c r="AD649"/>
      <x:c r="AE649"/>
      <x:c r="AF649"/>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x:c r="C650"/>
      <x:c r="D650"/>
      <x:c r="E650"/>
      <x:c r="F650"/>
      <x:c r="G650"/>
      <x:c r="H650"/>
      <x:c r="I650"/>
      <x:c r="J650"/>
      <x:c r="K650"/>
      <x:c r="L650"/>
      <x:c r="M650"/>
      <x:c r="N650"/>
      <x:c r="O650"/>
      <x:c r="P650"/>
      <x:c r="Q650"/>
      <x:c r="R650"/>
      <x:c r="S650"/>
      <x:c r="T650"/>
      <x:c r="U650"/>
      <x:c r="V650"/>
      <x:c r="W650"/>
      <x:c r="X650"/>
      <x:c r="Y650"/>
      <x:c r="Z650"/>
      <x:c r="AA650"/>
      <x:c r="AB650"/>
      <x:c r="AC650"/>
      <x:c r="AD650"/>
      <x:c r="AE650"/>
      <x:c r="AF650"/>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x:c r="C651"/>
      <x:c r="D651"/>
      <x:c r="E651"/>
      <x:c r="F651"/>
      <x:c r="G651"/>
      <x:c r="H651"/>
      <x:c r="I651"/>
      <x:c r="J651"/>
      <x:c r="K651"/>
      <x:c r="L651"/>
      <x:c r="M651"/>
      <x:c r="N651"/>
      <x:c r="O651"/>
      <x:c r="P651"/>
      <x:c r="Q651"/>
      <x:c r="R651"/>
      <x:c r="S651"/>
      <x:c r="T651"/>
      <x:c r="U651"/>
      <x:c r="V651"/>
      <x:c r="W651"/>
      <x:c r="X651"/>
      <x:c r="Y651"/>
      <x:c r="Z651"/>
      <x:c r="AA651"/>
      <x:c r="AB651"/>
      <x:c r="AC651"/>
      <x:c r="AD651"/>
      <x:c r="AE651"/>
      <x:c r="AF651"/>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C652"/>
      <x:c r="D652"/>
      <x:c r="E652"/>
      <x:c r="F652"/>
      <x:c r="G652"/>
      <x:c r="H652"/>
      <x:c r="I652"/>
      <x:c r="J652"/>
      <x:c r="K652"/>
      <x:c r="L652"/>
      <x:c r="M652"/>
      <x:c r="N652"/>
      <x:c r="O652"/>
      <x:c r="P652"/>
      <x:c r="Q652"/>
      <x:c r="R652"/>
      <x:c r="S652"/>
      <x:c r="T652"/>
      <x:c r="U652"/>
      <x:c r="V652"/>
      <x:c r="W652"/>
      <x:c r="X652"/>
      <x:c r="Y652"/>
      <x:c r="Z652"/>
      <x:c r="AA652"/>
      <x:c r="AB652"/>
      <x:c r="AC652"/>
      <x:c r="AD652"/>
      <x:c r="AE652"/>
      <x:c r="AF652"/>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x:c r="C653"/>
      <x:c r="D653"/>
      <x:c r="E653"/>
      <x:c r="F653"/>
      <x:c r="G653"/>
      <x:c r="H653"/>
      <x:c r="I653"/>
      <x:c r="J653"/>
      <x:c r="K653"/>
      <x:c r="L653"/>
      <x:c r="M653"/>
      <x:c r="N653"/>
      <x:c r="O653"/>
      <x:c r="P653"/>
      <x:c r="Q653"/>
      <x:c r="R653"/>
      <x:c r="S653"/>
      <x:c r="T653"/>
      <x:c r="U653"/>
      <x:c r="V653"/>
      <x:c r="W653"/>
      <x:c r="X653"/>
      <x:c r="Y653"/>
      <x:c r="Z653"/>
      <x:c r="AA653"/>
      <x:c r="AB653"/>
      <x:c r="AC653"/>
      <x:c r="AD653"/>
      <x:c r="AE653"/>
      <x:c r="AF653"/>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C654"/>
      <x:c r="D654"/>
      <x:c r="E654"/>
      <x:c r="F654"/>
      <x:c r="G654"/>
      <x:c r="H654"/>
      <x:c r="I654"/>
      <x:c r="J654"/>
      <x:c r="K654"/>
      <x:c r="L654"/>
      <x:c r="M654"/>
      <x:c r="N654"/>
      <x:c r="O654"/>
      <x:c r="P654"/>
      <x:c r="Q654"/>
      <x:c r="R654"/>
      <x:c r="S654"/>
      <x:c r="T654"/>
      <x:c r="U654"/>
      <x:c r="V654"/>
      <x:c r="W654"/>
      <x:c r="X654"/>
      <x:c r="Y654"/>
      <x:c r="Z654"/>
      <x:c r="AA654"/>
      <x:c r="AB654"/>
      <x:c r="AC654"/>
      <x:c r="AD654"/>
      <x:c r="AE654"/>
      <x:c r="AF65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x:c r="C655"/>
      <x:c r="D655"/>
      <x:c r="E655"/>
      <x:c r="F655"/>
      <x:c r="G655"/>
      <x:c r="H655"/>
      <x:c r="I655"/>
      <x:c r="J655"/>
      <x:c r="K655"/>
      <x:c r="L655"/>
      <x:c r="M655"/>
      <x:c r="N655"/>
      <x:c r="O655"/>
      <x:c r="P655"/>
      <x:c r="Q655"/>
      <x:c r="R655"/>
      <x:c r="S655"/>
      <x:c r="T655"/>
      <x:c r="U655"/>
      <x:c r="V655"/>
      <x:c r="W655"/>
      <x:c r="X655"/>
      <x:c r="Y655"/>
      <x:c r="Z655"/>
      <x:c r="AA655"/>
      <x:c r="AB655"/>
      <x:c r="AC655"/>
      <x:c r="AD655"/>
      <x:c r="AE655"/>
      <x:c r="AF655"/>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x:c r="C656"/>
      <x:c r="D656"/>
      <x:c r="E656"/>
      <x:c r="F656"/>
      <x:c r="G656"/>
      <x:c r="H656"/>
      <x:c r="I656"/>
      <x:c r="J656"/>
      <x:c r="K656"/>
      <x:c r="L656"/>
      <x:c r="M656"/>
      <x:c r="N656"/>
      <x:c r="O656"/>
      <x:c r="P656"/>
      <x:c r="Q656"/>
      <x:c r="R656"/>
      <x:c r="S656"/>
      <x:c r="T656"/>
      <x:c r="U656"/>
      <x:c r="V656"/>
      <x:c r="W656"/>
      <x:c r="X656"/>
      <x:c r="Y656"/>
      <x:c r="Z656"/>
      <x:c r="AA656"/>
      <x:c r="AB656"/>
      <x:c r="AC656"/>
      <x:c r="AD656"/>
      <x:c r="AE656"/>
      <x:c r="AF656"/>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x:c r="C657"/>
      <x:c r="D657"/>
      <x:c r="E657"/>
      <x:c r="F657"/>
      <x:c r="G657"/>
      <x:c r="H657"/>
      <x:c r="I657"/>
      <x:c r="J657"/>
      <x:c r="K657"/>
      <x:c r="L657"/>
      <x:c r="M657"/>
      <x:c r="N657"/>
      <x:c r="O657"/>
      <x:c r="P657"/>
      <x:c r="Q657"/>
      <x:c r="R657"/>
      <x:c r="S657"/>
      <x:c r="T657"/>
      <x:c r="U657"/>
      <x:c r="V657"/>
      <x:c r="W657"/>
      <x:c r="X657"/>
      <x:c r="Y657"/>
      <x:c r="Z657"/>
      <x:c r="AA657"/>
      <x:c r="AB657"/>
      <x:c r="AC657"/>
      <x:c r="AD657"/>
      <x:c r="AE657"/>
      <x:c r="AF657"/>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x:c r="C658"/>
      <x:c r="D658"/>
      <x:c r="E658"/>
      <x:c r="F658"/>
      <x:c r="G658"/>
      <x:c r="H658"/>
      <x:c r="I658"/>
      <x:c r="J658"/>
      <x:c r="K658"/>
      <x:c r="L658"/>
      <x:c r="M658"/>
      <x:c r="N658"/>
      <x:c r="O658"/>
      <x:c r="P658"/>
      <x:c r="Q658"/>
      <x:c r="R658"/>
      <x:c r="S658"/>
      <x:c r="T658"/>
      <x:c r="U658"/>
      <x:c r="V658"/>
      <x:c r="W658"/>
      <x:c r="X658"/>
      <x:c r="Y658"/>
      <x:c r="Z658"/>
      <x:c r="AA658"/>
      <x:c r="AB658"/>
      <x:c r="AC658"/>
      <x:c r="AD658"/>
      <x:c r="AE658"/>
      <x:c r="AF658"/>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x:c r="C659"/>
      <x:c r="D659"/>
      <x:c r="E659"/>
      <x:c r="F659"/>
      <x:c r="G659"/>
      <x:c r="H659"/>
      <x:c r="I659"/>
      <x:c r="J659"/>
      <x:c r="K659"/>
      <x:c r="L659"/>
      <x:c r="M659"/>
      <x:c r="N659"/>
      <x:c r="O659"/>
      <x:c r="P659"/>
      <x:c r="Q659"/>
      <x:c r="R659"/>
      <x:c r="S659"/>
      <x:c r="T659"/>
      <x:c r="U659"/>
      <x:c r="V659"/>
      <x:c r="W659"/>
      <x:c r="X659"/>
      <x:c r="Y659"/>
      <x:c r="Z659"/>
      <x:c r="AA659"/>
      <x:c r="AB659"/>
      <x:c r="AC659"/>
      <x:c r="AD659"/>
      <x:c r="AE659"/>
      <x:c r="AF659"/>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x:c r="C660"/>
      <x:c r="D660"/>
      <x:c r="E660"/>
      <x:c r="F660"/>
      <x:c r="G660"/>
      <x:c r="H660"/>
      <x:c r="I660"/>
      <x:c r="J660"/>
      <x:c r="K660"/>
      <x:c r="L660"/>
      <x:c r="M660"/>
      <x:c r="N660"/>
      <x:c r="O660"/>
      <x:c r="P660"/>
      <x:c r="Q660"/>
      <x:c r="R660"/>
      <x:c r="S660"/>
      <x:c r="T660"/>
      <x:c r="U660"/>
      <x:c r="V660"/>
      <x:c r="W660"/>
      <x:c r="X660"/>
      <x:c r="Y660"/>
      <x:c r="Z660"/>
      <x:c r="AA660"/>
      <x:c r="AB660"/>
      <x:c r="AC660"/>
      <x:c r="AD660"/>
      <x:c r="AE660"/>
      <x:c r="AF660"/>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C661"/>
      <x:c r="D661"/>
      <x:c r="E661"/>
      <x:c r="F661"/>
      <x:c r="G661"/>
      <x:c r="H661"/>
      <x:c r="I661"/>
      <x:c r="J661"/>
      <x:c r="K661"/>
      <x:c r="L661"/>
      <x:c r="M661"/>
      <x:c r="N661"/>
      <x:c r="O661"/>
      <x:c r="P661"/>
      <x:c r="Q661"/>
      <x:c r="R661"/>
      <x:c r="S661"/>
      <x:c r="T661"/>
      <x:c r="U661"/>
      <x:c r="V661"/>
      <x:c r="W661"/>
      <x:c r="X661"/>
      <x:c r="Y661"/>
      <x:c r="Z661"/>
      <x:c r="AA661"/>
      <x:c r="AB661"/>
      <x:c r="AC661"/>
      <x:c r="AD661"/>
      <x:c r="AE661"/>
      <x:c r="AF661"/>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x:c r="C662"/>
      <x:c r="D662"/>
      <x:c r="E662"/>
      <x:c r="F662"/>
      <x:c r="G662"/>
      <x:c r="H662"/>
      <x:c r="I662"/>
      <x:c r="J662"/>
      <x:c r="K662"/>
      <x:c r="L662"/>
      <x:c r="M662"/>
      <x:c r="N662"/>
      <x:c r="O662"/>
      <x:c r="P662"/>
      <x:c r="Q662"/>
      <x:c r="R662"/>
      <x:c r="S662"/>
      <x:c r="T662"/>
      <x:c r="U662"/>
      <x:c r="V662"/>
      <x:c r="W662"/>
      <x:c r="X662"/>
      <x:c r="Y662"/>
      <x:c r="Z662"/>
      <x:c r="AA662"/>
      <x:c r="AB662"/>
      <x:c r="AC662"/>
      <x:c r="AD662"/>
      <x:c r="AE662"/>
      <x:c r="AF662"/>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x:c r="C663"/>
      <x:c r="D663"/>
      <x:c r="E663"/>
      <x:c r="F663"/>
      <x:c r="G663"/>
      <x:c r="H663"/>
      <x:c r="I663"/>
      <x:c r="J663"/>
      <x:c r="K663"/>
      <x:c r="L663"/>
      <x:c r="M663"/>
      <x:c r="N663"/>
      <x:c r="O663"/>
      <x:c r="P663"/>
      <x:c r="Q663"/>
      <x:c r="R663"/>
      <x:c r="S663"/>
      <x:c r="T663"/>
      <x:c r="U663"/>
      <x:c r="V663"/>
      <x:c r="W663"/>
      <x:c r="X663"/>
      <x:c r="Y663"/>
      <x:c r="Z663"/>
      <x:c r="AA663"/>
      <x:c r="AB663"/>
      <x:c r="AC663"/>
      <x:c r="AD663"/>
      <x:c r="AE663"/>
      <x:c r="AF663"/>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x:c r="C664"/>
      <x:c r="D664"/>
      <x:c r="E664"/>
      <x:c r="F664"/>
      <x:c r="G664"/>
      <x:c r="H664"/>
      <x:c r="I664"/>
      <x:c r="J664"/>
      <x:c r="K664"/>
      <x:c r="L664"/>
      <x:c r="M664"/>
      <x:c r="N664"/>
      <x:c r="O664"/>
      <x:c r="P664"/>
      <x:c r="Q664"/>
      <x:c r="R664"/>
      <x:c r="S664"/>
      <x:c r="T664"/>
      <x:c r="U664"/>
      <x:c r="V664"/>
      <x:c r="W664"/>
      <x:c r="X664"/>
      <x:c r="Y664"/>
      <x:c r="Z664"/>
      <x:c r="AA664"/>
      <x:c r="AB664"/>
      <x:c r="AC664"/>
      <x:c r="AD664"/>
      <x:c r="AE664"/>
      <x:c r="AF664"/>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x:c r="C665"/>
      <x:c r="D665"/>
      <x:c r="E665"/>
      <x:c r="F665"/>
      <x:c r="G665"/>
      <x:c r="H665"/>
      <x:c r="I665"/>
      <x:c r="J665"/>
      <x:c r="K665"/>
      <x:c r="L665"/>
      <x:c r="M665"/>
      <x:c r="N665"/>
      <x:c r="O665"/>
      <x:c r="P665"/>
      <x:c r="Q665"/>
      <x:c r="R665"/>
      <x:c r="S665"/>
      <x:c r="T665"/>
      <x:c r="U665"/>
      <x:c r="V665"/>
      <x:c r="W665"/>
      <x:c r="X665"/>
      <x:c r="Y665"/>
      <x:c r="Z665"/>
      <x:c r="AA665"/>
      <x:c r="AB665"/>
      <x:c r="AC665"/>
      <x:c r="AD665"/>
      <x:c r="AE665"/>
      <x:c r="AF665"/>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C666"/>
      <x:c r="D666"/>
      <x:c r="E666"/>
      <x:c r="F666"/>
      <x:c r="G666"/>
      <x:c r="H666"/>
      <x:c r="I666"/>
      <x:c r="J666"/>
      <x:c r="K666"/>
      <x:c r="L666"/>
      <x:c r="M666"/>
      <x:c r="N666"/>
      <x:c r="O666"/>
      <x:c r="P666"/>
      <x:c r="Q666"/>
      <x:c r="R666"/>
      <x:c r="S666"/>
      <x:c r="T666"/>
      <x:c r="U666"/>
      <x:c r="V666"/>
      <x:c r="W666"/>
      <x:c r="X666"/>
      <x:c r="Y666"/>
      <x:c r="Z666"/>
      <x:c r="AA666"/>
      <x:c r="AB666"/>
      <x:c r="AC666"/>
      <x:c r="AD666"/>
      <x:c r="AE666"/>
      <x:c r="AF666"/>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x:c r="C667"/>
      <x:c r="D667"/>
      <x:c r="E667"/>
      <x:c r="F667"/>
      <x:c r="G667"/>
      <x:c r="H667"/>
      <x:c r="I667"/>
      <x:c r="J667"/>
      <x:c r="K667"/>
      <x:c r="L667"/>
      <x:c r="M667"/>
      <x:c r="N667"/>
      <x:c r="O667"/>
      <x:c r="P667"/>
      <x:c r="Q667"/>
      <x:c r="R667"/>
      <x:c r="S667"/>
      <x:c r="T667"/>
      <x:c r="U667"/>
      <x:c r="V667"/>
      <x:c r="W667"/>
      <x:c r="X667"/>
      <x:c r="Y667"/>
      <x:c r="Z667"/>
      <x:c r="AA667"/>
      <x:c r="AB667"/>
      <x:c r="AC667"/>
      <x:c r="AD667"/>
      <x:c r="AE667"/>
      <x:c r="AF667"/>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C668"/>
      <x:c r="D668"/>
      <x:c r="E668"/>
      <x:c r="F668"/>
      <x:c r="G668"/>
      <x:c r="H668"/>
      <x:c r="I668"/>
      <x:c r="J668"/>
      <x:c r="K668"/>
      <x:c r="L668"/>
      <x:c r="M668"/>
      <x:c r="N668"/>
      <x:c r="O668"/>
      <x:c r="P668"/>
      <x:c r="Q668"/>
      <x:c r="R668"/>
      <x:c r="S668"/>
      <x:c r="T668"/>
      <x:c r="U668"/>
      <x:c r="V668"/>
      <x:c r="W668"/>
      <x:c r="X668"/>
      <x:c r="Y668"/>
      <x:c r="Z668"/>
      <x:c r="AA668"/>
      <x:c r="AB668"/>
      <x:c r="AC668"/>
      <x:c r="AD668"/>
      <x:c r="AE668"/>
      <x:c r="AF668"/>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x:c r="C669"/>
      <x:c r="D669"/>
      <x:c r="E669"/>
      <x:c r="F669"/>
      <x:c r="G669"/>
      <x:c r="H669"/>
      <x:c r="I669"/>
      <x:c r="J669"/>
      <x:c r="K669"/>
      <x:c r="L669"/>
      <x:c r="M669"/>
      <x:c r="N669"/>
      <x:c r="O669"/>
      <x:c r="P669"/>
      <x:c r="Q669"/>
      <x:c r="R669"/>
      <x:c r="S669"/>
      <x:c r="T669"/>
      <x:c r="U669"/>
      <x:c r="V669"/>
      <x:c r="W669"/>
      <x:c r="X669"/>
      <x:c r="Y669"/>
      <x:c r="Z669"/>
      <x:c r="AA669"/>
      <x:c r="AB669"/>
      <x:c r="AC669"/>
      <x:c r="AD669"/>
      <x:c r="AE669"/>
      <x:c r="AF669"/>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C670"/>
      <x:c r="D670"/>
      <x:c r="E670"/>
      <x:c r="F670"/>
      <x:c r="G670"/>
      <x:c r="H670"/>
      <x:c r="I670"/>
      <x:c r="J670"/>
      <x:c r="K670"/>
      <x:c r="L670"/>
      <x:c r="M670"/>
      <x:c r="N670"/>
      <x:c r="O670"/>
      <x:c r="P670"/>
      <x:c r="Q670"/>
      <x:c r="R670"/>
      <x:c r="S670"/>
      <x:c r="T670"/>
      <x:c r="U670"/>
      <x:c r="V670"/>
      <x:c r="W670"/>
      <x:c r="X670"/>
      <x:c r="Y670"/>
      <x:c r="Z670"/>
      <x:c r="AA670"/>
      <x:c r="AB670"/>
      <x:c r="AC670"/>
      <x:c r="AD670"/>
      <x:c r="AE670"/>
      <x:c r="AF670"/>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x:c r="C671"/>
      <x:c r="D671"/>
      <x:c r="E671"/>
      <x:c r="F671"/>
      <x:c r="G671"/>
      <x:c r="H671"/>
      <x:c r="I671"/>
      <x:c r="J671"/>
      <x:c r="K671"/>
      <x:c r="L671"/>
      <x:c r="M671"/>
      <x:c r="N671"/>
      <x:c r="O671"/>
      <x:c r="P671"/>
      <x:c r="Q671"/>
      <x:c r="R671"/>
      <x:c r="S671"/>
      <x:c r="T671"/>
      <x:c r="U671"/>
      <x:c r="V671"/>
      <x:c r="W671"/>
      <x:c r="X671"/>
      <x:c r="Y671"/>
      <x:c r="Z671"/>
      <x:c r="AA671"/>
      <x:c r="AB671"/>
      <x:c r="AC671"/>
      <x:c r="AD671"/>
      <x:c r="AE671"/>
      <x:c r="AF671"/>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C672"/>
      <x:c r="D672"/>
      <x:c r="E672"/>
      <x:c r="F672"/>
      <x:c r="G672"/>
      <x:c r="H672"/>
      <x:c r="I672"/>
      <x:c r="J672"/>
      <x:c r="K672"/>
      <x:c r="L672"/>
      <x:c r="M672"/>
      <x:c r="N672"/>
      <x:c r="O672"/>
      <x:c r="P672"/>
      <x:c r="Q672"/>
      <x:c r="R672"/>
      <x:c r="S672"/>
      <x:c r="T672"/>
      <x:c r="U672"/>
      <x:c r="V672"/>
      <x:c r="W672"/>
      <x:c r="X672"/>
      <x:c r="Y672"/>
      <x:c r="Z672"/>
      <x:c r="AA672"/>
      <x:c r="AB672"/>
      <x:c r="AC672"/>
      <x:c r="AD672"/>
      <x:c r="AE672"/>
      <x:c r="AF672"/>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x:c r="C673"/>
      <x:c r="D673"/>
      <x:c r="E673"/>
      <x:c r="F673"/>
      <x:c r="G673"/>
      <x:c r="H673"/>
      <x:c r="I673"/>
      <x:c r="J673"/>
      <x:c r="K673"/>
      <x:c r="L673"/>
      <x:c r="M673"/>
      <x:c r="N673"/>
      <x:c r="O673"/>
      <x:c r="P673"/>
      <x:c r="Q673"/>
      <x:c r="R673"/>
      <x:c r="S673"/>
      <x:c r="T673"/>
      <x:c r="U673"/>
      <x:c r="V673"/>
      <x:c r="W673"/>
      <x:c r="X673"/>
      <x:c r="Y673"/>
      <x:c r="Z673"/>
      <x:c r="AA673"/>
      <x:c r="AB673"/>
      <x:c r="AC673"/>
      <x:c r="AD673"/>
      <x:c r="AE673"/>
      <x:c r="AF673"/>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x:c r="C674"/>
      <x:c r="D674"/>
      <x:c r="E674"/>
      <x:c r="F674"/>
      <x:c r="G674"/>
      <x:c r="H674"/>
      <x:c r="I674"/>
      <x:c r="J674"/>
      <x:c r="K674"/>
      <x:c r="L674"/>
      <x:c r="M674"/>
      <x:c r="N674"/>
      <x:c r="O674"/>
      <x:c r="P674"/>
      <x:c r="Q674"/>
      <x:c r="R674"/>
      <x:c r="S674"/>
      <x:c r="T674"/>
      <x:c r="U674"/>
      <x:c r="V674"/>
      <x:c r="W674"/>
      <x:c r="X674"/>
      <x:c r="Y674"/>
      <x:c r="Z674"/>
      <x:c r="AA674"/>
      <x:c r="AB674"/>
      <x:c r="AC674"/>
      <x:c r="AD674"/>
      <x:c r="AE674"/>
      <x:c r="AF67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x:c r="C675"/>
      <x:c r="D675"/>
      <x:c r="E675"/>
      <x:c r="F675"/>
      <x:c r="G675"/>
      <x:c r="H675"/>
      <x:c r="I675"/>
      <x:c r="J675"/>
      <x:c r="K675"/>
      <x:c r="L675"/>
      <x:c r="M675"/>
      <x:c r="N675"/>
      <x:c r="O675"/>
      <x:c r="P675"/>
      <x:c r="Q675"/>
      <x:c r="R675"/>
      <x:c r="S675"/>
      <x:c r="T675"/>
      <x:c r="U675"/>
      <x:c r="V675"/>
      <x:c r="W675"/>
      <x:c r="X675"/>
      <x:c r="Y675"/>
      <x:c r="Z675"/>
      <x:c r="AA675"/>
      <x:c r="AB675"/>
      <x:c r="AC675"/>
      <x:c r="AD675"/>
      <x:c r="AE675"/>
      <x:c r="AF675"/>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x:c r="C676"/>
      <x:c r="D676"/>
      <x:c r="E676"/>
      <x:c r="F676"/>
      <x:c r="G676"/>
      <x:c r="H676"/>
      <x:c r="I676"/>
      <x:c r="J676"/>
      <x:c r="K676"/>
      <x:c r="L676"/>
      <x:c r="M676"/>
      <x:c r="N676"/>
      <x:c r="O676"/>
      <x:c r="P676"/>
      <x:c r="Q676"/>
      <x:c r="R676"/>
      <x:c r="S676"/>
      <x:c r="T676"/>
      <x:c r="U676"/>
      <x:c r="V676"/>
      <x:c r="W676"/>
      <x:c r="X676"/>
      <x:c r="Y676"/>
      <x:c r="Z676"/>
      <x:c r="AA676"/>
      <x:c r="AB676"/>
      <x:c r="AC676"/>
      <x:c r="AD676"/>
      <x:c r="AE676"/>
      <x:c r="AF676"/>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x:c r="C677"/>
      <x:c r="D677"/>
      <x:c r="E677"/>
      <x:c r="F677"/>
      <x:c r="G677"/>
      <x:c r="H677"/>
      <x:c r="I677"/>
      <x:c r="J677"/>
      <x:c r="K677"/>
      <x:c r="L677"/>
      <x:c r="M677"/>
      <x:c r="N677"/>
      <x:c r="O677"/>
      <x:c r="P677"/>
      <x:c r="Q677"/>
      <x:c r="R677"/>
      <x:c r="S677"/>
      <x:c r="T677"/>
      <x:c r="U677"/>
      <x:c r="V677"/>
      <x:c r="W677"/>
      <x:c r="X677"/>
      <x:c r="Y677"/>
      <x:c r="Z677"/>
      <x:c r="AA677"/>
      <x:c r="AB677"/>
      <x:c r="AC677"/>
      <x:c r="AD677"/>
      <x:c r="AE677"/>
      <x:c r="AF677"/>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x:c r="C678"/>
      <x:c r="D678"/>
      <x:c r="E678"/>
      <x:c r="F678"/>
      <x:c r="G678"/>
      <x:c r="H678"/>
      <x:c r="I678"/>
      <x:c r="J678"/>
      <x:c r="K678"/>
      <x:c r="L678"/>
      <x:c r="M678"/>
      <x:c r="N678"/>
      <x:c r="O678"/>
      <x:c r="P678"/>
      <x:c r="Q678"/>
      <x:c r="R678"/>
      <x:c r="S678"/>
      <x:c r="T678"/>
      <x:c r="U678"/>
      <x:c r="V678"/>
      <x:c r="W678"/>
      <x:c r="X678"/>
      <x:c r="Y678"/>
      <x:c r="Z678"/>
      <x:c r="AA678"/>
      <x:c r="AB678"/>
      <x:c r="AC678"/>
      <x:c r="AD678"/>
      <x:c r="AE678"/>
      <x:c r="AF678"/>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C679"/>
      <x:c r="D679"/>
      <x:c r="E679"/>
      <x:c r="F679"/>
      <x:c r="G679"/>
      <x:c r="H679"/>
      <x:c r="I679"/>
      <x:c r="J679"/>
      <x:c r="K679"/>
      <x:c r="L679"/>
      <x:c r="M679"/>
      <x:c r="N679"/>
      <x:c r="O679"/>
      <x:c r="P679"/>
      <x:c r="Q679"/>
      <x:c r="R679"/>
      <x:c r="S679"/>
      <x:c r="T679"/>
      <x:c r="U679"/>
      <x:c r="V679"/>
      <x:c r="W679"/>
      <x:c r="X679"/>
      <x:c r="Y679"/>
      <x:c r="Z679"/>
      <x:c r="AA679"/>
      <x:c r="AB679"/>
      <x:c r="AC679"/>
      <x:c r="AD679"/>
      <x:c r="AE679"/>
      <x:c r="AF679"/>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x:c r="C680"/>
      <x:c r="D680"/>
      <x:c r="E680"/>
      <x:c r="F680"/>
      <x:c r="G680"/>
      <x:c r="H680"/>
      <x:c r="I680"/>
      <x:c r="J680"/>
      <x:c r="K680"/>
      <x:c r="L680"/>
      <x:c r="M680"/>
      <x:c r="N680"/>
      <x:c r="O680"/>
      <x:c r="P680"/>
      <x:c r="Q680"/>
      <x:c r="R680"/>
      <x:c r="S680"/>
      <x:c r="T680"/>
      <x:c r="U680"/>
      <x:c r="V680"/>
      <x:c r="W680"/>
      <x:c r="X680"/>
      <x:c r="Y680"/>
      <x:c r="Z680"/>
      <x:c r="AA680"/>
      <x:c r="AB680"/>
      <x:c r="AC680"/>
      <x:c r="AD680"/>
      <x:c r="AE680"/>
      <x:c r="AF680"/>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x:c r="C681"/>
      <x:c r="D681"/>
      <x:c r="E681"/>
      <x:c r="F681"/>
      <x:c r="G681"/>
      <x:c r="H681"/>
      <x:c r="I681"/>
      <x:c r="J681"/>
      <x:c r="K681"/>
      <x:c r="L681"/>
      <x:c r="M681"/>
      <x:c r="N681"/>
      <x:c r="O681"/>
      <x:c r="P681"/>
      <x:c r="Q681"/>
      <x:c r="R681"/>
      <x:c r="S681"/>
      <x:c r="T681"/>
      <x:c r="U681"/>
      <x:c r="V681"/>
      <x:c r="W681"/>
      <x:c r="X681"/>
      <x:c r="Y681"/>
      <x:c r="Z681"/>
      <x:c r="AA681"/>
      <x:c r="AB681"/>
      <x:c r="AC681"/>
      <x:c r="AD681"/>
      <x:c r="AE681"/>
      <x:c r="AF681"/>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x:c r="C682"/>
      <x:c r="D682"/>
      <x:c r="E682"/>
      <x:c r="F682"/>
      <x:c r="G682"/>
      <x:c r="H682"/>
      <x:c r="I682"/>
      <x:c r="J682"/>
      <x:c r="K682"/>
      <x:c r="L682"/>
      <x:c r="M682"/>
      <x:c r="N682"/>
      <x:c r="O682"/>
      <x:c r="P682"/>
      <x:c r="Q682"/>
      <x:c r="R682"/>
      <x:c r="S682"/>
      <x:c r="T682"/>
      <x:c r="U682"/>
      <x:c r="V682"/>
      <x:c r="W682"/>
      <x:c r="X682"/>
      <x:c r="Y682"/>
      <x:c r="Z682"/>
      <x:c r="AA682"/>
      <x:c r="AB682"/>
      <x:c r="AC682"/>
      <x:c r="AD682"/>
      <x:c r="AE682"/>
      <x:c r="AF682"/>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C683"/>
      <x:c r="D683"/>
      <x:c r="E683"/>
      <x:c r="F683"/>
      <x:c r="G683"/>
      <x:c r="H683"/>
      <x:c r="I683"/>
      <x:c r="J683"/>
      <x:c r="K683"/>
      <x:c r="L683"/>
      <x:c r="M683"/>
      <x:c r="N683"/>
      <x:c r="O683"/>
      <x:c r="P683"/>
      <x:c r="Q683"/>
      <x:c r="R683"/>
      <x:c r="S683"/>
      <x:c r="T683"/>
      <x:c r="U683"/>
      <x:c r="V683"/>
      <x:c r="W683"/>
      <x:c r="X683"/>
      <x:c r="Y683"/>
      <x:c r="Z683"/>
      <x:c r="AA683"/>
      <x:c r="AB683"/>
      <x:c r="AC683"/>
      <x:c r="AD683"/>
      <x:c r="AE683"/>
      <x:c r="AF683"/>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x:c r="C684"/>
      <x:c r="D684"/>
      <x:c r="E684"/>
      <x:c r="F684"/>
      <x:c r="G684"/>
      <x:c r="H684"/>
      <x:c r="I684"/>
      <x:c r="J684"/>
      <x:c r="K684"/>
      <x:c r="L684"/>
      <x:c r="M684"/>
      <x:c r="N684"/>
      <x:c r="O684"/>
      <x:c r="P684"/>
      <x:c r="Q684"/>
      <x:c r="R684"/>
      <x:c r="S684"/>
      <x:c r="T684"/>
      <x:c r="U684"/>
      <x:c r="V684"/>
      <x:c r="W684"/>
      <x:c r="X684"/>
      <x:c r="Y684"/>
      <x:c r="Z684"/>
      <x:c r="AA684"/>
      <x:c r="AB684"/>
      <x:c r="AC684"/>
      <x:c r="AD684"/>
      <x:c r="AE684"/>
      <x:c r="AF684"/>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x:c r="C685"/>
      <x:c r="D685"/>
      <x:c r="E685"/>
      <x:c r="F685"/>
      <x:c r="G685"/>
      <x:c r="H685"/>
      <x:c r="I685"/>
      <x:c r="J685"/>
      <x:c r="K685"/>
      <x:c r="L685"/>
      <x:c r="M685"/>
      <x:c r="N685"/>
      <x:c r="O685"/>
      <x:c r="P685"/>
      <x:c r="Q685"/>
      <x:c r="R685"/>
      <x:c r="S685"/>
      <x:c r="T685"/>
      <x:c r="U685"/>
      <x:c r="V685"/>
      <x:c r="W685"/>
      <x:c r="X685"/>
      <x:c r="Y685"/>
      <x:c r="Z685"/>
      <x:c r="AA685"/>
      <x:c r="AB685"/>
      <x:c r="AC685"/>
      <x:c r="AD685"/>
      <x:c r="AE685"/>
      <x:c r="AF685"/>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x:c r="C686"/>
      <x:c r="D686"/>
      <x:c r="E686"/>
      <x:c r="F686"/>
      <x:c r="G686"/>
      <x:c r="H686"/>
      <x:c r="I686"/>
      <x:c r="J686"/>
      <x:c r="K686"/>
      <x:c r="L686"/>
      <x:c r="M686"/>
      <x:c r="N686"/>
      <x:c r="O686"/>
      <x:c r="P686"/>
      <x:c r="Q686"/>
      <x:c r="R686"/>
      <x:c r="S686"/>
      <x:c r="T686"/>
      <x:c r="U686"/>
      <x:c r="V686"/>
      <x:c r="W686"/>
      <x:c r="X686"/>
      <x:c r="Y686"/>
      <x:c r="Z686"/>
      <x:c r="AA686"/>
      <x:c r="AB686"/>
      <x:c r="AC686"/>
      <x:c r="AD686"/>
      <x:c r="AE686"/>
      <x:c r="AF686"/>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x:c r="C687"/>
      <x:c r="D687"/>
      <x:c r="E687"/>
      <x:c r="F687"/>
      <x:c r="G687"/>
      <x:c r="H687"/>
      <x:c r="I687"/>
      <x:c r="J687"/>
      <x:c r="K687"/>
      <x:c r="L687"/>
      <x:c r="M687"/>
      <x:c r="N687"/>
      <x:c r="O687"/>
      <x:c r="P687"/>
      <x:c r="Q687"/>
      <x:c r="R687"/>
      <x:c r="S687"/>
      <x:c r="T687"/>
      <x:c r="U687"/>
      <x:c r="V687"/>
      <x:c r="W687"/>
      <x:c r="X687"/>
      <x:c r="Y687"/>
      <x:c r="Z687"/>
      <x:c r="AA687"/>
      <x:c r="AB687"/>
      <x:c r="AC687"/>
      <x:c r="AD687"/>
      <x:c r="AE687"/>
      <x:c r="AF687"/>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x:c r="C688"/>
      <x:c r="D688"/>
      <x:c r="E688"/>
      <x:c r="F688"/>
      <x:c r="G688"/>
      <x:c r="H688"/>
      <x:c r="I688"/>
      <x:c r="J688"/>
      <x:c r="K688"/>
      <x:c r="L688"/>
      <x:c r="M688"/>
      <x:c r="N688"/>
      <x:c r="O688"/>
      <x:c r="P688"/>
      <x:c r="Q688"/>
      <x:c r="R688"/>
      <x:c r="S688"/>
      <x:c r="T688"/>
      <x:c r="U688"/>
      <x:c r="V688"/>
      <x:c r="W688"/>
      <x:c r="X688"/>
      <x:c r="Y688"/>
      <x:c r="Z688"/>
      <x:c r="AA688"/>
      <x:c r="AB688"/>
      <x:c r="AC688"/>
      <x:c r="AD688"/>
      <x:c r="AE688"/>
      <x:c r="AF688"/>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x:c r="C689"/>
      <x:c r="D689"/>
      <x:c r="E689"/>
      <x:c r="F689"/>
      <x:c r="G689"/>
      <x:c r="H689"/>
      <x:c r="I689"/>
      <x:c r="J689"/>
      <x:c r="K689"/>
      <x:c r="L689"/>
      <x:c r="M689"/>
      <x:c r="N689"/>
      <x:c r="O689"/>
      <x:c r="P689"/>
      <x:c r="Q689"/>
      <x:c r="R689"/>
      <x:c r="S689"/>
      <x:c r="T689"/>
      <x:c r="U689"/>
      <x:c r="V689"/>
      <x:c r="W689"/>
      <x:c r="X689"/>
      <x:c r="Y689"/>
      <x:c r="Z689"/>
      <x:c r="AA689"/>
      <x:c r="AB689"/>
      <x:c r="AC689"/>
      <x:c r="AD689"/>
      <x:c r="AE689"/>
      <x:c r="AF689"/>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x:c r="C690"/>
      <x:c r="D690"/>
      <x:c r="E690"/>
      <x:c r="F690"/>
      <x:c r="G690"/>
      <x:c r="H690"/>
      <x:c r="I690"/>
      <x:c r="J690"/>
      <x:c r="K690"/>
      <x:c r="L690"/>
      <x:c r="M690"/>
      <x:c r="N690"/>
      <x:c r="O690"/>
      <x:c r="P690"/>
      <x:c r="Q690"/>
      <x:c r="R690"/>
      <x:c r="S690"/>
      <x:c r="T690"/>
      <x:c r="U690"/>
      <x:c r="V690"/>
      <x:c r="W690"/>
      <x:c r="X690"/>
      <x:c r="Y690"/>
      <x:c r="Z690"/>
      <x:c r="AA690"/>
      <x:c r="AB690"/>
      <x:c r="AC690"/>
      <x:c r="AD690"/>
      <x:c r="AE690"/>
      <x:c r="AF690"/>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x:c r="C691"/>
      <x:c r="D691"/>
      <x:c r="E691"/>
      <x:c r="F691"/>
      <x:c r="G691"/>
      <x:c r="H691"/>
      <x:c r="I691"/>
      <x:c r="J691"/>
      <x:c r="K691"/>
      <x:c r="L691"/>
      <x:c r="M691"/>
      <x:c r="N691"/>
      <x:c r="O691"/>
      <x:c r="P691"/>
      <x:c r="Q691"/>
      <x:c r="R691"/>
      <x:c r="S691"/>
      <x:c r="T691"/>
      <x:c r="U691"/>
      <x:c r="V691"/>
      <x:c r="W691"/>
      <x:c r="X691"/>
      <x:c r="Y691"/>
      <x:c r="Z691"/>
      <x:c r="AA691"/>
      <x:c r="AB691"/>
      <x:c r="AC691"/>
      <x:c r="AD691"/>
      <x:c r="AE691"/>
      <x:c r="AF691"/>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x:c r="C692"/>
      <x:c r="D692"/>
      <x:c r="E692"/>
      <x:c r="F692"/>
      <x:c r="G692"/>
      <x:c r="H692"/>
      <x:c r="I692"/>
      <x:c r="J692"/>
      <x:c r="K692"/>
      <x:c r="L692"/>
      <x:c r="M692"/>
      <x:c r="N692"/>
      <x:c r="O692"/>
      <x:c r="P692"/>
      <x:c r="Q692"/>
      <x:c r="R692"/>
      <x:c r="S692"/>
      <x:c r="T692"/>
      <x:c r="U692"/>
      <x:c r="V692"/>
      <x:c r="W692"/>
      <x:c r="X692"/>
      <x:c r="Y692"/>
      <x:c r="Z692"/>
      <x:c r="AA692"/>
      <x:c r="AB692"/>
      <x:c r="AC692"/>
      <x:c r="AD692"/>
      <x:c r="AE692"/>
      <x:c r="AF692"/>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x:c r="C693"/>
      <x:c r="D693"/>
      <x:c r="E693"/>
      <x:c r="F693"/>
      <x:c r="G693"/>
      <x:c r="H693"/>
      <x:c r="I693"/>
      <x:c r="J693"/>
      <x:c r="K693"/>
      <x:c r="L693"/>
      <x:c r="M693"/>
      <x:c r="N693"/>
      <x:c r="O693"/>
      <x:c r="P693"/>
      <x:c r="Q693"/>
      <x:c r="R693"/>
      <x:c r="S693"/>
      <x:c r="T693"/>
      <x:c r="U693"/>
      <x:c r="V693"/>
      <x:c r="W693"/>
      <x:c r="X693"/>
      <x:c r="Y693"/>
      <x:c r="Z693"/>
      <x:c r="AA693"/>
      <x:c r="AB693"/>
      <x:c r="AC693"/>
      <x:c r="AD693"/>
      <x:c r="AE693"/>
      <x:c r="AF693"/>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x:c r="C694"/>
      <x:c r="D694"/>
      <x:c r="E694"/>
      <x:c r="F694"/>
      <x:c r="G694"/>
      <x:c r="H694"/>
      <x:c r="I694"/>
      <x:c r="J694"/>
      <x:c r="K694"/>
      <x:c r="L694"/>
      <x:c r="M694"/>
      <x:c r="N694"/>
      <x:c r="O694"/>
      <x:c r="P694"/>
      <x:c r="Q694"/>
      <x:c r="R694"/>
      <x:c r="S694"/>
      <x:c r="T694"/>
      <x:c r="U694"/>
      <x:c r="V694"/>
      <x:c r="W694"/>
      <x:c r="X694"/>
      <x:c r="Y694"/>
      <x:c r="Z694"/>
      <x:c r="AA694"/>
      <x:c r="AB694"/>
      <x:c r="AC694"/>
      <x:c r="AD694"/>
      <x:c r="AE694"/>
      <x:c r="AF694"/>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x:c r="C695"/>
      <x:c r="D695"/>
      <x:c r="E695"/>
      <x:c r="F695"/>
      <x:c r="G695"/>
      <x:c r="H695"/>
      <x:c r="I695"/>
      <x:c r="J695"/>
      <x:c r="K695"/>
      <x:c r="L695"/>
      <x:c r="M695"/>
      <x:c r="N695"/>
      <x:c r="O695"/>
      <x:c r="P695"/>
      <x:c r="Q695"/>
      <x:c r="R695"/>
      <x:c r="S695"/>
      <x:c r="T695"/>
      <x:c r="U695"/>
      <x:c r="V695"/>
      <x:c r="W695"/>
      <x:c r="X695"/>
      <x:c r="Y695"/>
      <x:c r="Z695"/>
      <x:c r="AA695"/>
      <x:c r="AB695"/>
      <x:c r="AC695"/>
      <x:c r="AD695"/>
      <x:c r="AE695"/>
      <x:c r="AF695"/>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x:c r="C696"/>
      <x:c r="D696"/>
      <x:c r="E696"/>
      <x:c r="F696"/>
      <x:c r="G696"/>
      <x:c r="H696"/>
      <x:c r="I696"/>
      <x:c r="J696"/>
      <x:c r="K696"/>
      <x:c r="L696"/>
      <x:c r="M696"/>
      <x:c r="N696"/>
      <x:c r="O696"/>
      <x:c r="P696"/>
      <x:c r="Q696"/>
      <x:c r="R696"/>
      <x:c r="S696"/>
      <x:c r="T696"/>
      <x:c r="U696"/>
      <x:c r="V696"/>
      <x:c r="W696"/>
      <x:c r="X696"/>
      <x:c r="Y696"/>
      <x:c r="Z696"/>
      <x:c r="AA696"/>
      <x:c r="AB696"/>
      <x:c r="AC696"/>
      <x:c r="AD696"/>
      <x:c r="AE696"/>
      <x:c r="AF696"/>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x:c r="C697"/>
      <x:c r="D697"/>
      <x:c r="E697"/>
      <x:c r="F697"/>
      <x:c r="G697"/>
      <x:c r="H697"/>
      <x:c r="I697"/>
      <x:c r="J697"/>
      <x:c r="K697"/>
      <x:c r="L697"/>
      <x:c r="M697"/>
      <x:c r="N697"/>
      <x:c r="O697"/>
      <x:c r="P697"/>
      <x:c r="Q697"/>
      <x:c r="R697"/>
      <x:c r="S697"/>
      <x:c r="T697"/>
      <x:c r="U697"/>
      <x:c r="V697"/>
      <x:c r="W697"/>
      <x:c r="X697"/>
      <x:c r="Y697"/>
      <x:c r="Z697"/>
      <x:c r="AA697"/>
      <x:c r="AB697"/>
      <x:c r="AC697"/>
      <x:c r="AD697"/>
      <x:c r="AE697"/>
      <x:c r="AF697"/>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x:c r="C698"/>
      <x:c r="D698"/>
      <x:c r="E698"/>
      <x:c r="F698"/>
      <x:c r="G698"/>
      <x:c r="H698"/>
      <x:c r="I698"/>
      <x:c r="J698"/>
      <x:c r="K698"/>
      <x:c r="L698"/>
      <x:c r="M698"/>
      <x:c r="N698"/>
      <x:c r="O698"/>
      <x:c r="P698"/>
      <x:c r="Q698"/>
      <x:c r="R698"/>
      <x:c r="S698"/>
      <x:c r="T698"/>
      <x:c r="U698"/>
      <x:c r="V698"/>
      <x:c r="W698"/>
      <x:c r="X698"/>
      <x:c r="Y698"/>
      <x:c r="Z698"/>
      <x:c r="AA698"/>
      <x:c r="AB698"/>
      <x:c r="AC698"/>
      <x:c r="AD698"/>
      <x:c r="AE698"/>
      <x:c r="AF698"/>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x:c r="C699"/>
      <x:c r="D699"/>
      <x:c r="E699"/>
      <x:c r="F699"/>
      <x:c r="G699"/>
      <x:c r="H699"/>
      <x:c r="I699"/>
      <x:c r="J699"/>
      <x:c r="K699"/>
      <x:c r="L699"/>
      <x:c r="M699"/>
      <x:c r="N699"/>
      <x:c r="O699"/>
      <x:c r="P699"/>
      <x:c r="Q699"/>
      <x:c r="R699"/>
      <x:c r="S699"/>
      <x:c r="T699"/>
      <x:c r="U699"/>
      <x:c r="V699"/>
      <x:c r="W699"/>
      <x:c r="X699"/>
      <x:c r="Y699"/>
      <x:c r="Z699"/>
      <x:c r="AA699"/>
      <x:c r="AB699"/>
      <x:c r="AC699"/>
      <x:c r="AD699"/>
      <x:c r="AE699"/>
      <x:c r="AF699"/>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x:c r="C700"/>
      <x:c r="D700"/>
      <x:c r="E700"/>
      <x:c r="F700"/>
      <x:c r="G700"/>
      <x:c r="H700"/>
      <x:c r="I700"/>
      <x:c r="J700"/>
      <x:c r="K700"/>
      <x:c r="L700"/>
      <x:c r="M700"/>
      <x:c r="N700"/>
      <x:c r="O700"/>
      <x:c r="P700"/>
      <x:c r="Q700"/>
      <x:c r="R700"/>
      <x:c r="S700"/>
      <x:c r="T700"/>
      <x:c r="U700"/>
      <x:c r="V700"/>
      <x:c r="W700"/>
      <x:c r="X700"/>
      <x:c r="Y700"/>
      <x:c r="Z700"/>
      <x:c r="AA700"/>
      <x:c r="AB700"/>
      <x:c r="AC700"/>
      <x:c r="AD700"/>
      <x:c r="AE700"/>
      <x:c r="AF700"/>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x:c r="C701"/>
      <x:c r="D701"/>
      <x:c r="E701"/>
      <x:c r="F701"/>
      <x:c r="G701"/>
      <x:c r="H701"/>
      <x:c r="I701"/>
      <x:c r="J701"/>
      <x:c r="K701"/>
      <x:c r="L701"/>
      <x:c r="M701"/>
      <x:c r="N701"/>
      <x:c r="O701"/>
      <x:c r="P701"/>
      <x:c r="Q701"/>
      <x:c r="R701"/>
      <x:c r="S701"/>
      <x:c r="T701"/>
      <x:c r="U701"/>
      <x:c r="V701"/>
      <x:c r="W701"/>
      <x:c r="X701"/>
      <x:c r="Y701"/>
      <x:c r="Z701"/>
      <x:c r="AA701"/>
      <x:c r="AB701"/>
      <x:c r="AC701"/>
      <x:c r="AD701"/>
      <x:c r="AE701"/>
      <x:c r="AF701"/>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x:c r="C702"/>
      <x:c r="D702"/>
      <x:c r="E702"/>
      <x:c r="F702"/>
      <x:c r="G702"/>
      <x:c r="H702"/>
      <x:c r="I702"/>
      <x:c r="J702"/>
      <x:c r="K702"/>
      <x:c r="L702"/>
      <x:c r="M702"/>
      <x:c r="N702"/>
      <x:c r="O702"/>
      <x:c r="P702"/>
      <x:c r="Q702"/>
      <x:c r="R702"/>
      <x:c r="S702"/>
      <x:c r="T702"/>
      <x:c r="U702"/>
      <x:c r="V702"/>
      <x:c r="W702"/>
      <x:c r="X702"/>
      <x:c r="Y702"/>
      <x:c r="Z702"/>
      <x:c r="AA702"/>
      <x:c r="AB702"/>
      <x:c r="AC702"/>
      <x:c r="AD702"/>
      <x:c r="AE702"/>
      <x:c r="AF702"/>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x:c r="C703"/>
      <x:c r="D703"/>
      <x:c r="E703"/>
      <x:c r="F703"/>
      <x:c r="G703"/>
      <x:c r="H703"/>
      <x:c r="I703"/>
      <x:c r="J703"/>
      <x:c r="K703"/>
      <x:c r="L703"/>
      <x:c r="M703"/>
      <x:c r="N703"/>
      <x:c r="O703"/>
      <x:c r="P703"/>
      <x:c r="Q703"/>
      <x:c r="R703"/>
      <x:c r="S703"/>
      <x:c r="T703"/>
      <x:c r="U703"/>
      <x:c r="V703"/>
      <x:c r="W703"/>
      <x:c r="X703"/>
      <x:c r="Y703"/>
      <x:c r="Z703"/>
      <x:c r="AA703"/>
      <x:c r="AB703"/>
      <x:c r="AC703"/>
      <x:c r="AD703"/>
      <x:c r="AE703"/>
      <x:c r="AF703"/>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x:c r="C704"/>
      <x:c r="D704"/>
      <x:c r="E704"/>
      <x:c r="F704"/>
      <x:c r="G704"/>
      <x:c r="H704"/>
      <x:c r="I704"/>
      <x:c r="J704"/>
      <x:c r="K704"/>
      <x:c r="L704"/>
      <x:c r="M704"/>
      <x:c r="N704"/>
      <x:c r="O704"/>
      <x:c r="P704"/>
      <x:c r="Q704"/>
      <x:c r="R704"/>
      <x:c r="S704"/>
      <x:c r="T704"/>
      <x:c r="U704"/>
      <x:c r="V704"/>
      <x:c r="W704"/>
      <x:c r="X704"/>
      <x:c r="Y704"/>
      <x:c r="Z704"/>
      <x:c r="AA704"/>
      <x:c r="AB704"/>
      <x:c r="AC704"/>
      <x:c r="AD704"/>
      <x:c r="AE704"/>
      <x:c r="AF704"/>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x:c r="C705"/>
      <x:c r="D705"/>
      <x:c r="E705"/>
      <x:c r="F705"/>
      <x:c r="G705"/>
      <x:c r="H705"/>
      <x:c r="I705"/>
      <x:c r="J705"/>
      <x:c r="K705"/>
      <x:c r="L705"/>
      <x:c r="M705"/>
      <x:c r="N705"/>
      <x:c r="O705"/>
      <x:c r="P705"/>
      <x:c r="Q705"/>
      <x:c r="R705"/>
      <x:c r="S705"/>
      <x:c r="T705"/>
      <x:c r="U705"/>
      <x:c r="V705"/>
      <x:c r="W705"/>
      <x:c r="X705"/>
      <x:c r="Y705"/>
      <x:c r="Z705"/>
      <x:c r="AA705"/>
      <x:c r="AB705"/>
      <x:c r="AC705"/>
      <x:c r="AD705"/>
      <x:c r="AE705"/>
      <x:c r="AF705"/>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C706"/>
      <x:c r="D706"/>
      <x:c r="E706"/>
      <x:c r="F706"/>
      <x:c r="G706"/>
      <x:c r="H706"/>
      <x:c r="I706"/>
      <x:c r="J706"/>
      <x:c r="K706"/>
      <x:c r="L706"/>
      <x:c r="M706"/>
      <x:c r="N706"/>
      <x:c r="O706"/>
      <x:c r="P706"/>
      <x:c r="Q706"/>
      <x:c r="R706"/>
      <x:c r="S706"/>
      <x:c r="T706"/>
      <x:c r="U706"/>
      <x:c r="V706"/>
      <x:c r="W706"/>
      <x:c r="X706"/>
      <x:c r="Y706"/>
      <x:c r="Z706"/>
      <x:c r="AA706"/>
      <x:c r="AB706"/>
      <x:c r="AC706"/>
      <x:c r="AD706"/>
      <x:c r="AE706"/>
      <x:c r="AF706"/>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x:c r="C707"/>
      <x:c r="D707"/>
      <x:c r="E707"/>
      <x:c r="F707"/>
      <x:c r="G707"/>
      <x:c r="H707"/>
      <x:c r="I707"/>
      <x:c r="J707"/>
      <x:c r="K707"/>
      <x:c r="L707"/>
      <x:c r="M707"/>
      <x:c r="N707"/>
      <x:c r="O707"/>
      <x:c r="P707"/>
      <x:c r="Q707"/>
      <x:c r="R707"/>
      <x:c r="S707"/>
      <x:c r="T707"/>
      <x:c r="U707"/>
      <x:c r="V707"/>
      <x:c r="W707"/>
      <x:c r="X707"/>
      <x:c r="Y707"/>
      <x:c r="Z707"/>
      <x:c r="AA707"/>
      <x:c r="AB707"/>
      <x:c r="AC707"/>
      <x:c r="AD707"/>
      <x:c r="AE707"/>
      <x:c r="AF707"/>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C708"/>
      <x:c r="D708"/>
      <x:c r="E708"/>
      <x:c r="F708"/>
      <x:c r="G708"/>
      <x:c r="H708"/>
      <x:c r="I708"/>
      <x:c r="J708"/>
      <x:c r="K708"/>
      <x:c r="L708"/>
      <x:c r="M708"/>
      <x:c r="N708"/>
      <x:c r="O708"/>
      <x:c r="P708"/>
      <x:c r="Q708"/>
      <x:c r="R708"/>
      <x:c r="S708"/>
      <x:c r="T708"/>
      <x:c r="U708"/>
      <x:c r="V708"/>
      <x:c r="W708"/>
      <x:c r="X708"/>
      <x:c r="Y708"/>
      <x:c r="Z708"/>
      <x:c r="AA708"/>
      <x:c r="AB708"/>
      <x:c r="AC708"/>
      <x:c r="AD708"/>
      <x:c r="AE708"/>
      <x:c r="AF708"/>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x:c r="C709"/>
      <x:c r="D709"/>
      <x:c r="E709"/>
      <x:c r="F709"/>
      <x:c r="G709"/>
      <x:c r="H709"/>
      <x:c r="I709"/>
      <x:c r="J709"/>
      <x:c r="K709"/>
      <x:c r="L709"/>
      <x:c r="M709"/>
      <x:c r="N709"/>
      <x:c r="O709"/>
      <x:c r="P709"/>
      <x:c r="Q709"/>
      <x:c r="R709"/>
      <x:c r="S709"/>
      <x:c r="T709"/>
      <x:c r="U709"/>
      <x:c r="V709"/>
      <x:c r="W709"/>
      <x:c r="X709"/>
      <x:c r="Y709"/>
      <x:c r="Z709"/>
      <x:c r="AA709"/>
      <x:c r="AB709"/>
      <x:c r="AC709"/>
      <x:c r="AD709"/>
      <x:c r="AE709"/>
      <x:c r="AF709"/>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x:c r="C710"/>
      <x:c r="D710"/>
      <x:c r="E710"/>
      <x:c r="F710"/>
      <x:c r="G710"/>
      <x:c r="H710"/>
      <x:c r="I710"/>
      <x:c r="J710"/>
      <x:c r="K710"/>
      <x:c r="L710"/>
      <x:c r="M710"/>
      <x:c r="N710"/>
      <x:c r="O710"/>
      <x:c r="P710"/>
      <x:c r="Q710"/>
      <x:c r="R710"/>
      <x:c r="S710"/>
      <x:c r="T710"/>
      <x:c r="U710"/>
      <x:c r="V710"/>
      <x:c r="W710"/>
      <x:c r="X710"/>
      <x:c r="Y710"/>
      <x:c r="Z710"/>
      <x:c r="AA710"/>
      <x:c r="AB710"/>
      <x:c r="AC710"/>
      <x:c r="AD710"/>
      <x:c r="AE710"/>
      <x:c r="AF710"/>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x:c r="C711"/>
      <x:c r="D711"/>
      <x:c r="E711"/>
      <x:c r="F711"/>
      <x:c r="G711"/>
      <x:c r="H711"/>
      <x:c r="I711"/>
      <x:c r="J711"/>
      <x:c r="K711"/>
      <x:c r="L711"/>
      <x:c r="M711"/>
      <x:c r="N711"/>
      <x:c r="O711"/>
      <x:c r="P711"/>
      <x:c r="Q711"/>
      <x:c r="R711"/>
      <x:c r="S711"/>
      <x:c r="T711"/>
      <x:c r="U711"/>
      <x:c r="V711"/>
      <x:c r="W711"/>
      <x:c r="X711"/>
      <x:c r="Y711"/>
      <x:c r="Z711"/>
      <x:c r="AA711"/>
      <x:c r="AB711"/>
      <x:c r="AC711"/>
      <x:c r="AD711"/>
      <x:c r="AE711"/>
      <x:c r="AF711"/>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x:c r="C712"/>
      <x:c r="D712"/>
      <x:c r="E712"/>
      <x:c r="F712"/>
      <x:c r="G712"/>
      <x:c r="H712"/>
      <x:c r="I712"/>
      <x:c r="J712"/>
      <x:c r="K712"/>
      <x:c r="L712"/>
      <x:c r="M712"/>
      <x:c r="N712"/>
      <x:c r="O712"/>
      <x:c r="P712"/>
      <x:c r="Q712"/>
      <x:c r="R712"/>
      <x:c r="S712"/>
      <x:c r="T712"/>
      <x:c r="U712"/>
      <x:c r="V712"/>
      <x:c r="W712"/>
      <x:c r="X712"/>
      <x:c r="Y712"/>
      <x:c r="Z712"/>
      <x:c r="AA712"/>
      <x:c r="AB712"/>
      <x:c r="AC712"/>
      <x:c r="AD712"/>
      <x:c r="AE712"/>
      <x:c r="AF712"/>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x:c r="C713"/>
      <x:c r="D713"/>
      <x:c r="E713"/>
      <x:c r="F713"/>
      <x:c r="G713"/>
      <x:c r="H713"/>
      <x:c r="I713"/>
      <x:c r="J713"/>
      <x:c r="K713"/>
      <x:c r="L713"/>
      <x:c r="M713"/>
      <x:c r="N713"/>
      <x:c r="O713"/>
      <x:c r="P713"/>
      <x:c r="Q713"/>
      <x:c r="R713"/>
      <x:c r="S713"/>
      <x:c r="T713"/>
      <x:c r="U713"/>
      <x:c r="V713"/>
      <x:c r="W713"/>
      <x:c r="X713"/>
      <x:c r="Y713"/>
      <x:c r="Z713"/>
      <x:c r="AA713"/>
      <x:c r="AB713"/>
      <x:c r="AC713"/>
      <x:c r="AD713"/>
      <x:c r="AE713"/>
      <x:c r="AF713"/>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x:c r="C714"/>
      <x:c r="D714"/>
      <x:c r="E714"/>
      <x:c r="F714"/>
      <x:c r="G714"/>
      <x:c r="H714"/>
      <x:c r="I714"/>
      <x:c r="J714"/>
      <x:c r="K714"/>
      <x:c r="L714"/>
      <x:c r="M714"/>
      <x:c r="N714"/>
      <x:c r="O714"/>
      <x:c r="P714"/>
      <x:c r="Q714"/>
      <x:c r="R714"/>
      <x:c r="S714"/>
      <x:c r="T714"/>
      <x:c r="U714"/>
      <x:c r="V714"/>
      <x:c r="W714"/>
      <x:c r="X714"/>
      <x:c r="Y714"/>
      <x:c r="Z714"/>
      <x:c r="AA714"/>
      <x:c r="AB714"/>
      <x:c r="AC714"/>
      <x:c r="AD714"/>
      <x:c r="AE714"/>
      <x:c r="AF714"/>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x:c r="C715"/>
      <x:c r="D715"/>
      <x:c r="E715"/>
      <x:c r="F715"/>
      <x:c r="G715"/>
      <x:c r="H715"/>
      <x:c r="I715"/>
      <x:c r="J715"/>
      <x:c r="K715"/>
      <x:c r="L715"/>
      <x:c r="M715"/>
      <x:c r="N715"/>
      <x:c r="O715"/>
      <x:c r="P715"/>
      <x:c r="Q715"/>
      <x:c r="R715"/>
      <x:c r="S715"/>
      <x:c r="T715"/>
      <x:c r="U715"/>
      <x:c r="V715"/>
      <x:c r="W715"/>
      <x:c r="X715"/>
      <x:c r="Y715"/>
      <x:c r="Z715"/>
      <x:c r="AA715"/>
      <x:c r="AB715"/>
      <x:c r="AC715"/>
      <x:c r="AD715"/>
      <x:c r="AE715"/>
      <x:c r="AF715"/>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x:c r="C716"/>
      <x:c r="D716"/>
      <x:c r="E716"/>
      <x:c r="F716"/>
      <x:c r="G716"/>
      <x:c r="H716"/>
      <x:c r="I716"/>
      <x:c r="J716"/>
      <x:c r="K716"/>
      <x:c r="L716"/>
      <x:c r="M716"/>
      <x:c r="N716"/>
      <x:c r="O716"/>
      <x:c r="P716"/>
      <x:c r="Q716"/>
      <x:c r="R716"/>
      <x:c r="S716"/>
      <x:c r="T716"/>
      <x:c r="U716"/>
      <x:c r="V716"/>
      <x:c r="W716"/>
      <x:c r="X716"/>
      <x:c r="Y716"/>
      <x:c r="Z716"/>
      <x:c r="AA716"/>
      <x:c r="AB716"/>
      <x:c r="AC716"/>
      <x:c r="AD716"/>
      <x:c r="AE716"/>
      <x:c r="AF716"/>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x:c r="C717"/>
      <x:c r="D717"/>
      <x:c r="E717"/>
      <x:c r="F717"/>
      <x:c r="G717"/>
      <x:c r="H717"/>
      <x:c r="I717"/>
      <x:c r="J717"/>
      <x:c r="K717"/>
      <x:c r="L717"/>
      <x:c r="M717"/>
      <x:c r="N717"/>
      <x:c r="O717"/>
      <x:c r="P717"/>
      <x:c r="Q717"/>
      <x:c r="R717"/>
      <x:c r="S717"/>
      <x:c r="T717"/>
      <x:c r="U717"/>
      <x:c r="V717"/>
      <x:c r="W717"/>
      <x:c r="X717"/>
      <x:c r="Y717"/>
      <x:c r="Z717"/>
      <x:c r="AA717"/>
      <x:c r="AB717"/>
      <x:c r="AC717"/>
      <x:c r="AD717"/>
      <x:c r="AE717"/>
      <x:c r="AF717"/>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x:c r="C718"/>
      <x:c r="D718"/>
      <x:c r="E718"/>
      <x:c r="F718"/>
      <x:c r="G718"/>
      <x:c r="H718"/>
      <x:c r="I718"/>
      <x:c r="J718"/>
      <x:c r="K718"/>
      <x:c r="L718"/>
      <x:c r="M718"/>
      <x:c r="N718"/>
      <x:c r="O718"/>
      <x:c r="P718"/>
      <x:c r="Q718"/>
      <x:c r="R718"/>
      <x:c r="S718"/>
      <x:c r="T718"/>
      <x:c r="U718"/>
      <x:c r="V718"/>
      <x:c r="W718"/>
      <x:c r="X718"/>
      <x:c r="Y718"/>
      <x:c r="Z718"/>
      <x:c r="AA718"/>
      <x:c r="AB718"/>
      <x:c r="AC718"/>
      <x:c r="AD718"/>
      <x:c r="AE718"/>
      <x:c r="AF718"/>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x:c r="C719"/>
      <x:c r="D719"/>
      <x:c r="E719"/>
      <x:c r="F719"/>
      <x:c r="G719"/>
      <x:c r="H719"/>
      <x:c r="I719"/>
      <x:c r="J719"/>
      <x:c r="K719"/>
      <x:c r="L719"/>
      <x:c r="M719"/>
      <x:c r="N719"/>
      <x:c r="O719"/>
      <x:c r="P719"/>
      <x:c r="Q719"/>
      <x:c r="R719"/>
      <x:c r="S719"/>
      <x:c r="T719"/>
      <x:c r="U719"/>
      <x:c r="V719"/>
      <x:c r="W719"/>
      <x:c r="X719"/>
      <x:c r="Y719"/>
      <x:c r="Z719"/>
      <x:c r="AA719"/>
      <x:c r="AB719"/>
      <x:c r="AC719"/>
      <x:c r="AD719"/>
      <x:c r="AE719"/>
      <x:c r="AF719"/>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x:c r="C720"/>
      <x:c r="D720"/>
      <x:c r="E720"/>
      <x:c r="F720"/>
      <x:c r="G720"/>
      <x:c r="H720"/>
      <x:c r="I720"/>
      <x:c r="J720"/>
      <x:c r="K720"/>
      <x:c r="L720"/>
      <x:c r="M720"/>
      <x:c r="N720"/>
      <x:c r="O720"/>
      <x:c r="P720"/>
      <x:c r="Q720"/>
      <x:c r="R720"/>
      <x:c r="S720"/>
      <x:c r="T720"/>
      <x:c r="U720"/>
      <x:c r="V720"/>
      <x:c r="W720"/>
      <x:c r="X720"/>
      <x:c r="Y720"/>
      <x:c r="Z720"/>
      <x:c r="AA720"/>
      <x:c r="AB720"/>
      <x:c r="AC720"/>
      <x:c r="AD720"/>
      <x:c r="AE720"/>
      <x:c r="AF720"/>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x:c r="C721"/>
      <x:c r="D721"/>
      <x:c r="E721"/>
      <x:c r="F721"/>
      <x:c r="G721"/>
      <x:c r="H721"/>
      <x:c r="I721"/>
      <x:c r="J721"/>
      <x:c r="K721"/>
      <x:c r="L721"/>
      <x:c r="M721"/>
      <x:c r="N721"/>
      <x:c r="O721"/>
      <x:c r="P721"/>
      <x:c r="Q721"/>
      <x:c r="R721"/>
      <x:c r="S721"/>
      <x:c r="T721"/>
      <x:c r="U721"/>
      <x:c r="V721"/>
      <x:c r="W721"/>
      <x:c r="X721"/>
      <x:c r="Y721"/>
      <x:c r="Z721"/>
      <x:c r="AA721"/>
      <x:c r="AB721"/>
      <x:c r="AC721"/>
      <x:c r="AD721"/>
      <x:c r="AE721"/>
      <x:c r="AF721"/>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x:c r="C722"/>
      <x:c r="D722"/>
      <x:c r="E722"/>
      <x:c r="F722"/>
      <x:c r="G722"/>
      <x:c r="H722"/>
      <x:c r="I722"/>
      <x:c r="J722"/>
      <x:c r="K722"/>
      <x:c r="L722"/>
      <x:c r="M722"/>
      <x:c r="N722"/>
      <x:c r="O722"/>
      <x:c r="P722"/>
      <x:c r="Q722"/>
      <x:c r="R722"/>
      <x:c r="S722"/>
      <x:c r="T722"/>
      <x:c r="U722"/>
      <x:c r="V722"/>
      <x:c r="W722"/>
      <x:c r="X722"/>
      <x:c r="Y722"/>
      <x:c r="Z722"/>
      <x:c r="AA722"/>
      <x:c r="AB722"/>
      <x:c r="AC722"/>
      <x:c r="AD722"/>
      <x:c r="AE722"/>
      <x:c r="AF722"/>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x:c r="C723"/>
      <x:c r="D723"/>
      <x:c r="E723"/>
      <x:c r="F723"/>
      <x:c r="G723"/>
      <x:c r="H723"/>
      <x:c r="I723"/>
      <x:c r="J723"/>
      <x:c r="K723"/>
      <x:c r="L723"/>
      <x:c r="M723"/>
      <x:c r="N723"/>
      <x:c r="O723"/>
      <x:c r="P723"/>
      <x:c r="Q723"/>
      <x:c r="R723"/>
      <x:c r="S723"/>
      <x:c r="T723"/>
      <x:c r="U723"/>
      <x:c r="V723"/>
      <x:c r="W723"/>
      <x:c r="X723"/>
      <x:c r="Y723"/>
      <x:c r="Z723"/>
      <x:c r="AA723"/>
      <x:c r="AB723"/>
      <x:c r="AC723"/>
      <x:c r="AD723"/>
      <x:c r="AE723"/>
      <x:c r="AF723"/>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x:c r="C724"/>
      <x:c r="D724"/>
      <x:c r="E724"/>
      <x:c r="F724"/>
      <x:c r="G724"/>
      <x:c r="H724"/>
      <x:c r="I724"/>
      <x:c r="J724"/>
      <x:c r="K724"/>
      <x:c r="L724"/>
      <x:c r="M724"/>
      <x:c r="N724"/>
      <x:c r="O724"/>
      <x:c r="P724"/>
      <x:c r="Q724"/>
      <x:c r="R724"/>
      <x:c r="S724"/>
      <x:c r="T724"/>
      <x:c r="U724"/>
      <x:c r="V724"/>
      <x:c r="W724"/>
      <x:c r="X724"/>
      <x:c r="Y724"/>
      <x:c r="Z724"/>
      <x:c r="AA724"/>
      <x:c r="AB724"/>
      <x:c r="AC724"/>
      <x:c r="AD724"/>
      <x:c r="AE724"/>
      <x:c r="AF724"/>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x:c r="C725"/>
      <x:c r="D725"/>
      <x:c r="E725"/>
      <x:c r="F725"/>
      <x:c r="G725"/>
      <x:c r="H725"/>
      <x:c r="I725"/>
      <x:c r="J725"/>
      <x:c r="K725"/>
      <x:c r="L725"/>
      <x:c r="M725"/>
      <x:c r="N725"/>
      <x:c r="O725"/>
      <x:c r="P725"/>
      <x:c r="Q725"/>
      <x:c r="R725"/>
      <x:c r="S725"/>
      <x:c r="T725"/>
      <x:c r="U725"/>
      <x:c r="V725"/>
      <x:c r="W725"/>
      <x:c r="X725"/>
      <x:c r="Y725"/>
      <x:c r="Z725"/>
      <x:c r="AA725"/>
      <x:c r="AB725"/>
      <x:c r="AC725"/>
      <x:c r="AD725"/>
      <x:c r="AE725"/>
      <x:c r="AF725"/>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x:c r="C726"/>
      <x:c r="D726"/>
      <x:c r="E726"/>
      <x:c r="F726"/>
      <x:c r="G726"/>
      <x:c r="H726"/>
      <x:c r="I726"/>
      <x:c r="J726"/>
      <x:c r="K726"/>
      <x:c r="L726"/>
      <x:c r="M726"/>
      <x:c r="N726"/>
      <x:c r="O726"/>
      <x:c r="P726"/>
      <x:c r="Q726"/>
      <x:c r="R726"/>
      <x:c r="S726"/>
      <x:c r="T726"/>
      <x:c r="U726"/>
      <x:c r="V726"/>
      <x:c r="W726"/>
      <x:c r="X726"/>
      <x:c r="Y726"/>
      <x:c r="Z726"/>
      <x:c r="AA726"/>
      <x:c r="AB726"/>
      <x:c r="AC726"/>
      <x:c r="AD726"/>
      <x:c r="AE726"/>
      <x:c r="AF726"/>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x:c r="C727"/>
      <x:c r="D727"/>
      <x:c r="E727"/>
      <x:c r="F727"/>
      <x:c r="G727"/>
      <x:c r="H727"/>
      <x:c r="I727"/>
      <x:c r="J727"/>
      <x:c r="K727"/>
      <x:c r="L727"/>
      <x:c r="M727"/>
      <x:c r="N727"/>
      <x:c r="O727"/>
      <x:c r="P727"/>
      <x:c r="Q727"/>
      <x:c r="R727"/>
      <x:c r="S727"/>
      <x:c r="T727"/>
      <x:c r="U727"/>
      <x:c r="V727"/>
      <x:c r="W727"/>
      <x:c r="X727"/>
      <x:c r="Y727"/>
      <x:c r="Z727"/>
      <x:c r="AA727"/>
      <x:c r="AB727"/>
      <x:c r="AC727"/>
      <x:c r="AD727"/>
      <x:c r="AE727"/>
      <x:c r="AF727"/>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x:c r="C728"/>
      <x:c r="D728"/>
      <x:c r="E728"/>
      <x:c r="F728"/>
      <x:c r="G728"/>
      <x:c r="H728"/>
      <x:c r="I728"/>
      <x:c r="J728"/>
      <x:c r="K728"/>
      <x:c r="L728"/>
      <x:c r="M728"/>
      <x:c r="N728"/>
      <x:c r="O728"/>
      <x:c r="P728"/>
      <x:c r="Q728"/>
      <x:c r="R728"/>
      <x:c r="S728"/>
      <x:c r="T728"/>
      <x:c r="U728"/>
      <x:c r="V728"/>
      <x:c r="W728"/>
      <x:c r="X728"/>
      <x:c r="Y728"/>
      <x:c r="Z728"/>
      <x:c r="AA728"/>
      <x:c r="AB728"/>
      <x:c r="AC728"/>
      <x:c r="AD728"/>
      <x:c r="AE728"/>
      <x:c r="AF728"/>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x:c r="C729"/>
      <x:c r="D729"/>
      <x:c r="E729"/>
      <x:c r="F729"/>
      <x:c r="G729"/>
      <x:c r="H729"/>
      <x:c r="I729"/>
      <x:c r="J729"/>
      <x:c r="K729"/>
      <x:c r="L729"/>
      <x:c r="M729"/>
      <x:c r="N729"/>
      <x:c r="O729"/>
      <x:c r="P729"/>
      <x:c r="Q729"/>
      <x:c r="R729"/>
      <x:c r="S729"/>
      <x:c r="T729"/>
      <x:c r="U729"/>
      <x:c r="V729"/>
      <x:c r="W729"/>
      <x:c r="X729"/>
      <x:c r="Y729"/>
      <x:c r="Z729"/>
      <x:c r="AA729"/>
      <x:c r="AB729"/>
      <x:c r="AC729"/>
      <x:c r="AD729"/>
      <x:c r="AE729"/>
      <x:c r="AF729"/>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x:c r="C730"/>
      <x:c r="D730"/>
      <x:c r="E730"/>
      <x:c r="F730"/>
      <x:c r="G730"/>
      <x:c r="H730"/>
      <x:c r="I730"/>
      <x:c r="J730"/>
      <x:c r="K730"/>
      <x:c r="L730"/>
      <x:c r="M730"/>
      <x:c r="N730"/>
      <x:c r="O730"/>
      <x:c r="P730"/>
      <x:c r="Q730"/>
      <x:c r="R730"/>
      <x:c r="S730"/>
      <x:c r="T730"/>
      <x:c r="U730"/>
      <x:c r="V730"/>
      <x:c r="W730"/>
      <x:c r="X730"/>
      <x:c r="Y730"/>
      <x:c r="Z730"/>
      <x:c r="AA730"/>
      <x:c r="AB730"/>
      <x:c r="AC730"/>
      <x:c r="AD730"/>
      <x:c r="AE730"/>
      <x:c r="AF730"/>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x:c r="C731"/>
      <x:c r="D731"/>
      <x:c r="E731"/>
      <x:c r="F731"/>
      <x:c r="G731"/>
      <x:c r="H731"/>
      <x:c r="I731"/>
      <x:c r="J731"/>
      <x:c r="K731"/>
      <x:c r="L731"/>
      <x:c r="M731"/>
      <x:c r="N731"/>
      <x:c r="O731"/>
      <x:c r="P731"/>
      <x:c r="Q731"/>
      <x:c r="R731"/>
      <x:c r="S731"/>
      <x:c r="T731"/>
      <x:c r="U731"/>
      <x:c r="V731"/>
      <x:c r="W731"/>
      <x:c r="X731"/>
      <x:c r="Y731"/>
      <x:c r="Z731"/>
      <x:c r="AA731"/>
      <x:c r="AB731"/>
      <x:c r="AC731"/>
      <x:c r="AD731"/>
      <x:c r="AE731"/>
      <x:c r="AF731"/>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x:c r="C732"/>
      <x:c r="D732"/>
      <x:c r="E732"/>
      <x:c r="F732"/>
      <x:c r="G732"/>
      <x:c r="H732"/>
      <x:c r="I732"/>
      <x:c r="J732"/>
      <x:c r="K732"/>
      <x:c r="L732"/>
      <x:c r="M732"/>
      <x:c r="N732"/>
      <x:c r="O732"/>
      <x:c r="P732"/>
      <x:c r="Q732"/>
      <x:c r="R732"/>
      <x:c r="S732"/>
      <x:c r="T732"/>
      <x:c r="U732"/>
      <x:c r="V732"/>
      <x:c r="W732"/>
      <x:c r="X732"/>
      <x:c r="Y732"/>
      <x:c r="Z732"/>
      <x:c r="AA732"/>
      <x:c r="AB732"/>
      <x:c r="AC732"/>
      <x:c r="AD732"/>
      <x:c r="AE732"/>
      <x:c r="AF732"/>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x:c r="C733"/>
      <x:c r="D733"/>
      <x:c r="E733"/>
      <x:c r="F733"/>
      <x:c r="G733"/>
      <x:c r="H733"/>
      <x:c r="I733"/>
      <x:c r="J733"/>
      <x:c r="K733"/>
      <x:c r="L733"/>
      <x:c r="M733"/>
      <x:c r="N733"/>
      <x:c r="O733"/>
      <x:c r="P733"/>
      <x:c r="Q733"/>
      <x:c r="R733"/>
      <x:c r="S733"/>
      <x:c r="T733"/>
      <x:c r="U733"/>
      <x:c r="V733"/>
      <x:c r="W733"/>
      <x:c r="X733"/>
      <x:c r="Y733"/>
      <x:c r="Z733"/>
      <x:c r="AA733"/>
      <x:c r="AB733"/>
      <x:c r="AC733"/>
      <x:c r="AD733"/>
      <x:c r="AE733"/>
      <x:c r="AF733"/>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x:c r="C734"/>
      <x:c r="D734"/>
      <x:c r="E734"/>
      <x:c r="F734"/>
      <x:c r="G734"/>
      <x:c r="H734"/>
      <x:c r="I734"/>
      <x:c r="J734"/>
      <x:c r="K734"/>
      <x:c r="L734"/>
      <x:c r="M734"/>
      <x:c r="N734"/>
      <x:c r="O734"/>
      <x:c r="P734"/>
      <x:c r="Q734"/>
      <x:c r="R734"/>
      <x:c r="S734"/>
      <x:c r="T734"/>
      <x:c r="U734"/>
      <x:c r="V734"/>
      <x:c r="W734"/>
      <x:c r="X734"/>
      <x:c r="Y734"/>
      <x:c r="Z734"/>
      <x:c r="AA734"/>
      <x:c r="AB734"/>
      <x:c r="AC734"/>
      <x:c r="AD734"/>
      <x:c r="AE734"/>
      <x:c r="AF734"/>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x:c r="C735"/>
      <x:c r="D735"/>
      <x:c r="E735"/>
      <x:c r="F735"/>
      <x:c r="G735"/>
      <x:c r="H735"/>
      <x:c r="I735"/>
      <x:c r="J735"/>
      <x:c r="K735"/>
      <x:c r="L735"/>
      <x:c r="M735"/>
      <x:c r="N735"/>
      <x:c r="O735"/>
      <x:c r="P735"/>
      <x:c r="Q735"/>
      <x:c r="R735"/>
      <x:c r="S735"/>
      <x:c r="T735"/>
      <x:c r="U735"/>
      <x:c r="V735"/>
      <x:c r="W735"/>
      <x:c r="X735"/>
      <x:c r="Y735"/>
      <x:c r="Z735"/>
      <x:c r="AA735"/>
      <x:c r="AB735"/>
      <x:c r="AC735"/>
      <x:c r="AD735"/>
      <x:c r="AE735"/>
      <x:c r="AF735"/>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x:c r="C736"/>
      <x:c r="D736"/>
      <x:c r="E736"/>
      <x:c r="F736"/>
      <x:c r="G736"/>
      <x:c r="H736"/>
      <x:c r="I736"/>
      <x:c r="J736"/>
      <x:c r="K736"/>
      <x:c r="L736"/>
      <x:c r="M736"/>
      <x:c r="N736"/>
      <x:c r="O736"/>
      <x:c r="P736"/>
      <x:c r="Q736"/>
      <x:c r="R736"/>
      <x:c r="S736"/>
      <x:c r="T736"/>
      <x:c r="U736"/>
      <x:c r="V736"/>
      <x:c r="W736"/>
      <x:c r="X736"/>
      <x:c r="Y736"/>
      <x:c r="Z736"/>
      <x:c r="AA736"/>
      <x:c r="AB736"/>
      <x:c r="AC736"/>
      <x:c r="AD736"/>
      <x:c r="AE736"/>
      <x:c r="AF736"/>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x:c r="C737"/>
      <x:c r="D737"/>
      <x:c r="E737"/>
      <x:c r="F737"/>
      <x:c r="G737"/>
      <x:c r="H737"/>
      <x:c r="I737"/>
      <x:c r="J737"/>
      <x:c r="K737"/>
      <x:c r="L737"/>
      <x:c r="M737"/>
      <x:c r="N737"/>
      <x:c r="O737"/>
      <x:c r="P737"/>
      <x:c r="Q737"/>
      <x:c r="R737"/>
      <x:c r="S737"/>
      <x:c r="T737"/>
      <x:c r="U737"/>
      <x:c r="V737"/>
      <x:c r="W737"/>
      <x:c r="X737"/>
      <x:c r="Y737"/>
      <x:c r="Z737"/>
      <x:c r="AA737"/>
      <x:c r="AB737"/>
      <x:c r="AC737"/>
      <x:c r="AD737"/>
      <x:c r="AE737"/>
      <x:c r="AF737"/>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x:c r="C738"/>
      <x:c r="D738"/>
      <x:c r="E738"/>
      <x:c r="F738"/>
      <x:c r="G738"/>
      <x:c r="H738"/>
      <x:c r="I738"/>
      <x:c r="J738"/>
      <x:c r="K738"/>
      <x:c r="L738"/>
      <x:c r="M738"/>
      <x:c r="N738"/>
      <x:c r="O738"/>
      <x:c r="P738"/>
      <x:c r="Q738"/>
      <x:c r="R738"/>
      <x:c r="S738"/>
      <x:c r="T738"/>
      <x:c r="U738"/>
      <x:c r="V738"/>
      <x:c r="W738"/>
      <x:c r="X738"/>
      <x:c r="Y738"/>
      <x:c r="Z738"/>
      <x:c r="AA738"/>
      <x:c r="AB738"/>
      <x:c r="AC738"/>
      <x:c r="AD738"/>
      <x:c r="AE738"/>
      <x:c r="AF738"/>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x:c r="C739"/>
      <x:c r="D739"/>
      <x:c r="E739"/>
      <x:c r="F739"/>
      <x:c r="G739"/>
      <x:c r="H739"/>
      <x:c r="I739"/>
      <x:c r="J739"/>
      <x:c r="K739"/>
      <x:c r="L739"/>
      <x:c r="M739"/>
      <x:c r="N739"/>
      <x:c r="O739"/>
      <x:c r="P739"/>
      <x:c r="Q739"/>
      <x:c r="R739"/>
      <x:c r="S739"/>
      <x:c r="T739"/>
      <x:c r="U739"/>
      <x:c r="V739"/>
      <x:c r="W739"/>
      <x:c r="X739"/>
      <x:c r="Y739"/>
      <x:c r="Z739"/>
      <x:c r="AA739"/>
      <x:c r="AB739"/>
      <x:c r="AC739"/>
      <x:c r="AD739"/>
      <x:c r="AE739"/>
      <x:c r="AF739"/>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x:c r="C740"/>
      <x:c r="D740"/>
      <x:c r="E740"/>
      <x:c r="F740"/>
      <x:c r="G740"/>
      <x:c r="H740"/>
      <x:c r="I740"/>
      <x:c r="J740"/>
      <x:c r="K740"/>
      <x:c r="L740"/>
      <x:c r="M740"/>
      <x:c r="N740"/>
      <x:c r="O740"/>
      <x:c r="P740"/>
      <x:c r="Q740"/>
      <x:c r="R740"/>
      <x:c r="S740"/>
      <x:c r="T740"/>
      <x:c r="U740"/>
      <x:c r="V740"/>
      <x:c r="W740"/>
      <x:c r="X740"/>
      <x:c r="Y740"/>
      <x:c r="Z740"/>
      <x:c r="AA740"/>
      <x:c r="AB740"/>
      <x:c r="AC740"/>
      <x:c r="AD740"/>
      <x:c r="AE740"/>
      <x:c r="AF740"/>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x:c r="C741"/>
      <x:c r="D741"/>
      <x:c r="E741"/>
      <x:c r="F741"/>
      <x:c r="G741"/>
      <x:c r="H741"/>
      <x:c r="I741"/>
      <x:c r="J741"/>
      <x:c r="K741"/>
      <x:c r="L741"/>
      <x:c r="M741"/>
      <x:c r="N741"/>
      <x:c r="O741"/>
      <x:c r="P741"/>
      <x:c r="Q741"/>
      <x:c r="R741"/>
      <x:c r="S741"/>
      <x:c r="T741"/>
      <x:c r="U741"/>
      <x:c r="V741"/>
      <x:c r="W741"/>
      <x:c r="X741"/>
      <x:c r="Y741"/>
      <x:c r="Z741"/>
      <x:c r="AA741"/>
      <x:c r="AB741"/>
      <x:c r="AC741"/>
      <x:c r="AD741"/>
      <x:c r="AE741"/>
      <x:c r="AF741"/>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x:c r="C742"/>
      <x:c r="D742"/>
      <x:c r="E742"/>
      <x:c r="F742"/>
      <x:c r="G742"/>
      <x:c r="H742"/>
      <x:c r="I742"/>
      <x:c r="J742"/>
      <x:c r="K742"/>
      <x:c r="L742"/>
      <x:c r="M742"/>
      <x:c r="N742"/>
      <x:c r="O742"/>
      <x:c r="P742"/>
      <x:c r="Q742"/>
      <x:c r="R742"/>
      <x:c r="S742"/>
      <x:c r="T742"/>
      <x:c r="U742"/>
      <x:c r="V742"/>
      <x:c r="W742"/>
      <x:c r="X742"/>
      <x:c r="Y742"/>
      <x:c r="Z742"/>
      <x:c r="AA742"/>
      <x:c r="AB742"/>
      <x:c r="AC742"/>
      <x:c r="AD742"/>
      <x:c r="AE742"/>
      <x:c r="AF742"/>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x:c r="C743"/>
      <x:c r="D743"/>
      <x:c r="E743"/>
      <x:c r="F743"/>
      <x:c r="G743"/>
      <x:c r="H743"/>
      <x:c r="I743"/>
      <x:c r="J743"/>
      <x:c r="K743"/>
      <x:c r="L743"/>
      <x:c r="M743"/>
      <x:c r="N743"/>
      <x:c r="O743"/>
      <x:c r="P743"/>
      <x:c r="Q743"/>
      <x:c r="R743"/>
      <x:c r="S743"/>
      <x:c r="T743"/>
      <x:c r="U743"/>
      <x:c r="V743"/>
      <x:c r="W743"/>
      <x:c r="X743"/>
      <x:c r="Y743"/>
      <x:c r="Z743"/>
      <x:c r="AA743"/>
      <x:c r="AB743"/>
      <x:c r="AC743"/>
      <x:c r="AD743"/>
      <x:c r="AE743"/>
      <x:c r="AF743"/>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x:c r="C744"/>
      <x:c r="D744"/>
      <x:c r="E744"/>
      <x:c r="F744"/>
      <x:c r="G744"/>
      <x:c r="H744"/>
      <x:c r="I744"/>
      <x:c r="J744"/>
      <x:c r="K744"/>
      <x:c r="L744"/>
      <x:c r="M744"/>
      <x:c r="N744"/>
      <x:c r="O744"/>
      <x:c r="P744"/>
      <x:c r="Q744"/>
      <x:c r="R744"/>
      <x:c r="S744"/>
      <x:c r="T744"/>
      <x:c r="U744"/>
      <x:c r="V744"/>
      <x:c r="W744"/>
      <x:c r="X744"/>
      <x:c r="Y744"/>
      <x:c r="Z744"/>
      <x:c r="AA744"/>
      <x:c r="AB744"/>
      <x:c r="AC744"/>
      <x:c r="AD744"/>
      <x:c r="AE744"/>
      <x:c r="AF744"/>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x:c r="C745"/>
      <x:c r="D745"/>
      <x:c r="E745"/>
      <x:c r="F745"/>
      <x:c r="G745"/>
      <x:c r="H745"/>
      <x:c r="I745"/>
      <x:c r="J745"/>
      <x:c r="K745"/>
      <x:c r="L745"/>
      <x:c r="M745"/>
      <x:c r="N745"/>
      <x:c r="O745"/>
      <x:c r="P745"/>
      <x:c r="Q745"/>
      <x:c r="R745"/>
      <x:c r="S745"/>
      <x:c r="T745"/>
      <x:c r="U745"/>
      <x:c r="V745"/>
      <x:c r="W745"/>
      <x:c r="X745"/>
      <x:c r="Y745"/>
      <x:c r="Z745"/>
      <x:c r="AA745"/>
      <x:c r="AB745"/>
      <x:c r="AC745"/>
      <x:c r="AD745"/>
      <x:c r="AE745"/>
      <x:c r="AF745"/>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x:c r="C746"/>
      <x:c r="D746"/>
      <x:c r="E746"/>
      <x:c r="F746"/>
      <x:c r="G746"/>
      <x:c r="H746"/>
      <x:c r="I746"/>
      <x:c r="J746"/>
      <x:c r="K746"/>
      <x:c r="L746"/>
      <x:c r="M746"/>
      <x:c r="N746"/>
      <x:c r="O746"/>
      <x:c r="P746"/>
      <x:c r="Q746"/>
      <x:c r="R746"/>
      <x:c r="S746"/>
      <x:c r="T746"/>
      <x:c r="U746"/>
      <x:c r="V746"/>
      <x:c r="W746"/>
      <x:c r="X746"/>
      <x:c r="Y746"/>
      <x:c r="Z746"/>
      <x:c r="AA746"/>
      <x:c r="AB746"/>
      <x:c r="AC746"/>
      <x:c r="AD746"/>
      <x:c r="AE746"/>
      <x:c r="AF746"/>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C747"/>
      <x:c r="D747"/>
      <x:c r="E747"/>
      <x:c r="F747"/>
      <x:c r="G747"/>
      <x:c r="H747"/>
      <x:c r="I747"/>
      <x:c r="J747"/>
      <x:c r="K747"/>
      <x:c r="L747"/>
      <x:c r="M747"/>
      <x:c r="N747"/>
      <x:c r="O747"/>
      <x:c r="P747"/>
      <x:c r="Q747"/>
      <x:c r="R747"/>
      <x:c r="S747"/>
      <x:c r="T747"/>
      <x:c r="U747"/>
      <x:c r="V747"/>
      <x:c r="W747"/>
      <x:c r="X747"/>
      <x:c r="Y747"/>
      <x:c r="Z747"/>
      <x:c r="AA747"/>
      <x:c r="AB747"/>
      <x:c r="AC747"/>
      <x:c r="AD747"/>
      <x:c r="AE747"/>
      <x:c r="AF747"/>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x:c r="C748"/>
      <x:c r="D748"/>
      <x:c r="E748"/>
      <x:c r="F748"/>
      <x:c r="G748"/>
      <x:c r="H748"/>
      <x:c r="I748"/>
      <x:c r="J748"/>
      <x:c r="K748"/>
      <x:c r="L748"/>
      <x:c r="M748"/>
      <x:c r="N748"/>
      <x:c r="O748"/>
      <x:c r="P748"/>
      <x:c r="Q748"/>
      <x:c r="R748"/>
      <x:c r="S748"/>
      <x:c r="T748"/>
      <x:c r="U748"/>
      <x:c r="V748"/>
      <x:c r="W748"/>
      <x:c r="X748"/>
      <x:c r="Y748"/>
      <x:c r="Z748"/>
      <x:c r="AA748"/>
      <x:c r="AB748"/>
      <x:c r="AC748"/>
      <x:c r="AD748"/>
      <x:c r="AE748"/>
      <x:c r="AF748"/>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x:c r="C749"/>
      <x:c r="D749"/>
      <x:c r="E749"/>
      <x:c r="F749"/>
      <x:c r="G749"/>
      <x:c r="H749"/>
      <x:c r="I749"/>
      <x:c r="J749"/>
      <x:c r="K749"/>
      <x:c r="L749"/>
      <x:c r="M749"/>
      <x:c r="N749"/>
      <x:c r="O749"/>
      <x:c r="P749"/>
      <x:c r="Q749"/>
      <x:c r="R749"/>
      <x:c r="S749"/>
      <x:c r="T749"/>
      <x:c r="U749"/>
      <x:c r="V749"/>
      <x:c r="W749"/>
      <x:c r="X749"/>
      <x:c r="Y749"/>
      <x:c r="Z749"/>
      <x:c r="AA749"/>
      <x:c r="AB749"/>
      <x:c r="AC749"/>
      <x:c r="AD749"/>
      <x:c r="AE749"/>
      <x:c r="AF749"/>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C750"/>
      <x:c r="D750"/>
      <x:c r="E750"/>
      <x:c r="F750"/>
      <x:c r="G750"/>
      <x:c r="H750"/>
      <x:c r="I750"/>
      <x:c r="J750"/>
      <x:c r="K750"/>
      <x:c r="L750"/>
      <x:c r="M750"/>
      <x:c r="N750"/>
      <x:c r="O750"/>
      <x:c r="P750"/>
      <x:c r="Q750"/>
      <x:c r="R750"/>
      <x:c r="S750"/>
      <x:c r="T750"/>
      <x:c r="U750"/>
      <x:c r="V750"/>
      <x:c r="W750"/>
      <x:c r="X750"/>
      <x:c r="Y750"/>
      <x:c r="Z750"/>
      <x:c r="AA750"/>
      <x:c r="AB750"/>
      <x:c r="AC750"/>
      <x:c r="AD750"/>
      <x:c r="AE750"/>
      <x:c r="AF750"/>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x:c r="C751"/>
      <x:c r="D751"/>
      <x:c r="E751"/>
      <x:c r="F751"/>
      <x:c r="G751"/>
      <x:c r="H751"/>
      <x:c r="I751"/>
      <x:c r="J751"/>
      <x:c r="K751"/>
      <x:c r="L751"/>
      <x:c r="M751"/>
      <x:c r="N751"/>
      <x:c r="O751"/>
      <x:c r="P751"/>
      <x:c r="Q751"/>
      <x:c r="R751"/>
      <x:c r="S751"/>
      <x:c r="T751"/>
      <x:c r="U751"/>
      <x:c r="V751"/>
      <x:c r="W751"/>
      <x:c r="X751"/>
      <x:c r="Y751"/>
      <x:c r="Z751"/>
      <x:c r="AA751"/>
      <x:c r="AB751"/>
      <x:c r="AC751"/>
      <x:c r="AD751"/>
      <x:c r="AE751"/>
      <x:c r="AF751"/>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x:c r="C752"/>
      <x:c r="D752"/>
      <x:c r="E752"/>
      <x:c r="F752"/>
      <x:c r="G752"/>
      <x:c r="H752"/>
      <x:c r="I752"/>
      <x:c r="J752"/>
      <x:c r="K752"/>
      <x:c r="L752"/>
      <x:c r="M752"/>
      <x:c r="N752"/>
      <x:c r="O752"/>
      <x:c r="P752"/>
      <x:c r="Q752"/>
      <x:c r="R752"/>
      <x:c r="S752"/>
      <x:c r="T752"/>
      <x:c r="U752"/>
      <x:c r="V752"/>
      <x:c r="W752"/>
      <x:c r="X752"/>
      <x:c r="Y752"/>
      <x:c r="Z752"/>
      <x:c r="AA752"/>
      <x:c r="AB752"/>
      <x:c r="AC752"/>
      <x:c r="AD752"/>
      <x:c r="AE752"/>
      <x:c r="AF752"/>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C753"/>
      <x:c r="D753"/>
      <x:c r="E753"/>
      <x:c r="F753"/>
      <x:c r="G753"/>
      <x:c r="H753"/>
      <x:c r="I753"/>
      <x:c r="J753"/>
      <x:c r="K753"/>
      <x:c r="L753"/>
      <x:c r="M753"/>
      <x:c r="N753"/>
      <x:c r="O753"/>
      <x:c r="P753"/>
      <x:c r="Q753"/>
      <x:c r="R753"/>
      <x:c r="S753"/>
      <x:c r="T753"/>
      <x:c r="U753"/>
      <x:c r="V753"/>
      <x:c r="W753"/>
      <x:c r="X753"/>
      <x:c r="Y753"/>
      <x:c r="Z753"/>
      <x:c r="AA753"/>
      <x:c r="AB753"/>
      <x:c r="AC753"/>
      <x:c r="AD753"/>
      <x:c r="AE753"/>
      <x:c r="AF753"/>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x:c r="C754"/>
      <x:c r="D754"/>
      <x:c r="E754"/>
      <x:c r="F754"/>
      <x:c r="G754"/>
      <x:c r="H754"/>
      <x:c r="I754"/>
      <x:c r="J754"/>
      <x:c r="K754"/>
      <x:c r="L754"/>
      <x:c r="M754"/>
      <x:c r="N754"/>
      <x:c r="O754"/>
      <x:c r="P754"/>
      <x:c r="Q754"/>
      <x:c r="R754"/>
      <x:c r="S754"/>
      <x:c r="T754"/>
      <x:c r="U754"/>
      <x:c r="V754"/>
      <x:c r="W754"/>
      <x:c r="X754"/>
      <x:c r="Y754"/>
      <x:c r="Z754"/>
      <x:c r="AA754"/>
      <x:c r="AB754"/>
      <x:c r="AC754"/>
      <x:c r="AD754"/>
      <x:c r="AE754"/>
      <x:c r="AF754"/>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x:c r="C755"/>
      <x:c r="D755"/>
      <x:c r="E755"/>
      <x:c r="F755"/>
      <x:c r="G755"/>
      <x:c r="H755"/>
      <x:c r="I755"/>
      <x:c r="J755"/>
      <x:c r="K755"/>
      <x:c r="L755"/>
      <x:c r="M755"/>
      <x:c r="N755"/>
      <x:c r="O755"/>
      <x:c r="P755"/>
      <x:c r="Q755"/>
      <x:c r="R755"/>
      <x:c r="S755"/>
      <x:c r="T755"/>
      <x:c r="U755"/>
      <x:c r="V755"/>
      <x:c r="W755"/>
      <x:c r="X755"/>
      <x:c r="Y755"/>
      <x:c r="Z755"/>
      <x:c r="AA755"/>
      <x:c r="AB755"/>
      <x:c r="AC755"/>
      <x:c r="AD755"/>
      <x:c r="AE755"/>
      <x:c r="AF755"/>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x:c r="C756"/>
      <x:c r="D756"/>
      <x:c r="E756"/>
      <x:c r="F756"/>
      <x:c r="G756"/>
      <x:c r="H756"/>
      <x:c r="I756"/>
      <x:c r="J756"/>
      <x:c r="K756"/>
      <x:c r="L756"/>
      <x:c r="M756"/>
      <x:c r="N756"/>
      <x:c r="O756"/>
      <x:c r="P756"/>
      <x:c r="Q756"/>
      <x:c r="R756"/>
      <x:c r="S756"/>
      <x:c r="T756"/>
      <x:c r="U756"/>
      <x:c r="V756"/>
      <x:c r="W756"/>
      <x:c r="X756"/>
      <x:c r="Y756"/>
      <x:c r="Z756"/>
      <x:c r="AA756"/>
      <x:c r="AB756"/>
      <x:c r="AC756"/>
      <x:c r="AD756"/>
      <x:c r="AE756"/>
      <x:c r="AF756"/>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C757"/>
      <x:c r="D757"/>
      <x:c r="E757"/>
      <x:c r="F757"/>
      <x:c r="G757"/>
      <x:c r="H757"/>
      <x:c r="I757"/>
      <x:c r="J757"/>
      <x:c r="K757"/>
      <x:c r="L757"/>
      <x:c r="M757"/>
      <x:c r="N757"/>
      <x:c r="O757"/>
      <x:c r="P757"/>
      <x:c r="Q757"/>
      <x:c r="R757"/>
      <x:c r="S757"/>
      <x:c r="T757"/>
      <x:c r="U757"/>
      <x:c r="V757"/>
      <x:c r="W757"/>
      <x:c r="X757"/>
      <x:c r="Y757"/>
      <x:c r="Z757"/>
      <x:c r="AA757"/>
      <x:c r="AB757"/>
      <x:c r="AC757"/>
      <x:c r="AD757"/>
      <x:c r="AE757"/>
      <x:c r="AF757"/>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x:c r="C758"/>
      <x:c r="D758"/>
      <x:c r="E758"/>
      <x:c r="F758"/>
      <x:c r="G758"/>
      <x:c r="H758"/>
      <x:c r="I758"/>
      <x:c r="J758"/>
      <x:c r="K758"/>
      <x:c r="L758"/>
      <x:c r="M758"/>
      <x:c r="N758"/>
      <x:c r="O758"/>
      <x:c r="P758"/>
      <x:c r="Q758"/>
      <x:c r="R758"/>
      <x:c r="S758"/>
      <x:c r="T758"/>
      <x:c r="U758"/>
      <x:c r="V758"/>
      <x:c r="W758"/>
      <x:c r="X758"/>
      <x:c r="Y758"/>
      <x:c r="Z758"/>
      <x:c r="AA758"/>
      <x:c r="AB758"/>
      <x:c r="AC758"/>
      <x:c r="AD758"/>
      <x:c r="AE758"/>
      <x:c r="AF758"/>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x:c r="C759"/>
      <x:c r="D759"/>
      <x:c r="E759"/>
      <x:c r="F759"/>
      <x:c r="G759"/>
      <x:c r="H759"/>
      <x:c r="I759"/>
      <x:c r="J759"/>
      <x:c r="K759"/>
      <x:c r="L759"/>
      <x:c r="M759"/>
      <x:c r="N759"/>
      <x:c r="O759"/>
      <x:c r="P759"/>
      <x:c r="Q759"/>
      <x:c r="R759"/>
      <x:c r="S759"/>
      <x:c r="T759"/>
      <x:c r="U759"/>
      <x:c r="V759"/>
      <x:c r="W759"/>
      <x:c r="X759"/>
      <x:c r="Y759"/>
      <x:c r="Z759"/>
      <x:c r="AA759"/>
      <x:c r="AB759"/>
      <x:c r="AC759"/>
      <x:c r="AD759"/>
      <x:c r="AE759"/>
      <x:c r="AF759"/>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C760"/>
      <x:c r="D760"/>
      <x:c r="E760"/>
      <x:c r="F760"/>
      <x:c r="G760"/>
      <x:c r="H760"/>
      <x:c r="I760"/>
      <x:c r="J760"/>
      <x:c r="K760"/>
      <x:c r="L760"/>
      <x:c r="M760"/>
      <x:c r="N760"/>
      <x:c r="O760"/>
      <x:c r="P760"/>
      <x:c r="Q760"/>
      <x:c r="R760"/>
      <x:c r="S760"/>
      <x:c r="T760"/>
      <x:c r="U760"/>
      <x:c r="V760"/>
      <x:c r="W760"/>
      <x:c r="X760"/>
      <x:c r="Y760"/>
      <x:c r="Z760"/>
      <x:c r="AA760"/>
      <x:c r="AB760"/>
      <x:c r="AC760"/>
      <x:c r="AD760"/>
      <x:c r="AE760"/>
      <x:c r="AF760"/>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x:c r="C761"/>
      <x:c r="D761"/>
      <x:c r="E761"/>
      <x:c r="F761"/>
      <x:c r="G761"/>
      <x:c r="H761"/>
      <x:c r="I761"/>
      <x:c r="J761"/>
      <x:c r="K761"/>
      <x:c r="L761"/>
      <x:c r="M761"/>
      <x:c r="N761"/>
      <x:c r="O761"/>
      <x:c r="P761"/>
      <x:c r="Q761"/>
      <x:c r="R761"/>
      <x:c r="S761"/>
      <x:c r="T761"/>
      <x:c r="U761"/>
      <x:c r="V761"/>
      <x:c r="W761"/>
      <x:c r="X761"/>
      <x:c r="Y761"/>
      <x:c r="Z761"/>
      <x:c r="AA761"/>
      <x:c r="AB761"/>
      <x:c r="AC761"/>
      <x:c r="AD761"/>
      <x:c r="AE761"/>
      <x:c r="AF761"/>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x:c r="C762"/>
      <x:c r="D762"/>
      <x:c r="E762"/>
      <x:c r="F762"/>
      <x:c r="G762"/>
      <x:c r="H762"/>
      <x:c r="I762"/>
      <x:c r="J762"/>
      <x:c r="K762"/>
      <x:c r="L762"/>
      <x:c r="M762"/>
      <x:c r="N762"/>
      <x:c r="O762"/>
      <x:c r="P762"/>
      <x:c r="Q762"/>
      <x:c r="R762"/>
      <x:c r="S762"/>
      <x:c r="T762"/>
      <x:c r="U762"/>
      <x:c r="V762"/>
      <x:c r="W762"/>
      <x:c r="X762"/>
      <x:c r="Y762"/>
      <x:c r="Z762"/>
      <x:c r="AA762"/>
      <x:c r="AB762"/>
      <x:c r="AC762"/>
      <x:c r="AD762"/>
      <x:c r="AE762"/>
      <x:c r="AF762"/>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x:c r="C763"/>
      <x:c r="D763"/>
      <x:c r="E763"/>
      <x:c r="F763"/>
      <x:c r="G763"/>
      <x:c r="H763"/>
      <x:c r="I763"/>
      <x:c r="J763"/>
      <x:c r="K763"/>
      <x:c r="L763"/>
      <x:c r="M763"/>
      <x:c r="N763"/>
      <x:c r="O763"/>
      <x:c r="P763"/>
      <x:c r="Q763"/>
      <x:c r="R763"/>
      <x:c r="S763"/>
      <x:c r="T763"/>
      <x:c r="U763"/>
      <x:c r="V763"/>
      <x:c r="W763"/>
      <x:c r="X763"/>
      <x:c r="Y763"/>
      <x:c r="Z763"/>
      <x:c r="AA763"/>
      <x:c r="AB763"/>
      <x:c r="AC763"/>
      <x:c r="AD763"/>
      <x:c r="AE763"/>
      <x:c r="AF763"/>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x:c r="C764"/>
      <x:c r="D764"/>
      <x:c r="E764"/>
      <x:c r="F764"/>
      <x:c r="G764"/>
      <x:c r="H764"/>
      <x:c r="I764"/>
      <x:c r="J764"/>
      <x:c r="K764"/>
      <x:c r="L764"/>
      <x:c r="M764"/>
      <x:c r="N764"/>
      <x:c r="O764"/>
      <x:c r="P764"/>
      <x:c r="Q764"/>
      <x:c r="R764"/>
      <x:c r="S764"/>
      <x:c r="T764"/>
      <x:c r="U764"/>
      <x:c r="V764"/>
      <x:c r="W764"/>
      <x:c r="X764"/>
      <x:c r="Y764"/>
      <x:c r="Z764"/>
      <x:c r="AA764"/>
      <x:c r="AB764"/>
      <x:c r="AC764"/>
      <x:c r="AD764"/>
      <x:c r="AE764"/>
      <x:c r="AF764"/>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x:c r="C765"/>
      <x:c r="D765"/>
      <x:c r="E765"/>
      <x:c r="F765"/>
      <x:c r="G765"/>
      <x:c r="H765"/>
      <x:c r="I765"/>
      <x:c r="J765"/>
      <x:c r="K765"/>
      <x:c r="L765"/>
      <x:c r="M765"/>
      <x:c r="N765"/>
      <x:c r="O765"/>
      <x:c r="P765"/>
      <x:c r="Q765"/>
      <x:c r="R765"/>
      <x:c r="S765"/>
      <x:c r="T765"/>
      <x:c r="U765"/>
      <x:c r="V765"/>
      <x:c r="W765"/>
      <x:c r="X765"/>
      <x:c r="Y765"/>
      <x:c r="Z765"/>
      <x:c r="AA765"/>
      <x:c r="AB765"/>
      <x:c r="AC765"/>
      <x:c r="AD765"/>
      <x:c r="AE765"/>
      <x:c r="AF765"/>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x:c r="C766"/>
      <x:c r="D766"/>
      <x:c r="E766"/>
      <x:c r="F766"/>
      <x:c r="G766"/>
      <x:c r="H766"/>
      <x:c r="I766"/>
      <x:c r="J766"/>
      <x:c r="K766"/>
      <x:c r="L766"/>
      <x:c r="M766"/>
      <x:c r="N766"/>
      <x:c r="O766"/>
      <x:c r="P766"/>
      <x:c r="Q766"/>
      <x:c r="R766"/>
      <x:c r="S766"/>
      <x:c r="T766"/>
      <x:c r="U766"/>
      <x:c r="V766"/>
      <x:c r="W766"/>
      <x:c r="X766"/>
      <x:c r="Y766"/>
      <x:c r="Z766"/>
      <x:c r="AA766"/>
      <x:c r="AB766"/>
      <x:c r="AC766"/>
      <x:c r="AD766"/>
      <x:c r="AE766"/>
      <x:c r="AF766"/>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x:c r="C767"/>
      <x:c r="D767"/>
      <x:c r="E767"/>
      <x:c r="F767"/>
      <x:c r="G767"/>
      <x:c r="H767"/>
      <x:c r="I767"/>
      <x:c r="J767"/>
      <x:c r="K767"/>
      <x:c r="L767"/>
      <x:c r="M767"/>
      <x:c r="N767"/>
      <x:c r="O767"/>
      <x:c r="P767"/>
      <x:c r="Q767"/>
      <x:c r="R767"/>
      <x:c r="S767"/>
      <x:c r="T767"/>
      <x:c r="U767"/>
      <x:c r="V767"/>
      <x:c r="W767"/>
      <x:c r="X767"/>
      <x:c r="Y767"/>
      <x:c r="Z767"/>
      <x:c r="AA767"/>
      <x:c r="AB767"/>
      <x:c r="AC767"/>
      <x:c r="AD767"/>
      <x:c r="AE767"/>
      <x:c r="AF767"/>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C768"/>
      <x:c r="D768"/>
      <x:c r="E768"/>
      <x:c r="F768"/>
      <x:c r="G768"/>
      <x:c r="H768"/>
      <x:c r="I768"/>
      <x:c r="J768"/>
      <x:c r="K768"/>
      <x:c r="L768"/>
      <x:c r="M768"/>
      <x:c r="N768"/>
      <x:c r="O768"/>
      <x:c r="P768"/>
      <x:c r="Q768"/>
      <x:c r="R768"/>
      <x:c r="S768"/>
      <x:c r="T768"/>
      <x:c r="U768"/>
      <x:c r="V768"/>
      <x:c r="W768"/>
      <x:c r="X768"/>
      <x:c r="Y768"/>
      <x:c r="Z768"/>
      <x:c r="AA768"/>
      <x:c r="AB768"/>
      <x:c r="AC768"/>
      <x:c r="AD768"/>
      <x:c r="AE768"/>
      <x:c r="AF768"/>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x:c r="C769"/>
      <x:c r="D769"/>
      <x:c r="E769"/>
      <x:c r="F769"/>
      <x:c r="G769"/>
      <x:c r="H769"/>
      <x:c r="I769"/>
      <x:c r="J769"/>
      <x:c r="K769"/>
      <x:c r="L769"/>
      <x:c r="M769"/>
      <x:c r="N769"/>
      <x:c r="O769"/>
      <x:c r="P769"/>
      <x:c r="Q769"/>
      <x:c r="R769"/>
      <x:c r="S769"/>
      <x:c r="T769"/>
      <x:c r="U769"/>
      <x:c r="V769"/>
      <x:c r="W769"/>
      <x:c r="X769"/>
      <x:c r="Y769"/>
      <x:c r="Z769"/>
      <x:c r="AA769"/>
      <x:c r="AB769"/>
      <x:c r="AC769"/>
      <x:c r="AD769"/>
      <x:c r="AE769"/>
      <x:c r="AF769"/>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x:c r="C770"/>
      <x:c r="D770"/>
      <x:c r="E770"/>
      <x:c r="F770"/>
      <x:c r="G770"/>
      <x:c r="H770"/>
      <x:c r="I770"/>
      <x:c r="J770"/>
      <x:c r="K770"/>
      <x:c r="L770"/>
      <x:c r="M770"/>
      <x:c r="N770"/>
      <x:c r="O770"/>
      <x:c r="P770"/>
      <x:c r="Q770"/>
      <x:c r="R770"/>
      <x:c r="S770"/>
      <x:c r="T770"/>
      <x:c r="U770"/>
      <x:c r="V770"/>
      <x:c r="W770"/>
      <x:c r="X770"/>
      <x:c r="Y770"/>
      <x:c r="Z770"/>
      <x:c r="AA770"/>
      <x:c r="AB770"/>
      <x:c r="AC770"/>
      <x:c r="AD770"/>
      <x:c r="AE770"/>
      <x:c r="AF770"/>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x:c r="C771"/>
      <x:c r="D771"/>
      <x:c r="E771"/>
      <x:c r="F771"/>
      <x:c r="G771"/>
      <x:c r="H771"/>
      <x:c r="I771"/>
      <x:c r="J771"/>
      <x:c r="K771"/>
      <x:c r="L771"/>
      <x:c r="M771"/>
      <x:c r="N771"/>
      <x:c r="O771"/>
      <x:c r="P771"/>
      <x:c r="Q771"/>
      <x:c r="R771"/>
      <x:c r="S771"/>
      <x:c r="T771"/>
      <x:c r="U771"/>
      <x:c r="V771"/>
      <x:c r="W771"/>
      <x:c r="X771"/>
      <x:c r="Y771"/>
      <x:c r="Z771"/>
      <x:c r="AA771"/>
      <x:c r="AB771"/>
      <x:c r="AC771"/>
      <x:c r="AD771"/>
      <x:c r="AE771"/>
      <x:c r="AF771"/>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x:c r="C772"/>
      <x:c r="D772"/>
      <x:c r="E772"/>
      <x:c r="F772"/>
      <x:c r="G772"/>
      <x:c r="H772"/>
      <x:c r="I772"/>
      <x:c r="J772"/>
      <x:c r="K772"/>
      <x:c r="L772"/>
      <x:c r="M772"/>
      <x:c r="N772"/>
      <x:c r="O772"/>
      <x:c r="P772"/>
      <x:c r="Q772"/>
      <x:c r="R772"/>
      <x:c r="S772"/>
      <x:c r="T772"/>
      <x:c r="U772"/>
      <x:c r="V772"/>
      <x:c r="W772"/>
      <x:c r="X772"/>
      <x:c r="Y772"/>
      <x:c r="Z772"/>
      <x:c r="AA772"/>
      <x:c r="AB772"/>
      <x:c r="AC772"/>
      <x:c r="AD772"/>
      <x:c r="AE772"/>
      <x:c r="AF772"/>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C773"/>
      <x:c r="D773"/>
      <x:c r="E773"/>
      <x:c r="F773"/>
      <x:c r="G773"/>
      <x:c r="H773"/>
      <x:c r="I773"/>
      <x:c r="J773"/>
      <x:c r="K773"/>
      <x:c r="L773"/>
      <x:c r="M773"/>
      <x:c r="N773"/>
      <x:c r="O773"/>
      <x:c r="P773"/>
      <x:c r="Q773"/>
      <x:c r="R773"/>
      <x:c r="S773"/>
      <x:c r="T773"/>
      <x:c r="U773"/>
      <x:c r="V773"/>
      <x:c r="W773"/>
      <x:c r="X773"/>
      <x:c r="Y773"/>
      <x:c r="Z773"/>
      <x:c r="AA773"/>
      <x:c r="AB773"/>
      <x:c r="AC773"/>
      <x:c r="AD773"/>
      <x:c r="AE773"/>
      <x:c r="AF773"/>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x:c r="C774"/>
      <x:c r="D774"/>
      <x:c r="E774"/>
      <x:c r="F774"/>
      <x:c r="G774"/>
      <x:c r="H774"/>
      <x:c r="I774"/>
      <x:c r="J774"/>
      <x:c r="K774"/>
      <x:c r="L774"/>
      <x:c r="M774"/>
      <x:c r="N774"/>
      <x:c r="O774"/>
      <x:c r="P774"/>
      <x:c r="Q774"/>
      <x:c r="R774"/>
      <x:c r="S774"/>
      <x:c r="T774"/>
      <x:c r="U774"/>
      <x:c r="V774"/>
      <x:c r="W774"/>
      <x:c r="X774"/>
      <x:c r="Y774"/>
      <x:c r="Z774"/>
      <x:c r="AA774"/>
      <x:c r="AB774"/>
      <x:c r="AC774"/>
      <x:c r="AD774"/>
      <x:c r="AE774"/>
      <x:c r="AF77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x:c r="C775"/>
      <x:c r="D775"/>
      <x:c r="E775"/>
      <x:c r="F775"/>
      <x:c r="G775"/>
      <x:c r="H775"/>
      <x:c r="I775"/>
      <x:c r="J775"/>
      <x:c r="K775"/>
      <x:c r="L775"/>
      <x:c r="M775"/>
      <x:c r="N775"/>
      <x:c r="O775"/>
      <x:c r="P775"/>
      <x:c r="Q775"/>
      <x:c r="R775"/>
      <x:c r="S775"/>
      <x:c r="T775"/>
      <x:c r="U775"/>
      <x:c r="V775"/>
      <x:c r="W775"/>
      <x:c r="X775"/>
      <x:c r="Y775"/>
      <x:c r="Z775"/>
      <x:c r="AA775"/>
      <x:c r="AB775"/>
      <x:c r="AC775"/>
      <x:c r="AD775"/>
      <x:c r="AE775"/>
      <x:c r="AF775"/>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x:c r="C776"/>
      <x:c r="D776"/>
      <x:c r="E776"/>
      <x:c r="F776"/>
      <x:c r="G776"/>
      <x:c r="H776"/>
      <x:c r="I776"/>
      <x:c r="J776"/>
      <x:c r="K776"/>
      <x:c r="L776"/>
      <x:c r="M776"/>
      <x:c r="N776"/>
      <x:c r="O776"/>
      <x:c r="P776"/>
      <x:c r="Q776"/>
      <x:c r="R776"/>
      <x:c r="S776"/>
      <x:c r="T776"/>
      <x:c r="U776"/>
      <x:c r="V776"/>
      <x:c r="W776"/>
      <x:c r="X776"/>
      <x:c r="Y776"/>
      <x:c r="Z776"/>
      <x:c r="AA776"/>
      <x:c r="AB776"/>
      <x:c r="AC776"/>
      <x:c r="AD776"/>
      <x:c r="AE776"/>
      <x:c r="AF776"/>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C777"/>
      <x:c r="D777"/>
      <x:c r="E777"/>
      <x:c r="F777"/>
      <x:c r="G777"/>
      <x:c r="H777"/>
      <x:c r="I777"/>
      <x:c r="J777"/>
      <x:c r="K777"/>
      <x:c r="L777"/>
      <x:c r="M777"/>
      <x:c r="N777"/>
      <x:c r="O777"/>
      <x:c r="P777"/>
      <x:c r="Q777"/>
      <x:c r="R777"/>
      <x:c r="S777"/>
      <x:c r="T777"/>
      <x:c r="U777"/>
      <x:c r="V777"/>
      <x:c r="W777"/>
      <x:c r="X777"/>
      <x:c r="Y777"/>
      <x:c r="Z777"/>
      <x:c r="AA777"/>
      <x:c r="AB777"/>
      <x:c r="AC777"/>
      <x:c r="AD777"/>
      <x:c r="AE777"/>
      <x:c r="AF777"/>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x:c r="C778"/>
      <x:c r="D778"/>
      <x:c r="E778"/>
      <x:c r="F778"/>
      <x:c r="G778"/>
      <x:c r="H778"/>
      <x:c r="I778"/>
      <x:c r="J778"/>
      <x:c r="K778"/>
      <x:c r="L778"/>
      <x:c r="M778"/>
      <x:c r="N778"/>
      <x:c r="O778"/>
      <x:c r="P778"/>
      <x:c r="Q778"/>
      <x:c r="R778"/>
      <x:c r="S778"/>
      <x:c r="T778"/>
      <x:c r="U778"/>
      <x:c r="V778"/>
      <x:c r="W778"/>
      <x:c r="X778"/>
      <x:c r="Y778"/>
      <x:c r="Z778"/>
      <x:c r="AA778"/>
      <x:c r="AB778"/>
      <x:c r="AC778"/>
      <x:c r="AD778"/>
      <x:c r="AE778"/>
      <x:c r="AF778"/>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x:c r="C779"/>
      <x:c r="D779"/>
      <x:c r="E779"/>
      <x:c r="F779"/>
      <x:c r="G779"/>
      <x:c r="H779"/>
      <x:c r="I779"/>
      <x:c r="J779"/>
      <x:c r="K779"/>
      <x:c r="L779"/>
      <x:c r="M779"/>
      <x:c r="N779"/>
      <x:c r="O779"/>
      <x:c r="P779"/>
      <x:c r="Q779"/>
      <x:c r="R779"/>
      <x:c r="S779"/>
      <x:c r="T779"/>
      <x:c r="U779"/>
      <x:c r="V779"/>
      <x:c r="W779"/>
      <x:c r="X779"/>
      <x:c r="Y779"/>
      <x:c r="Z779"/>
      <x:c r="AA779"/>
      <x:c r="AB779"/>
      <x:c r="AC779"/>
      <x:c r="AD779"/>
      <x:c r="AE779"/>
      <x:c r="AF779"/>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x:c r="C780"/>
      <x:c r="D780"/>
      <x:c r="E780"/>
      <x:c r="F780"/>
      <x:c r="G780"/>
      <x:c r="H780"/>
      <x:c r="I780"/>
      <x:c r="J780"/>
      <x:c r="K780"/>
      <x:c r="L780"/>
      <x:c r="M780"/>
      <x:c r="N780"/>
      <x:c r="O780"/>
      <x:c r="P780"/>
      <x:c r="Q780"/>
      <x:c r="R780"/>
      <x:c r="S780"/>
      <x:c r="T780"/>
      <x:c r="U780"/>
      <x:c r="V780"/>
      <x:c r="W780"/>
      <x:c r="X780"/>
      <x:c r="Y780"/>
      <x:c r="Z780"/>
      <x:c r="AA780"/>
      <x:c r="AB780"/>
      <x:c r="AC780"/>
      <x:c r="AD780"/>
      <x:c r="AE780"/>
      <x:c r="AF780"/>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C781"/>
      <x:c r="D781"/>
      <x:c r="E781"/>
      <x:c r="F781"/>
      <x:c r="G781"/>
      <x:c r="H781"/>
      <x:c r="I781"/>
      <x:c r="J781"/>
      <x:c r="K781"/>
      <x:c r="L781"/>
      <x:c r="M781"/>
      <x:c r="N781"/>
      <x:c r="O781"/>
      <x:c r="P781"/>
      <x:c r="Q781"/>
      <x:c r="R781"/>
      <x:c r="S781"/>
      <x:c r="T781"/>
      <x:c r="U781"/>
      <x:c r="V781"/>
      <x:c r="W781"/>
      <x:c r="X781"/>
      <x:c r="Y781"/>
      <x:c r="Z781"/>
      <x:c r="AA781"/>
      <x:c r="AB781"/>
      <x:c r="AC781"/>
      <x:c r="AD781"/>
      <x:c r="AE781"/>
      <x:c r="AF781"/>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x:c r="C782"/>
      <x:c r="D782"/>
      <x:c r="E782"/>
      <x:c r="F782"/>
      <x:c r="G782"/>
      <x:c r="H782"/>
      <x:c r="I782"/>
      <x:c r="J782"/>
      <x:c r="K782"/>
      <x:c r="L782"/>
      <x:c r="M782"/>
      <x:c r="N782"/>
      <x:c r="O782"/>
      <x:c r="P782"/>
      <x:c r="Q782"/>
      <x:c r="R782"/>
      <x:c r="S782"/>
      <x:c r="T782"/>
      <x:c r="U782"/>
      <x:c r="V782"/>
      <x:c r="W782"/>
      <x:c r="X782"/>
      <x:c r="Y782"/>
      <x:c r="Z782"/>
      <x:c r="AA782"/>
      <x:c r="AB782"/>
      <x:c r="AC782"/>
      <x:c r="AD782"/>
      <x:c r="AE782"/>
      <x:c r="AF782"/>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x:c r="C783"/>
      <x:c r="D783"/>
      <x:c r="E783"/>
      <x:c r="F783"/>
      <x:c r="G783"/>
      <x:c r="H783"/>
      <x:c r="I783"/>
      <x:c r="J783"/>
      <x:c r="K783"/>
      <x:c r="L783"/>
      <x:c r="M783"/>
      <x:c r="N783"/>
      <x:c r="O783"/>
      <x:c r="P783"/>
      <x:c r="Q783"/>
      <x:c r="R783"/>
      <x:c r="S783"/>
      <x:c r="T783"/>
      <x:c r="U783"/>
      <x:c r="V783"/>
      <x:c r="W783"/>
      <x:c r="X783"/>
      <x:c r="Y783"/>
      <x:c r="Z783"/>
      <x:c r="AA783"/>
      <x:c r="AB783"/>
      <x:c r="AC783"/>
      <x:c r="AD783"/>
      <x:c r="AE783"/>
      <x:c r="AF783"/>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x:c r="C784"/>
      <x:c r="D784"/>
      <x:c r="E784"/>
      <x:c r="F784"/>
      <x:c r="G784"/>
      <x:c r="H784"/>
      <x:c r="I784"/>
      <x:c r="J784"/>
      <x:c r="K784"/>
      <x:c r="L784"/>
      <x:c r="M784"/>
      <x:c r="N784"/>
      <x:c r="O784"/>
      <x:c r="P784"/>
      <x:c r="Q784"/>
      <x:c r="R784"/>
      <x:c r="S784"/>
      <x:c r="T784"/>
      <x:c r="U784"/>
      <x:c r="V784"/>
      <x:c r="W784"/>
      <x:c r="X784"/>
      <x:c r="Y784"/>
      <x:c r="Z784"/>
      <x:c r="AA784"/>
      <x:c r="AB784"/>
      <x:c r="AC784"/>
      <x:c r="AD784"/>
      <x:c r="AE784"/>
      <x:c r="AF784"/>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x:c r="C785"/>
      <x:c r="D785"/>
      <x:c r="E785"/>
      <x:c r="F785"/>
      <x:c r="G785"/>
      <x:c r="H785"/>
      <x:c r="I785"/>
      <x:c r="J785"/>
      <x:c r="K785"/>
      <x:c r="L785"/>
      <x:c r="M785"/>
      <x:c r="N785"/>
      <x:c r="O785"/>
      <x:c r="P785"/>
      <x:c r="Q785"/>
      <x:c r="R785"/>
      <x:c r="S785"/>
      <x:c r="T785"/>
      <x:c r="U785"/>
      <x:c r="V785"/>
      <x:c r="W785"/>
      <x:c r="X785"/>
      <x:c r="Y785"/>
      <x:c r="Z785"/>
      <x:c r="AA785"/>
      <x:c r="AB785"/>
      <x:c r="AC785"/>
      <x:c r="AD785"/>
      <x:c r="AE785"/>
      <x:c r="AF785"/>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C786"/>
      <x:c r="D786"/>
      <x:c r="E786"/>
      <x:c r="F786"/>
      <x:c r="G786"/>
      <x:c r="H786"/>
      <x:c r="I786"/>
      <x:c r="J786"/>
      <x:c r="K786"/>
      <x:c r="L786"/>
      <x:c r="M786"/>
      <x:c r="N786"/>
      <x:c r="O786"/>
      <x:c r="P786"/>
      <x:c r="Q786"/>
      <x:c r="R786"/>
      <x:c r="S786"/>
      <x:c r="T786"/>
      <x:c r="U786"/>
      <x:c r="V786"/>
      <x:c r="W786"/>
      <x:c r="X786"/>
      <x:c r="Y786"/>
      <x:c r="Z786"/>
      <x:c r="AA786"/>
      <x:c r="AB786"/>
      <x:c r="AC786"/>
      <x:c r="AD786"/>
      <x:c r="AE786"/>
      <x:c r="AF786"/>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x:c r="C787"/>
      <x:c r="D787"/>
      <x:c r="E787"/>
      <x:c r="F787"/>
      <x:c r="G787"/>
      <x:c r="H787"/>
      <x:c r="I787"/>
      <x:c r="J787"/>
      <x:c r="K787"/>
      <x:c r="L787"/>
      <x:c r="M787"/>
      <x:c r="N787"/>
      <x:c r="O787"/>
      <x:c r="P787"/>
      <x:c r="Q787"/>
      <x:c r="R787"/>
      <x:c r="S787"/>
      <x:c r="T787"/>
      <x:c r="U787"/>
      <x:c r="V787"/>
      <x:c r="W787"/>
      <x:c r="X787"/>
      <x:c r="Y787"/>
      <x:c r="Z787"/>
      <x:c r="AA787"/>
      <x:c r="AB787"/>
      <x:c r="AC787"/>
      <x:c r="AD787"/>
      <x:c r="AE787"/>
      <x:c r="AF787"/>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x:c r="C788"/>
      <x:c r="D788"/>
      <x:c r="E788"/>
      <x:c r="F788"/>
      <x:c r="G788"/>
      <x:c r="H788"/>
      <x:c r="I788"/>
      <x:c r="J788"/>
      <x:c r="K788"/>
      <x:c r="L788"/>
      <x:c r="M788"/>
      <x:c r="N788"/>
      <x:c r="O788"/>
      <x:c r="P788"/>
      <x:c r="Q788"/>
      <x:c r="R788"/>
      <x:c r="S788"/>
      <x:c r="T788"/>
      <x:c r="U788"/>
      <x:c r="V788"/>
      <x:c r="W788"/>
      <x:c r="X788"/>
      <x:c r="Y788"/>
      <x:c r="Z788"/>
      <x:c r="AA788"/>
      <x:c r="AB788"/>
      <x:c r="AC788"/>
      <x:c r="AD788"/>
      <x:c r="AE788"/>
      <x:c r="AF788"/>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x:c r="C789"/>
      <x:c r="D789"/>
      <x:c r="E789"/>
      <x:c r="F789"/>
      <x:c r="G789"/>
      <x:c r="H789"/>
      <x:c r="I789"/>
      <x:c r="J789"/>
      <x:c r="K789"/>
      <x:c r="L789"/>
      <x:c r="M789"/>
      <x:c r="N789"/>
      <x:c r="O789"/>
      <x:c r="P789"/>
      <x:c r="Q789"/>
      <x:c r="R789"/>
      <x:c r="S789"/>
      <x:c r="T789"/>
      <x:c r="U789"/>
      <x:c r="V789"/>
      <x:c r="W789"/>
      <x:c r="X789"/>
      <x:c r="Y789"/>
      <x:c r="Z789"/>
      <x:c r="AA789"/>
      <x:c r="AB789"/>
      <x:c r="AC789"/>
      <x:c r="AD789"/>
      <x:c r="AE789"/>
      <x:c r="AF789"/>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x:c r="C790"/>
      <x:c r="D790"/>
      <x:c r="E790"/>
      <x:c r="F790"/>
      <x:c r="G790"/>
      <x:c r="H790"/>
      <x:c r="I790"/>
      <x:c r="J790"/>
      <x:c r="K790"/>
      <x:c r="L790"/>
      <x:c r="M790"/>
      <x:c r="N790"/>
      <x:c r="O790"/>
      <x:c r="P790"/>
      <x:c r="Q790"/>
      <x:c r="R790"/>
      <x:c r="S790"/>
      <x:c r="T790"/>
      <x:c r="U790"/>
      <x:c r="V790"/>
      <x:c r="W790"/>
      <x:c r="X790"/>
      <x:c r="Y790"/>
      <x:c r="Z790"/>
      <x:c r="AA790"/>
      <x:c r="AB790"/>
      <x:c r="AC790"/>
      <x:c r="AD790"/>
      <x:c r="AE790"/>
      <x:c r="AF790"/>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x:c r="C791"/>
      <x:c r="D791"/>
      <x:c r="E791"/>
      <x:c r="F791"/>
      <x:c r="G791"/>
      <x:c r="H791"/>
      <x:c r="I791"/>
      <x:c r="J791"/>
      <x:c r="K791"/>
      <x:c r="L791"/>
      <x:c r="M791"/>
      <x:c r="N791"/>
      <x:c r="O791"/>
      <x:c r="P791"/>
      <x:c r="Q791"/>
      <x:c r="R791"/>
      <x:c r="S791"/>
      <x:c r="T791"/>
      <x:c r="U791"/>
      <x:c r="V791"/>
      <x:c r="W791"/>
      <x:c r="X791"/>
      <x:c r="Y791"/>
      <x:c r="Z791"/>
      <x:c r="AA791"/>
      <x:c r="AB791"/>
      <x:c r="AC791"/>
      <x:c r="AD791"/>
      <x:c r="AE791"/>
      <x:c r="AF791"/>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x:c r="C792"/>
      <x:c r="D792"/>
      <x:c r="E792"/>
      <x:c r="F792"/>
      <x:c r="G792"/>
      <x:c r="H792"/>
      <x:c r="I792"/>
      <x:c r="J792"/>
      <x:c r="K792"/>
      <x:c r="L792"/>
      <x:c r="M792"/>
      <x:c r="N792"/>
      <x:c r="O792"/>
      <x:c r="P792"/>
      <x:c r="Q792"/>
      <x:c r="R792"/>
      <x:c r="S792"/>
      <x:c r="T792"/>
      <x:c r="U792"/>
      <x:c r="V792"/>
      <x:c r="W792"/>
      <x:c r="X792"/>
      <x:c r="Y792"/>
      <x:c r="Z792"/>
      <x:c r="AA792"/>
      <x:c r="AB792"/>
      <x:c r="AC792"/>
      <x:c r="AD792"/>
      <x:c r="AE792"/>
      <x:c r="AF792"/>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x:c r="C793"/>
      <x:c r="D793"/>
      <x:c r="E793"/>
      <x:c r="F793"/>
      <x:c r="G793"/>
      <x:c r="H793"/>
      <x:c r="I793"/>
      <x:c r="J793"/>
      <x:c r="K793"/>
      <x:c r="L793"/>
      <x:c r="M793"/>
      <x:c r="N793"/>
      <x:c r="O793"/>
      <x:c r="P793"/>
      <x:c r="Q793"/>
      <x:c r="R793"/>
      <x:c r="S793"/>
      <x:c r="T793"/>
      <x:c r="U793"/>
      <x:c r="V793"/>
      <x:c r="W793"/>
      <x:c r="X793"/>
      <x:c r="Y793"/>
      <x:c r="Z793"/>
      <x:c r="AA793"/>
      <x:c r="AB793"/>
      <x:c r="AC793"/>
      <x:c r="AD793"/>
      <x:c r="AE793"/>
      <x:c r="AF793"/>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x:c r="C794"/>
      <x:c r="D794"/>
      <x:c r="E794"/>
      <x:c r="F794"/>
      <x:c r="G794"/>
      <x:c r="H794"/>
      <x:c r="I794"/>
      <x:c r="J794"/>
      <x:c r="K794"/>
      <x:c r="L794"/>
      <x:c r="M794"/>
      <x:c r="N794"/>
      <x:c r="O794"/>
      <x:c r="P794"/>
      <x:c r="Q794"/>
      <x:c r="R794"/>
      <x:c r="S794"/>
      <x:c r="T794"/>
      <x:c r="U794"/>
      <x:c r="V794"/>
      <x:c r="W794"/>
      <x:c r="X794"/>
      <x:c r="Y794"/>
      <x:c r="Z794"/>
      <x:c r="AA794"/>
      <x:c r="AB794"/>
      <x:c r="AC794"/>
      <x:c r="AD794"/>
      <x:c r="AE794"/>
      <x:c r="AF794"/>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x:c r="C795"/>
      <x:c r="D795"/>
      <x:c r="E795"/>
      <x:c r="F795"/>
      <x:c r="G795"/>
      <x:c r="H795"/>
      <x:c r="I795"/>
      <x:c r="J795"/>
      <x:c r="K795"/>
      <x:c r="L795"/>
      <x:c r="M795"/>
      <x:c r="N795"/>
      <x:c r="O795"/>
      <x:c r="P795"/>
      <x:c r="Q795"/>
      <x:c r="R795"/>
      <x:c r="S795"/>
      <x:c r="T795"/>
      <x:c r="U795"/>
      <x:c r="V795"/>
      <x:c r="W795"/>
      <x:c r="X795"/>
      <x:c r="Y795"/>
      <x:c r="Z795"/>
      <x:c r="AA795"/>
      <x:c r="AB795"/>
      <x:c r="AC795"/>
      <x:c r="AD795"/>
      <x:c r="AE795"/>
      <x:c r="AF795"/>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x:c r="C796"/>
      <x:c r="D796"/>
      <x:c r="E796"/>
      <x:c r="F796"/>
      <x:c r="G796"/>
      <x:c r="H796"/>
      <x:c r="I796"/>
      <x:c r="J796"/>
      <x:c r="K796"/>
      <x:c r="L796"/>
      <x:c r="M796"/>
      <x:c r="N796"/>
      <x:c r="O796"/>
      <x:c r="P796"/>
      <x:c r="Q796"/>
      <x:c r="R796"/>
      <x:c r="S796"/>
      <x:c r="T796"/>
      <x:c r="U796"/>
      <x:c r="V796"/>
      <x:c r="W796"/>
      <x:c r="X796"/>
      <x:c r="Y796"/>
      <x:c r="Z796"/>
      <x:c r="AA796"/>
      <x:c r="AB796"/>
      <x:c r="AC796"/>
      <x:c r="AD796"/>
      <x:c r="AE796"/>
      <x:c r="AF796"/>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x:c r="C797"/>
      <x:c r="D797"/>
      <x:c r="E797"/>
      <x:c r="F797"/>
      <x:c r="G797"/>
      <x:c r="H797"/>
      <x:c r="I797"/>
      <x:c r="J797"/>
      <x:c r="K797"/>
      <x:c r="L797"/>
      <x:c r="M797"/>
      <x:c r="N797"/>
      <x:c r="O797"/>
      <x:c r="P797"/>
      <x:c r="Q797"/>
      <x:c r="R797"/>
      <x:c r="S797"/>
      <x:c r="T797"/>
      <x:c r="U797"/>
      <x:c r="V797"/>
      <x:c r="W797"/>
      <x:c r="X797"/>
      <x:c r="Y797"/>
      <x:c r="Z797"/>
      <x:c r="AA797"/>
      <x:c r="AB797"/>
      <x:c r="AC797"/>
      <x:c r="AD797"/>
      <x:c r="AE797"/>
      <x:c r="AF797"/>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C798"/>
      <x:c r="D798"/>
      <x:c r="E798"/>
      <x:c r="F798"/>
      <x:c r="G798"/>
      <x:c r="H798"/>
      <x:c r="I798"/>
      <x:c r="J798"/>
      <x:c r="K798"/>
      <x:c r="L798"/>
      <x:c r="M798"/>
      <x:c r="N798"/>
      <x:c r="O798"/>
      <x:c r="P798"/>
      <x:c r="Q798"/>
      <x:c r="R798"/>
      <x:c r="S798"/>
      <x:c r="T798"/>
      <x:c r="U798"/>
      <x:c r="V798"/>
      <x:c r="W798"/>
      <x:c r="X798"/>
      <x:c r="Y798"/>
      <x:c r="Z798"/>
      <x:c r="AA798"/>
      <x:c r="AB798"/>
      <x:c r="AC798"/>
      <x:c r="AD798"/>
      <x:c r="AE798"/>
      <x:c r="AF798"/>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x:c r="C799"/>
      <x:c r="D799"/>
      <x:c r="E799"/>
      <x:c r="F799"/>
      <x:c r="G799"/>
      <x:c r="H799"/>
      <x:c r="I799"/>
      <x:c r="J799"/>
      <x:c r="K799"/>
      <x:c r="L799"/>
      <x:c r="M799"/>
      <x:c r="N799"/>
      <x:c r="O799"/>
      <x:c r="P799"/>
      <x:c r="Q799"/>
      <x:c r="R799"/>
      <x:c r="S799"/>
      <x:c r="T799"/>
      <x:c r="U799"/>
      <x:c r="V799"/>
      <x:c r="W799"/>
      <x:c r="X799"/>
      <x:c r="Y799"/>
      <x:c r="Z799"/>
      <x:c r="AA799"/>
      <x:c r="AB799"/>
      <x:c r="AC799"/>
      <x:c r="AD799"/>
      <x:c r="AE799"/>
      <x:c r="AF799"/>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x:c r="C800"/>
      <x:c r="D800"/>
      <x:c r="E800"/>
      <x:c r="F800"/>
      <x:c r="G800"/>
      <x:c r="H800"/>
      <x:c r="I800"/>
      <x:c r="J800"/>
      <x:c r="K800"/>
      <x:c r="L800"/>
      <x:c r="M800"/>
      <x:c r="N800"/>
      <x:c r="O800"/>
      <x:c r="P800"/>
      <x:c r="Q800"/>
      <x:c r="R800"/>
      <x:c r="S800"/>
      <x:c r="T800"/>
      <x:c r="U800"/>
      <x:c r="V800"/>
      <x:c r="W800"/>
      <x:c r="X800"/>
      <x:c r="Y800"/>
      <x:c r="Z800"/>
      <x:c r="AA800"/>
      <x:c r="AB800"/>
      <x:c r="AC800"/>
      <x:c r="AD800"/>
      <x:c r="AE800"/>
      <x:c r="AF800"/>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x:c r="C801"/>
      <x:c r="D801"/>
      <x:c r="E801"/>
      <x:c r="F801"/>
      <x:c r="G801"/>
      <x:c r="H801"/>
      <x:c r="I801"/>
      <x:c r="J801"/>
      <x:c r="K801"/>
      <x:c r="L801"/>
      <x:c r="M801"/>
      <x:c r="N801"/>
      <x:c r="O801"/>
      <x:c r="P801"/>
      <x:c r="Q801"/>
      <x:c r="R801"/>
      <x:c r="S801"/>
      <x:c r="T801"/>
      <x:c r="U801"/>
      <x:c r="V801"/>
      <x:c r="W801"/>
      <x:c r="X801"/>
      <x:c r="Y801"/>
      <x:c r="Z801"/>
      <x:c r="AA801"/>
      <x:c r="AB801"/>
      <x:c r="AC801"/>
      <x:c r="AD801"/>
      <x:c r="AE801"/>
      <x:c r="AF801"/>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x:c r="C802"/>
      <x:c r="D802"/>
      <x:c r="E802"/>
      <x:c r="F802"/>
      <x:c r="G802"/>
      <x:c r="H802"/>
      <x:c r="I802"/>
      <x:c r="J802"/>
      <x:c r="K802"/>
      <x:c r="L802"/>
      <x:c r="M802"/>
      <x:c r="N802"/>
      <x:c r="O802"/>
      <x:c r="P802"/>
      <x:c r="Q802"/>
      <x:c r="R802"/>
      <x:c r="S802"/>
      <x:c r="T802"/>
      <x:c r="U802"/>
      <x:c r="V802"/>
      <x:c r="W802"/>
      <x:c r="X802"/>
      <x:c r="Y802"/>
      <x:c r="Z802"/>
      <x:c r="AA802"/>
      <x:c r="AB802"/>
      <x:c r="AC802"/>
      <x:c r="AD802"/>
      <x:c r="AE802"/>
      <x:c r="AF802"/>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x:c r="C803"/>
      <x:c r="D803"/>
      <x:c r="E803"/>
      <x:c r="F803"/>
      <x:c r="G803"/>
      <x:c r="H803"/>
      <x:c r="I803"/>
      <x:c r="J803"/>
      <x:c r="K803"/>
      <x:c r="L803"/>
      <x:c r="M803"/>
      <x:c r="N803"/>
      <x:c r="O803"/>
      <x:c r="P803"/>
      <x:c r="Q803"/>
      <x:c r="R803"/>
      <x:c r="S803"/>
      <x:c r="T803"/>
      <x:c r="U803"/>
      <x:c r="V803"/>
      <x:c r="W803"/>
      <x:c r="X803"/>
      <x:c r="Y803"/>
      <x:c r="Z803"/>
      <x:c r="AA803"/>
      <x:c r="AB803"/>
      <x:c r="AC803"/>
      <x:c r="AD803"/>
      <x:c r="AE803"/>
      <x:c r="AF803"/>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x:c r="C804"/>
      <x:c r="D804"/>
      <x:c r="E804"/>
      <x:c r="F804"/>
      <x:c r="G804"/>
      <x:c r="H804"/>
      <x:c r="I804"/>
      <x:c r="J804"/>
      <x:c r="K804"/>
      <x:c r="L804"/>
      <x:c r="M804"/>
      <x:c r="N804"/>
      <x:c r="O804"/>
      <x:c r="P804"/>
      <x:c r="Q804"/>
      <x:c r="R804"/>
      <x:c r="S804"/>
      <x:c r="T804"/>
      <x:c r="U804"/>
      <x:c r="V804"/>
      <x:c r="W804"/>
      <x:c r="X804"/>
      <x:c r="Y804"/>
      <x:c r="Z804"/>
      <x:c r="AA804"/>
      <x:c r="AB804"/>
      <x:c r="AC804"/>
      <x:c r="AD804"/>
      <x:c r="AE804"/>
      <x:c r="AF804"/>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C805"/>
      <x:c r="D805"/>
      <x:c r="E805"/>
      <x:c r="F805"/>
      <x:c r="G805"/>
      <x:c r="H805"/>
      <x:c r="I805"/>
      <x:c r="J805"/>
      <x:c r="K805"/>
      <x:c r="L805"/>
      <x:c r="M805"/>
      <x:c r="N805"/>
      <x:c r="O805"/>
      <x:c r="P805"/>
      <x:c r="Q805"/>
      <x:c r="R805"/>
      <x:c r="S805"/>
      <x:c r="T805"/>
      <x:c r="U805"/>
      <x:c r="V805"/>
      <x:c r="W805"/>
      <x:c r="X805"/>
      <x:c r="Y805"/>
      <x:c r="Z805"/>
      <x:c r="AA805"/>
      <x:c r="AB805"/>
      <x:c r="AC805"/>
      <x:c r="AD805"/>
      <x:c r="AE805"/>
      <x:c r="AF805"/>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x:c r="C806"/>
      <x:c r="D806"/>
      <x:c r="E806"/>
      <x:c r="F806"/>
      <x:c r="G806"/>
      <x:c r="H806"/>
      <x:c r="I806"/>
      <x:c r="J806"/>
      <x:c r="K806"/>
      <x:c r="L806"/>
      <x:c r="M806"/>
      <x:c r="N806"/>
      <x:c r="O806"/>
      <x:c r="P806"/>
      <x:c r="Q806"/>
      <x:c r="R806"/>
      <x:c r="S806"/>
      <x:c r="T806"/>
      <x:c r="U806"/>
      <x:c r="V806"/>
      <x:c r="W806"/>
      <x:c r="X806"/>
      <x:c r="Y806"/>
      <x:c r="Z806"/>
      <x:c r="AA806"/>
      <x:c r="AB806"/>
      <x:c r="AC806"/>
      <x:c r="AD806"/>
      <x:c r="AE806"/>
      <x:c r="AF806"/>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x:c r="C807"/>
      <x:c r="D807"/>
      <x:c r="E807"/>
      <x:c r="F807"/>
      <x:c r="G807"/>
      <x:c r="H807"/>
      <x:c r="I807"/>
      <x:c r="J807"/>
      <x:c r="K807"/>
      <x:c r="L807"/>
      <x:c r="M807"/>
      <x:c r="N807"/>
      <x:c r="O807"/>
      <x:c r="P807"/>
      <x:c r="Q807"/>
      <x:c r="R807"/>
      <x:c r="S807"/>
      <x:c r="T807"/>
      <x:c r="U807"/>
      <x:c r="V807"/>
      <x:c r="W807"/>
      <x:c r="X807"/>
      <x:c r="Y807"/>
      <x:c r="Z807"/>
      <x:c r="AA807"/>
      <x:c r="AB807"/>
      <x:c r="AC807"/>
      <x:c r="AD807"/>
      <x:c r="AE807"/>
      <x:c r="AF807"/>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x:c r="C808"/>
      <x:c r="D808"/>
      <x:c r="E808"/>
      <x:c r="F808"/>
      <x:c r="G808"/>
      <x:c r="H808"/>
      <x:c r="I808"/>
      <x:c r="J808"/>
      <x:c r="K808"/>
      <x:c r="L808"/>
      <x:c r="M808"/>
      <x:c r="N808"/>
      <x:c r="O808"/>
      <x:c r="P808"/>
      <x:c r="Q808"/>
      <x:c r="R808"/>
      <x:c r="S808"/>
      <x:c r="T808"/>
      <x:c r="U808"/>
      <x:c r="V808"/>
      <x:c r="W808"/>
      <x:c r="X808"/>
      <x:c r="Y808"/>
      <x:c r="Z808"/>
      <x:c r="AA808"/>
      <x:c r="AB808"/>
      <x:c r="AC808"/>
      <x:c r="AD808"/>
      <x:c r="AE808"/>
      <x:c r="AF808"/>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x:c r="C809"/>
      <x:c r="D809"/>
      <x:c r="E809"/>
      <x:c r="F809"/>
      <x:c r="G809"/>
      <x:c r="H809"/>
      <x:c r="I809"/>
      <x:c r="J809"/>
      <x:c r="K809"/>
      <x:c r="L809"/>
      <x:c r="M809"/>
      <x:c r="N809"/>
      <x:c r="O809"/>
      <x:c r="P809"/>
      <x:c r="Q809"/>
      <x:c r="R809"/>
      <x:c r="S809"/>
      <x:c r="T809"/>
      <x:c r="U809"/>
      <x:c r="V809"/>
      <x:c r="W809"/>
      <x:c r="X809"/>
      <x:c r="Y809"/>
      <x:c r="Z809"/>
      <x:c r="AA809"/>
      <x:c r="AB809"/>
      <x:c r="AC809"/>
      <x:c r="AD809"/>
      <x:c r="AE809"/>
      <x:c r="AF809"/>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C810"/>
      <x:c r="D810"/>
      <x:c r="E810"/>
      <x:c r="F810"/>
      <x:c r="G810"/>
      <x:c r="H810"/>
      <x:c r="I810"/>
      <x:c r="J810"/>
      <x:c r="K810"/>
      <x:c r="L810"/>
      <x:c r="M810"/>
      <x:c r="N810"/>
      <x:c r="O810"/>
      <x:c r="P810"/>
      <x:c r="Q810"/>
      <x:c r="R810"/>
      <x:c r="S810"/>
      <x:c r="T810"/>
      <x:c r="U810"/>
      <x:c r="V810"/>
      <x:c r="W810"/>
      <x:c r="X810"/>
      <x:c r="Y810"/>
      <x:c r="Z810"/>
      <x:c r="AA810"/>
      <x:c r="AB810"/>
      <x:c r="AC810"/>
      <x:c r="AD810"/>
      <x:c r="AE810"/>
      <x:c r="AF810"/>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x:c r="C811"/>
      <x:c r="D811"/>
      <x:c r="E811"/>
      <x:c r="F811"/>
      <x:c r="G811"/>
      <x:c r="H811"/>
      <x:c r="I811"/>
      <x:c r="J811"/>
      <x:c r="K811"/>
      <x:c r="L811"/>
      <x:c r="M811"/>
      <x:c r="N811"/>
      <x:c r="O811"/>
      <x:c r="P811"/>
      <x:c r="Q811"/>
      <x:c r="R811"/>
      <x:c r="S811"/>
      <x:c r="T811"/>
      <x:c r="U811"/>
      <x:c r="V811"/>
      <x:c r="W811"/>
      <x:c r="X811"/>
      <x:c r="Y811"/>
      <x:c r="Z811"/>
      <x:c r="AA811"/>
      <x:c r="AB811"/>
      <x:c r="AC811"/>
      <x:c r="AD811"/>
      <x:c r="AE811"/>
      <x:c r="AF811"/>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x:c r="C812"/>
      <x:c r="D812"/>
      <x:c r="E812"/>
      <x:c r="F812"/>
      <x:c r="G812"/>
      <x:c r="H812"/>
      <x:c r="I812"/>
      <x:c r="J812"/>
      <x:c r="K812"/>
      <x:c r="L812"/>
      <x:c r="M812"/>
      <x:c r="N812"/>
      <x:c r="O812"/>
      <x:c r="P812"/>
      <x:c r="Q812"/>
      <x:c r="R812"/>
      <x:c r="S812"/>
      <x:c r="T812"/>
      <x:c r="U812"/>
      <x:c r="V812"/>
      <x:c r="W812"/>
      <x:c r="X812"/>
      <x:c r="Y812"/>
      <x:c r="Z812"/>
      <x:c r="AA812"/>
      <x:c r="AB812"/>
      <x:c r="AC812"/>
      <x:c r="AD812"/>
      <x:c r="AE812"/>
      <x:c r="AF812"/>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C813"/>
      <x:c r="D813"/>
      <x:c r="E813"/>
      <x:c r="F813"/>
      <x:c r="G813"/>
      <x:c r="H813"/>
      <x:c r="I813"/>
      <x:c r="J813"/>
      <x:c r="K813"/>
      <x:c r="L813"/>
      <x:c r="M813"/>
      <x:c r="N813"/>
      <x:c r="O813"/>
      <x:c r="P813"/>
      <x:c r="Q813"/>
      <x:c r="R813"/>
      <x:c r="S813"/>
      <x:c r="T813"/>
      <x:c r="U813"/>
      <x:c r="V813"/>
      <x:c r="W813"/>
      <x:c r="X813"/>
      <x:c r="Y813"/>
      <x:c r="Z813"/>
      <x:c r="AA813"/>
      <x:c r="AB813"/>
      <x:c r="AC813"/>
      <x:c r="AD813"/>
      <x:c r="AE813"/>
      <x:c r="AF813"/>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x:c r="C814"/>
      <x:c r="D814"/>
      <x:c r="E814"/>
      <x:c r="F814"/>
      <x:c r="G814"/>
      <x:c r="H814"/>
      <x:c r="I814"/>
      <x:c r="J814"/>
      <x:c r="K814"/>
      <x:c r="L814"/>
      <x:c r="M814"/>
      <x:c r="N814"/>
      <x:c r="O814"/>
      <x:c r="P814"/>
      <x:c r="Q814"/>
      <x:c r="R814"/>
      <x:c r="S814"/>
      <x:c r="T814"/>
      <x:c r="U814"/>
      <x:c r="V814"/>
      <x:c r="W814"/>
      <x:c r="X814"/>
      <x:c r="Y814"/>
      <x:c r="Z814"/>
      <x:c r="AA814"/>
      <x:c r="AB814"/>
      <x:c r="AC814"/>
      <x:c r="AD814"/>
      <x:c r="AE814"/>
      <x:c r="AF81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x:c r="C815"/>
      <x:c r="D815"/>
      <x:c r="E815"/>
      <x:c r="F815"/>
      <x:c r="G815"/>
      <x:c r="H815"/>
      <x:c r="I815"/>
      <x:c r="J815"/>
      <x:c r="K815"/>
      <x:c r="L815"/>
      <x:c r="M815"/>
      <x:c r="N815"/>
      <x:c r="O815"/>
      <x:c r="P815"/>
      <x:c r="Q815"/>
      <x:c r="R815"/>
      <x:c r="S815"/>
      <x:c r="T815"/>
      <x:c r="U815"/>
      <x:c r="V815"/>
      <x:c r="W815"/>
      <x:c r="X815"/>
      <x:c r="Y815"/>
      <x:c r="Z815"/>
      <x:c r="AA815"/>
      <x:c r="AB815"/>
      <x:c r="AC815"/>
      <x:c r="AD815"/>
      <x:c r="AE815"/>
      <x:c r="AF815"/>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x:c r="C816"/>
      <x:c r="D816"/>
      <x:c r="E816"/>
      <x:c r="F816"/>
      <x:c r="G816"/>
      <x:c r="H816"/>
      <x:c r="I816"/>
      <x:c r="J816"/>
      <x:c r="K816"/>
      <x:c r="L816"/>
      <x:c r="M816"/>
      <x:c r="N816"/>
      <x:c r="O816"/>
      <x:c r="P816"/>
      <x:c r="Q816"/>
      <x:c r="R816"/>
      <x:c r="S816"/>
      <x:c r="T816"/>
      <x:c r="U816"/>
      <x:c r="V816"/>
      <x:c r="W816"/>
      <x:c r="X816"/>
      <x:c r="Y816"/>
      <x:c r="Z816"/>
      <x:c r="AA816"/>
      <x:c r="AB816"/>
      <x:c r="AC816"/>
      <x:c r="AD816"/>
      <x:c r="AE816"/>
      <x:c r="AF816"/>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x:c r="C817"/>
      <x:c r="D817"/>
      <x:c r="E817"/>
      <x:c r="F817"/>
      <x:c r="G817"/>
      <x:c r="H817"/>
      <x:c r="I817"/>
      <x:c r="J817"/>
      <x:c r="K817"/>
      <x:c r="L817"/>
      <x:c r="M817"/>
      <x:c r="N817"/>
      <x:c r="O817"/>
      <x:c r="P817"/>
      <x:c r="Q817"/>
      <x:c r="R817"/>
      <x:c r="S817"/>
      <x:c r="T817"/>
      <x:c r="U817"/>
      <x:c r="V817"/>
      <x:c r="W817"/>
      <x:c r="X817"/>
      <x:c r="Y817"/>
      <x:c r="Z817"/>
      <x:c r="AA817"/>
      <x:c r="AB817"/>
      <x:c r="AC817"/>
      <x:c r="AD817"/>
      <x:c r="AE817"/>
      <x:c r="AF817"/>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x:c r="C818"/>
      <x:c r="D818"/>
      <x:c r="E818"/>
      <x:c r="F818"/>
      <x:c r="G818"/>
      <x:c r="H818"/>
      <x:c r="I818"/>
      <x:c r="J818"/>
      <x:c r="K818"/>
      <x:c r="L818"/>
      <x:c r="M818"/>
      <x:c r="N818"/>
      <x:c r="O818"/>
      <x:c r="P818"/>
      <x:c r="Q818"/>
      <x:c r="R818"/>
      <x:c r="S818"/>
      <x:c r="T818"/>
      <x:c r="U818"/>
      <x:c r="V818"/>
      <x:c r="W818"/>
      <x:c r="X818"/>
      <x:c r="Y818"/>
      <x:c r="Z818"/>
      <x:c r="AA818"/>
      <x:c r="AB818"/>
      <x:c r="AC818"/>
      <x:c r="AD818"/>
      <x:c r="AE818"/>
      <x:c r="AF818"/>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x:c r="C819"/>
      <x:c r="D819"/>
      <x:c r="E819"/>
      <x:c r="F819"/>
      <x:c r="G819"/>
      <x:c r="H819"/>
      <x:c r="I819"/>
      <x:c r="J819"/>
      <x:c r="K819"/>
      <x:c r="L819"/>
      <x:c r="M819"/>
      <x:c r="N819"/>
      <x:c r="O819"/>
      <x:c r="P819"/>
      <x:c r="Q819"/>
      <x:c r="R819"/>
      <x:c r="S819"/>
      <x:c r="T819"/>
      <x:c r="U819"/>
      <x:c r="V819"/>
      <x:c r="W819"/>
      <x:c r="X819"/>
      <x:c r="Y819"/>
      <x:c r="Z819"/>
      <x:c r="AA819"/>
      <x:c r="AB819"/>
      <x:c r="AC819"/>
      <x:c r="AD819"/>
      <x:c r="AE819"/>
      <x:c r="AF819"/>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x:c r="C820"/>
      <x:c r="D820"/>
      <x:c r="E820"/>
      <x:c r="F820"/>
      <x:c r="G820"/>
      <x:c r="H820"/>
      <x:c r="I820"/>
      <x:c r="J820"/>
      <x:c r="K820"/>
      <x:c r="L820"/>
      <x:c r="M820"/>
      <x:c r="N820"/>
      <x:c r="O820"/>
      <x:c r="P820"/>
      <x:c r="Q820"/>
      <x:c r="R820"/>
      <x:c r="S820"/>
      <x:c r="T820"/>
      <x:c r="U820"/>
      <x:c r="V820"/>
      <x:c r="W820"/>
      <x:c r="X820"/>
      <x:c r="Y820"/>
      <x:c r="Z820"/>
      <x:c r="AA820"/>
      <x:c r="AB820"/>
      <x:c r="AC820"/>
      <x:c r="AD820"/>
      <x:c r="AE820"/>
      <x:c r="AF820"/>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x:c r="C821"/>
      <x:c r="D821"/>
      <x:c r="E821"/>
      <x:c r="F821"/>
      <x:c r="G821"/>
      <x:c r="H821"/>
      <x:c r="I821"/>
      <x:c r="J821"/>
      <x:c r="K821"/>
      <x:c r="L821"/>
      <x:c r="M821"/>
      <x:c r="N821"/>
      <x:c r="O821"/>
      <x:c r="P821"/>
      <x:c r="Q821"/>
      <x:c r="R821"/>
      <x:c r="S821"/>
      <x:c r="T821"/>
      <x:c r="U821"/>
      <x:c r="V821"/>
      <x:c r="W821"/>
      <x:c r="X821"/>
      <x:c r="Y821"/>
      <x:c r="Z821"/>
      <x:c r="AA821"/>
      <x:c r="AB821"/>
      <x:c r="AC821"/>
      <x:c r="AD821"/>
      <x:c r="AE821"/>
      <x:c r="AF821"/>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x:c r="C822"/>
      <x:c r="D822"/>
      <x:c r="E822"/>
      <x:c r="F822"/>
      <x:c r="G822"/>
      <x:c r="H822"/>
      <x:c r="I822"/>
      <x:c r="J822"/>
      <x:c r="K822"/>
      <x:c r="L822"/>
      <x:c r="M822"/>
      <x:c r="N822"/>
      <x:c r="O822"/>
      <x:c r="P822"/>
      <x:c r="Q822"/>
      <x:c r="R822"/>
      <x:c r="S822"/>
      <x:c r="T822"/>
      <x:c r="U822"/>
      <x:c r="V822"/>
      <x:c r="W822"/>
      <x:c r="X822"/>
      <x:c r="Y822"/>
      <x:c r="Z822"/>
      <x:c r="AA822"/>
      <x:c r="AB822"/>
      <x:c r="AC822"/>
      <x:c r="AD822"/>
      <x:c r="AE822"/>
      <x:c r="AF822"/>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x:c r="C823"/>
      <x:c r="D823"/>
      <x:c r="E823"/>
      <x:c r="F823"/>
      <x:c r="G823"/>
      <x:c r="H823"/>
      <x:c r="I823"/>
      <x:c r="J823"/>
      <x:c r="K823"/>
      <x:c r="L823"/>
      <x:c r="M823"/>
      <x:c r="N823"/>
      <x:c r="O823"/>
      <x:c r="P823"/>
      <x:c r="Q823"/>
      <x:c r="R823"/>
      <x:c r="S823"/>
      <x:c r="T823"/>
      <x:c r="U823"/>
      <x:c r="V823"/>
      <x:c r="W823"/>
      <x:c r="X823"/>
      <x:c r="Y823"/>
      <x:c r="Z823"/>
      <x:c r="AA823"/>
      <x:c r="AB823"/>
      <x:c r="AC823"/>
      <x:c r="AD823"/>
      <x:c r="AE823"/>
      <x:c r="AF823"/>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x:c r="C824"/>
      <x:c r="D824"/>
      <x:c r="E824"/>
      <x:c r="F824"/>
      <x:c r="G824"/>
      <x:c r="H824"/>
      <x:c r="I824"/>
      <x:c r="J824"/>
      <x:c r="K824"/>
      <x:c r="L824"/>
      <x:c r="M824"/>
      <x:c r="N824"/>
      <x:c r="O824"/>
      <x:c r="P824"/>
      <x:c r="Q824"/>
      <x:c r="R824"/>
      <x:c r="S824"/>
      <x:c r="T824"/>
      <x:c r="U824"/>
      <x:c r="V824"/>
      <x:c r="W824"/>
      <x:c r="X824"/>
      <x:c r="Y824"/>
      <x:c r="Z824"/>
      <x:c r="AA824"/>
      <x:c r="AB824"/>
      <x:c r="AC824"/>
      <x:c r="AD824"/>
      <x:c r="AE824"/>
      <x:c r="AF824"/>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x:c r="C825"/>
      <x:c r="D825"/>
      <x:c r="E825"/>
      <x:c r="F825"/>
      <x:c r="G825"/>
      <x:c r="H825"/>
      <x:c r="I825"/>
      <x:c r="J825"/>
      <x:c r="K825"/>
      <x:c r="L825"/>
      <x:c r="M825"/>
      <x:c r="N825"/>
      <x:c r="O825"/>
      <x:c r="P825"/>
      <x:c r="Q825"/>
      <x:c r="R825"/>
      <x:c r="S825"/>
      <x:c r="T825"/>
      <x:c r="U825"/>
      <x:c r="V825"/>
      <x:c r="W825"/>
      <x:c r="X825"/>
      <x:c r="Y825"/>
      <x:c r="Z825"/>
      <x:c r="AA825"/>
      <x:c r="AB825"/>
      <x:c r="AC825"/>
      <x:c r="AD825"/>
      <x:c r="AE825"/>
      <x:c r="AF825"/>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x:c r="C826"/>
      <x:c r="D826"/>
      <x:c r="E826"/>
      <x:c r="F826"/>
      <x:c r="G826"/>
      <x:c r="H826"/>
      <x:c r="I826"/>
      <x:c r="J826"/>
      <x:c r="K826"/>
      <x:c r="L826"/>
      <x:c r="M826"/>
      <x:c r="N826"/>
      <x:c r="O826"/>
      <x:c r="P826"/>
      <x:c r="Q826"/>
      <x:c r="R826"/>
      <x:c r="S826"/>
      <x:c r="T826"/>
      <x:c r="U826"/>
      <x:c r="V826"/>
      <x:c r="W826"/>
      <x:c r="X826"/>
      <x:c r="Y826"/>
      <x:c r="Z826"/>
      <x:c r="AA826"/>
      <x:c r="AB826"/>
      <x:c r="AC826"/>
      <x:c r="AD826"/>
      <x:c r="AE826"/>
      <x:c r="AF826"/>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x:c r="C827"/>
      <x:c r="D827"/>
      <x:c r="E827"/>
      <x:c r="F827"/>
      <x:c r="G827"/>
      <x:c r="H827"/>
      <x:c r="I827"/>
      <x:c r="J827"/>
      <x:c r="K827"/>
      <x:c r="L827"/>
      <x:c r="M827"/>
      <x:c r="N827"/>
      <x:c r="O827"/>
      <x:c r="P827"/>
      <x:c r="Q827"/>
      <x:c r="R827"/>
      <x:c r="S827"/>
      <x:c r="T827"/>
      <x:c r="U827"/>
      <x:c r="V827"/>
      <x:c r="W827"/>
      <x:c r="X827"/>
      <x:c r="Y827"/>
      <x:c r="Z827"/>
      <x:c r="AA827"/>
      <x:c r="AB827"/>
      <x:c r="AC827"/>
      <x:c r="AD827"/>
      <x:c r="AE827"/>
      <x:c r="AF827"/>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x:c r="C828"/>
      <x:c r="D828"/>
      <x:c r="E828"/>
      <x:c r="F828"/>
      <x:c r="G828"/>
      <x:c r="H828"/>
      <x:c r="I828"/>
      <x:c r="J828"/>
      <x:c r="K828"/>
      <x:c r="L828"/>
      <x:c r="M828"/>
      <x:c r="N828"/>
      <x:c r="O828"/>
      <x:c r="P828"/>
      <x:c r="Q828"/>
      <x:c r="R828"/>
      <x:c r="S828"/>
      <x:c r="T828"/>
      <x:c r="U828"/>
      <x:c r="V828"/>
      <x:c r="W828"/>
      <x:c r="X828"/>
      <x:c r="Y828"/>
      <x:c r="Z828"/>
      <x:c r="AA828"/>
      <x:c r="AB828"/>
      <x:c r="AC828"/>
      <x:c r="AD828"/>
      <x:c r="AE828"/>
      <x:c r="AF828"/>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x:c r="C829"/>
      <x:c r="D829"/>
      <x:c r="E829"/>
      <x:c r="F829"/>
      <x:c r="G829"/>
      <x:c r="H829"/>
      <x:c r="I829"/>
      <x:c r="J829"/>
      <x:c r="K829"/>
      <x:c r="L829"/>
      <x:c r="M829"/>
      <x:c r="N829"/>
      <x:c r="O829"/>
      <x:c r="P829"/>
      <x:c r="Q829"/>
      <x:c r="R829"/>
      <x:c r="S829"/>
      <x:c r="T829"/>
      <x:c r="U829"/>
      <x:c r="V829"/>
      <x:c r="W829"/>
      <x:c r="X829"/>
      <x:c r="Y829"/>
      <x:c r="Z829"/>
      <x:c r="AA829"/>
      <x:c r="AB829"/>
      <x:c r="AC829"/>
      <x:c r="AD829"/>
      <x:c r="AE829"/>
      <x:c r="AF829"/>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x:c r="C830"/>
      <x:c r="D830"/>
      <x:c r="E830"/>
      <x:c r="F830"/>
      <x:c r="G830"/>
      <x:c r="H830"/>
      <x:c r="I830"/>
      <x:c r="J830"/>
      <x:c r="K830"/>
      <x:c r="L830"/>
      <x:c r="M830"/>
      <x:c r="N830"/>
      <x:c r="O830"/>
      <x:c r="P830"/>
      <x:c r="Q830"/>
      <x:c r="R830"/>
      <x:c r="S830"/>
      <x:c r="T830"/>
      <x:c r="U830"/>
      <x:c r="V830"/>
      <x:c r="W830"/>
      <x:c r="X830"/>
      <x:c r="Y830"/>
      <x:c r="Z830"/>
      <x:c r="AA830"/>
      <x:c r="AB830"/>
      <x:c r="AC830"/>
      <x:c r="AD830"/>
      <x:c r="AE830"/>
      <x:c r="AF830"/>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x:c r="C831"/>
      <x:c r="D831"/>
      <x:c r="E831"/>
      <x:c r="F831"/>
      <x:c r="G831"/>
      <x:c r="H831"/>
      <x:c r="I831"/>
      <x:c r="J831"/>
      <x:c r="K831"/>
      <x:c r="L831"/>
      <x:c r="M831"/>
      <x:c r="N831"/>
      <x:c r="O831"/>
      <x:c r="P831"/>
      <x:c r="Q831"/>
      <x:c r="R831"/>
      <x:c r="S831"/>
      <x:c r="T831"/>
      <x:c r="U831"/>
      <x:c r="V831"/>
      <x:c r="W831"/>
      <x:c r="X831"/>
      <x:c r="Y831"/>
      <x:c r="Z831"/>
      <x:c r="AA831"/>
      <x:c r="AB831"/>
      <x:c r="AC831"/>
      <x:c r="AD831"/>
      <x:c r="AE831"/>
      <x:c r="AF831"/>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x:c r="C832"/>
      <x:c r="D832"/>
      <x:c r="E832"/>
      <x:c r="F832"/>
      <x:c r="G832"/>
      <x:c r="H832"/>
      <x:c r="I832"/>
      <x:c r="J832"/>
      <x:c r="K832"/>
      <x:c r="L832"/>
      <x:c r="M832"/>
      <x:c r="N832"/>
      <x:c r="O832"/>
      <x:c r="P832"/>
      <x:c r="Q832"/>
      <x:c r="R832"/>
      <x:c r="S832"/>
      <x:c r="T832"/>
      <x:c r="U832"/>
      <x:c r="V832"/>
      <x:c r="W832"/>
      <x:c r="X832"/>
      <x:c r="Y832"/>
      <x:c r="Z832"/>
      <x:c r="AA832"/>
      <x:c r="AB832"/>
      <x:c r="AC832"/>
      <x:c r="AD832"/>
      <x:c r="AE832"/>
      <x:c r="AF832"/>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'Taxonomy'!$B$210:$B$213</x:formula1>
    </x:dataValidation>
    <x:dataValidation type="list" sqref="D6:D1005">
      <x:formula1>'Taxonomy'!$B$6:$B$15</x:formula1>
    </x:dataValidation>
    <x:dataValidation type="list" sqref="X6:X1005">
      <x:formula1>'Taxonomy'!$B$16:$B$43</x:formula1>
    </x:dataValidation>
    <x:dataValidation type="list" sqref="Y6:Y1005">
      <x:formula1>'Taxonomy'!$B$44:$B$53</x:formula1>
    </x:dataValidation>
    <x:dataValidation type="list" sqref="Z6:Z1005">
      <x:formula1>'Taxonomy'!$B$54:$B$63</x:formula1>
    </x:dataValidation>
    <x:dataValidation type="list" sqref="AA6:AA1005">
      <x:formula1>'Taxonomy'!$B$64:$B$142</x:formula1>
    </x:dataValidation>
    <x:dataValidation type="list" sqref="AB6:AB1005">
      <x:formula1>'Taxonomy'!$B$143:$B$177</x:formula1>
    </x:dataValidation>
    <x:dataValidation type="list" sqref="AC6:AC1005">
      <x:formula1>'Taxonomy'!$B$178:$B$197</x:formula1>
    </x:dataValidation>
    <x:dataValidation type="list" sqref="AD6:AD1005">
      <x:formula1>'Taxonomy'!$B$198:$B$202</x:formula1>
    </x:dataValidation>
    <x:dataValidation type="list" sqref="C6:C1005">
      <x:formula1>'Taxonomy'!$B$203:$B$209</x:formula1>
    </x:dataValidation>
  </x:dataValidations>
  <x:pageMargins left="0.7" right="0.7" top="0.75" bottom="0.75" header="0.3" footer="0.3"/>
  <x:tableParts count="1">
    <x:tablePart xmlns:r="http://schemas.openxmlformats.org/officeDocument/2006/relationships" r:id="R0c9de47f251b455c"/>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eb1acbe4322148ce"/>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15fc7d6dcb7b4171"/>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COUNTIF(Items!$D$6:$D$1005,A6)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COUNTIF(Items!$D$6:$D$1005,A7)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195</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COUNTIF(Items!$D$6:$D$1005,A9)</x:f>
        <x:v>85</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COUNTIF(Items!$AA$6:$AA$1005,"Offensive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COUNTIFS(Items!$D$6:$D$1005,"Weapons",Items!$E$6:$E$1005,A18)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COUNTIFS(Items!$D$6:$D$1005,"Weapons",Items!$E$6:$E$1005,A19)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COUNTIFS(Items!$D$6:$D$1005,"Weapons",Items!$E$6:$E$1005,A20)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COUNTIFS(Items!$D$6:$D$1005,"Resources",Items!$E$6:$E$1005,"Ancient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5</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39</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46</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24</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9</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5</x:v>
      </x:c>
      <x:c r="C47" s="4" t="str">
        <x:v>Tiered stock and intermediate parts from October 15 branches</x:v>
      </x:c>
      <x:c r="D47" s="4" t="str">
        <x:v>Recipe inputs, service qualification and quantities remain proposals.</x:v>
      </x:c>
      <x:c r="E47" s="4" t="str">
        <x:v>Item family</x:v>
      </x:c>
    </x:row>
  </x:sheetData>
  <x:pageMargins left="0.7" right="0.7" top="0.75" bottom="0.75" header="0.3" footer="0.3"/>
  <x:tableParts count="1">
    <x:tablePart xmlns:r="http://schemas.openxmlformats.org/officeDocument/2006/relationships" r:id="Rbc5461070c4d46fc"/>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442 catalog entries: 18 existing definition IDs and 424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master records with stable IDs; extend native tables and complete taxonomy/use fields. Current item ID dropdown ends at row 447. AI owns crafting role; AJ:AM and AE are calculated. C is material tier, AH is endpoint input-tier information where known. Add recipe relationships separately and rebuild browser pairs when topology changes. AN Tier sort order is calculated; extend its formula when adding items.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C Tier is T0–T4, Unassigned or Not applicable; AG states its basis. AI Crafting role separates material/component/finished endpoint/currency. AH retains existing endpoint input-tier information; specific recipe input tiers belong in Crafting recipes and the browser.</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C now holds T0–T4, Unassigned or Not applicable. AI Crafting role identifies Material, Component, Finished item or Currency. Finished preparations that are still material stock remain Material with unresolved tier. Finished equipment has Not applicable material tier. AH retains only established endpoint input-tier information; recipe-specific inputs are visible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442</x:v>
      </x:c>
    </x:row>
    <x:row r="193" ht="115" customHeight="1">
      <x:c r="A193" s="4" t="str">
        <x:v>Audit: recipe count</x:v>
      </x:c>
      <x:c r="B193" s="4" t="n">
        <x:f>COUNTA('Crafting recipes'!$A$6:$A$1005)</x:f>
        <x:v>113</x:v>
      </x:c>
    </x:row>
    <x:row r="194" ht="115" customHeight="1">
      <x:c r="A194" s="4" t="str">
        <x:v>Audit: relationship count</x:v>
      </x:c>
      <x:c r="B194" s="4" t="n">
        <x:f>COUNTA('Material routes'!$A$6:$A$1005)</x:f>
        <x:v>281</x:v>
      </x:c>
    </x:row>
    <x:row r="195" ht="115" customHeight="1">
      <x:c r="A195" s="4" t="str">
        <x:v>Audit: browser pair count</x:v>
      </x:c>
      <x:c r="B195" s="4" t="n">
        <x:f>COUNTA('Crafting browser'!$J$6:$J$1005)</x:f>
        <x:v>168</x:v>
      </x:c>
    </x:row>
    <x:row r="196" ht="115" customHeight="1">
      <x:c r="A196" s="4" t="str">
        <x:v>Audit: unassigned tiers</x:v>
      </x:c>
      <x:c r="B196" s="4" t="n">
        <x:f>COUNTIFS(Items!$C$6:$C$1005,"Unassigned")</x:f>
        <x:v>95</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sheetData>
  <x:pageMargins left="0.7" right="0.7" top="0.75" bottom="0.75" header="0.3" footer="0.3"/>
  <x:tableParts count="1">
    <x:tablePart xmlns:r="http://schemas.openxmlformats.org/officeDocument/2006/relationships" r:id="R84e381400a094994"/>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40ccc99253d4467e"/>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baec61e39e864605"/>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9e9194ba289b4d76"/>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4f5319269b05447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537be887931e4ee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f98ea19843c04b67"/>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Broad existing inventory/design grouping. One per master item.</x:v>
      </x:c>
    </x:row>
    <x:row r="15" ht="50" customHeight="1">
      <x:c r="A15" s="4" t="str">
        <x:v>Category</x:v>
      </x:c>
      <x:c r="B15" s="4" t="str">
        <x:v>Weapons</x:v>
      </x:c>
      <x:c r="C15" s="4" t="str">
        <x:v>Broad existing inventory/design grouping. One per master item.</x:v>
      </x:c>
    </x:row>
    <x:row r="16" ht="50" customHeight="1">
      <x:c r="A16" s="4" t="str">
        <x:v>Item type</x:v>
      </x:c>
      <x:c r="B16" s="4" t="str">
        <x:v>Ammunition</x:v>
      </x:c>
      <x:c r="C16" s="4" t="str">
        <x:v>What the object is, independent of material, culture and use.</x:v>
      </x:c>
    </x:row>
    <x:row r="17" ht="50" customHeight="1">
      <x:c r="A17" s="4" t="str">
        <x:v>Item type</x:v>
      </x:c>
      <x:c r="B17" s="4" t="str">
        <x:v>Armor</x:v>
      </x:c>
      <x:c r="C17" s="4" t="str">
        <x:v>What the object is, independent of material, culture and use.</x:v>
      </x:c>
    </x:row>
    <x:row r="18" ht="50" customHeight="1">
      <x:c r="A18" s="4" t="str">
        <x:v>Item type</x:v>
      </x:c>
      <x:c r="B18" s="4" t="str">
        <x:v>Carrier</x:v>
      </x:c>
      <x:c r="C18" s="4" t="str">
        <x:v>What the object is, independent of material, culture and use.</x:v>
      </x:c>
    </x:row>
    <x:row r="19" ht="50" customHeight="1">
      <x:c r="A19" s="4" t="str">
        <x:v>Item type</x:v>
      </x:c>
      <x:c r="B19" s="4" t="str">
        <x:v>Chemical material</x:v>
      </x:c>
      <x:c r="C19" s="4" t="str">
        <x:v>What the object is, independent of material, culture and use.</x:v>
      </x:c>
    </x:row>
    <x:row r="20" ht="50" customHeight="1">
      <x:c r="A20" s="4" t="str">
        <x:v>Item type</x:v>
      </x:c>
      <x:c r="B20" s="4" t="str">
        <x:v>Container</x:v>
      </x:c>
      <x:c r="C20" s="4" t="str">
        <x:v>What the object is, independent of material, culture and use.</x:v>
      </x:c>
    </x:row>
    <x:row r="21" ht="50" customHeight="1">
      <x:c r="A21" s="4" t="str">
        <x:v>Item type</x:v>
      </x:c>
      <x:c r="B21" s="4" t="str">
        <x:v>Container part</x:v>
      </x:c>
      <x:c r="C21" s="4" t="str">
        <x:v>What the object is, independent of material, culture and use.</x:v>
      </x:c>
    </x:row>
    <x:row r="22" ht="50" customHeight="1">
      <x:c r="A22" s="4" t="str">
        <x:v>Item type</x:v>
      </x:c>
      <x:c r="B22" s="4" t="str">
        <x:v>Crafting component</x:v>
      </x:c>
      <x:c r="C22" s="4" t="str">
        <x:v>What the object is, independent of material, culture and use.</x:v>
      </x:c>
    </x:row>
    <x:row r="23" ht="50" customHeight="1">
      <x:c r="A23" s="4" t="str">
        <x:v>Item type</x:v>
      </x:c>
      <x:c r="B23" s="4" t="str">
        <x:v>Cultural object</x:v>
      </x:c>
      <x:c r="C23" s="4" t="str">
        <x:v>What the object is, independent of material, culture and use.</x:v>
      </x:c>
    </x:row>
    <x:row r="24" ht="50" customHeight="1">
      <x:c r="A24" s="4" t="str">
        <x:v>Item type</x:v>
      </x:c>
      <x:c r="B24" s="4" t="str">
        <x:v>Currency</x:v>
      </x:c>
      <x:c r="C24" s="4" t="str">
        <x:v>What the object is, independent of material, culture and use.</x:v>
      </x:c>
    </x:row>
    <x:row r="25" ht="50" customHeight="1">
      <x:c r="A25" s="4" t="str">
        <x:v>Item type</x:v>
      </x:c>
      <x:c r="B25" s="4" t="str">
        <x:v>Document</x:v>
      </x:c>
      <x:c r="C25" s="4" t="str">
        <x:v>What the object is, independent of material, culture and use.</x:v>
      </x:c>
    </x:row>
    <x:row r="26" ht="50" customHeight="1">
      <x:c r="A26" s="4" t="str">
        <x:v>Item type</x:v>
      </x:c>
      <x:c r="B26" s="4" t="str">
        <x:v>Drink consumable</x:v>
      </x:c>
      <x:c r="C26" s="4" t="str">
        <x:v>What the object is, independent of material, culture and use.</x:v>
      </x:c>
    </x:row>
    <x:row r="27" ht="50" customHeight="1">
      <x:c r="A27" s="4" t="str">
        <x:v>Item type</x:v>
      </x:c>
      <x:c r="B27" s="4" t="str">
        <x:v>Energy storage</x:v>
      </x:c>
      <x:c r="C27" s="4" t="str">
        <x:v>What the object is, independent of material, culture and use.</x:v>
      </x:c>
    </x:row>
    <x:row r="28" ht="50" customHeight="1">
      <x:c r="A28" s="4" t="str">
        <x:v>Item type</x:v>
      </x:c>
      <x:c r="B28" s="4" t="str">
        <x:v>Food consumable</x:v>
      </x:c>
      <x:c r="C28" s="4" t="str">
        <x:v>What the object is, independent of material, culture and use.</x:v>
      </x:c>
    </x:row>
    <x:row r="29" ht="50" customHeight="1">
      <x:c r="A29" s="4" t="str">
        <x:v>Item type</x:v>
      </x:c>
      <x:c r="B29" s="4" t="str">
        <x:v>Food material</x:v>
      </x:c>
      <x:c r="C29" s="4" t="str">
        <x:v>What the object is, independent of material, culture and use.</x:v>
      </x:c>
    </x:row>
    <x:row r="30" ht="50" customHeight="1">
      <x:c r="A30" s="4" t="str">
        <x:v>Item type</x:v>
      </x:c>
      <x:c r="B30" s="4" t="str">
        <x:v>Gem material</x:v>
      </x:c>
      <x:c r="C30" s="4" t="str">
        <x:v>What the object is, independent of material, culture and use.</x:v>
      </x:c>
    </x:row>
    <x:row r="31" ht="50" customHeight="1">
      <x:c r="A31" s="4" t="str">
        <x:v>Item type</x:v>
      </x:c>
      <x:c r="B31" s="4" t="str">
        <x:v>Household utensil</x:v>
      </x:c>
      <x:c r="C31" s="4" t="str">
        <x:v>What the object is, independent of material, culture and use.</x:v>
      </x:c>
    </x:row>
    <x:row r="32" ht="50" customHeight="1">
      <x:c r="A32" s="4" t="str">
        <x:v>Item type</x:v>
      </x:c>
      <x:c r="B32" s="4" t="str">
        <x:v>Machine</x:v>
      </x:c>
      <x:c r="C32" s="4" t="str">
        <x:v>What the object is, independent of material, culture and use.</x:v>
      </x:c>
    </x:row>
    <x:row r="33" ht="50" customHeight="1">
      <x:c r="A33" s="4" t="str">
        <x:v>Item type</x:v>
      </x:c>
      <x:c r="B33" s="4" t="str">
        <x:v>Musical instrument</x:v>
      </x:c>
      <x:c r="C33" s="4" t="str">
        <x:v>What the object is, independent of material, culture and use.</x:v>
      </x:c>
    </x:row>
    <x:row r="34" ht="50" customHeight="1">
      <x:c r="A34" s="4" t="str">
        <x:v>Item type</x:v>
      </x:c>
      <x:c r="B34" s="4" t="str">
        <x:v>Processed material</x:v>
      </x:c>
      <x:c r="C34" s="4" t="str">
        <x:v>What the object is, independent of material, culture and use.</x:v>
      </x:c>
    </x:row>
    <x:row r="35" ht="50" customHeight="1">
      <x:c r="A35" s="4" t="str">
        <x:v>Item type</x:v>
      </x:c>
      <x:c r="B35" s="4" t="str">
        <x:v>Raw material</x:v>
      </x:c>
      <x:c r="C35" s="4" t="str">
        <x:v>What the object is, independent of material, culture and use.</x:v>
      </x:c>
    </x:row>
    <x:row r="36" ht="50" customHeight="1">
      <x:c r="A36" s="4" t="str">
        <x:v>Item type</x:v>
      </x:c>
      <x:c r="B36" s="4" t="str">
        <x:v>Service kit</x:v>
      </x:c>
      <x:c r="C36" s="4" t="str">
        <x:v>What the object is, independent of material, culture and use.</x:v>
      </x:c>
    </x:row>
    <x:row r="37" ht="50" customHeight="1">
      <x:c r="A37" s="4" t="str">
        <x:v>Item type</x:v>
      </x:c>
      <x:c r="B37" s="4" t="str">
        <x:v>Shelter kit</x:v>
      </x:c>
      <x:c r="C37" s="4" t="str">
        <x:v>What the object is, independent of material, culture and use.</x:v>
      </x:c>
    </x:row>
    <x:row r="38" ht="50" customHeight="1">
      <x:c r="A38" s="4" t="str">
        <x:v>Item type</x:v>
      </x:c>
      <x:c r="B38" s="4" t="str">
        <x:v>Shield</x:v>
      </x:c>
      <x:c r="C38" s="4" t="str">
        <x:v>What the object is, independent of material, culture and use.</x:v>
      </x:c>
    </x:row>
    <x:row r="39" ht="50" customHeight="1">
      <x:c r="A39" s="4" t="str">
        <x:v>Item type</x:v>
      </x:c>
      <x:c r="B39" s="4" t="str">
        <x:v>Tool</x:v>
      </x:c>
      <x:c r="C39" s="4" t="str">
        <x:v>What the object is, independent of material, culture and use.</x:v>
      </x:c>
    </x:row>
    <x:row r="40" ht="50" customHeight="1">
      <x:c r="A40" s="4" t="str">
        <x:v>Item type</x:v>
      </x:c>
      <x:c r="B40" s="4" t="str">
        <x:v>Traversal device</x:v>
      </x:c>
      <x:c r="C40" s="4" t="str">
        <x:v>What the object is, independent of material, culture and use.</x:v>
      </x:c>
    </x:row>
    <x:row r="41" ht="50" customHeight="1">
      <x:c r="A41" s="4" t="str">
        <x:v>Item type</x:v>
      </x:c>
      <x:c r="B41" s="4" t="str">
        <x:v>Trip hazard</x:v>
      </x:c>
      <x:c r="C41" s="4" t="str">
        <x:v>What the object is, independent of material, culture and use.</x:v>
      </x:c>
    </x:row>
    <x:row r="42" ht="50" customHeight="1">
      <x:c r="A42" s="4" t="str">
        <x:v>Item type</x:v>
      </x:c>
      <x:c r="B42" s="4" t="str">
        <x:v>Weapon</x:v>
      </x:c>
      <x:c r="C42" s="4" t="str">
        <x:v>What the object is, independent of material, culture and use.</x:v>
      </x:c>
    </x:row>
    <x:row r="43" ht="50" customHeight="1">
      <x:c r="A43" s="4" t="str">
        <x:v>Item type</x:v>
      </x:c>
      <x:c r="B43" s="4" t="str">
        <x:v>Wearable</x:v>
      </x:c>
      <x:c r="C43" s="4" t="str">
        <x:v>What the object is, independent of material, culture and use.</x:v>
      </x:c>
    </x:row>
    <x:row r="44" ht="50" customHeight="1">
      <x:c r="A44" s="4" t="str">
        <x:v>Processing stage</x:v>
      </x:c>
      <x:c r="B44" s="4" t="str">
        <x:v>Ancient manufactured</x:v>
      </x:c>
      <x:c r="C44" s="4" t="str">
        <x:v>State of the listed item, not its next recipe. Stage unresolved means raw-versus-processed is undecided.</x:v>
      </x:c>
    </x:row>
    <x:row r="45" ht="50" customHeight="1">
      <x:c r="A45" s="4" t="str">
        <x:v>Processing stage</x:v>
      </x:c>
      <x:c r="B45" s="4" t="str">
        <x:v>Extracted material</x:v>
      </x:c>
      <x:c r="C45" s="4" t="str">
        <x:v>State of the listed item, not its next recipe. Stage unresolved means raw-versus-processed is undecided.</x:v>
      </x:c>
    </x:row>
    <x:row r="46" ht="50" customHeight="1">
      <x:c r="A46" s="4" t="str">
        <x:v>Processing stage</x:v>
      </x:c>
      <x:c r="B46" s="4" t="str">
        <x:v>Finished item</x:v>
      </x:c>
      <x:c r="C46" s="4" t="str">
        <x:v>State of the listed item, not its next recipe. Stage unresolved means raw-versus-processed is undecided.</x:v>
      </x:c>
    </x:row>
    <x:row r="47" ht="50" customHeight="1">
      <x:c r="A47" s="4" t="str">
        <x:v>Processing stage</x:v>
      </x:c>
      <x:c r="B47" s="4" t="str">
        <x:v>Processed intermediate</x:v>
      </x:c>
      <x:c r="C47" s="4" t="str">
        <x:v>State of the listed item, not its next recipe. Stage unresolved means raw-versus-processed is undecided.</x:v>
      </x:c>
    </x:row>
    <x:row r="48" ht="50" customHeight="1">
      <x:c r="A48" s="4" t="str">
        <x:v>Processing stage</x:v>
      </x:c>
      <x:c r="B48" s="4" t="str">
        <x:v>Raw</x:v>
      </x:c>
      <x:c r="C48" s="4" t="str">
        <x:v>State of the listed item, not its next recipe. Stage unresolved means raw-versus-processed is undecided.</x:v>
      </x:c>
    </x:row>
    <x:row r="49" ht="50" customHeight="1">
      <x:c r="A49" s="4" t="str">
        <x:v>Processing stage</x:v>
      </x:c>
      <x:c r="B49" s="4" t="str">
        <x:v>Recovered material</x:v>
      </x:c>
      <x:c r="C49" s="4" t="str">
        <x:v>State of the listed item, not its next recipe. Stage unresolved means raw-versus-processed is undecided.</x:v>
      </x:c>
    </x:row>
    <x:row r="50" ht="50" customHeight="1">
      <x:c r="A50" s="4" t="str">
        <x:v>Processing stage</x:v>
      </x:c>
      <x:c r="B50" s="4" t="str">
        <x:v>Recovered part</x:v>
      </x:c>
      <x:c r="C50" s="4" t="str">
        <x:v>State of the listed item, not its next recipe. Stage unresolved means raw-versus-processed is undecided.</x:v>
      </x:c>
    </x:row>
    <x:row r="51" ht="50" customHeight="1">
      <x:c r="A51" s="4" t="str">
        <x:v>Processing stage</x:v>
      </x:c>
      <x:c r="B51" s="4" t="str">
        <x:v>Unfired intermediate</x:v>
      </x:c>
      <x:c r="C51" s="4" t="str">
        <x:v>State of the listed item, not its next recipe. Stage unresolved means raw-versus-processed is undecided.</x:v>
      </x:c>
    </x:row>
    <x:row r="52" ht="50" customHeight="1">
      <x:c r="A52" s="4" t="str">
        <x:v>Processing stage</x:v>
      </x:c>
      <x:c r="B52" s="4" t="str">
        <x:v>Unresolved</x:v>
      </x:c>
      <x:c r="C52" s="4" t="str">
        <x:v>State of the listed item, not its next recipe. Stage unresolved means raw-versus-processed is undecided.</x:v>
      </x:c>
    </x:row>
    <x:row r="53" ht="50" customHeight="1">
      <x:c r="A53" s="4" t="str">
        <x:v>Processing stage</x:v>
      </x:c>
      <x:c r="B53" s="4" t="str">
        <x:v>Unworked metal</x:v>
      </x:c>
      <x:c r="C53" s="4" t="str">
        <x:v>State of the listed item, not its next recipe. Stage unresolved means raw-versus-processed is undecided.</x:v>
      </x:c>
    </x:row>
    <x:row r="54" ht="50" customHeight="1">
      <x:c r="A54" s="4" t="str">
        <x:v>Origin family</x:v>
      </x:c>
      <x:c r="B54" s="4" t="str">
        <x:v>Ancient technology</x:v>
      </x:c>
      <x:c r="C54" s="4" t="str">
        <x:v>Broad provenance. Manufactured / unresolved does not identify raw ingredients.</x:v>
      </x:c>
    </x:row>
    <x:row r="55" ht="50" customHeight="1">
      <x:c r="A55" s="4" t="str">
        <x:v>Origin family</x:v>
      </x:c>
      <x:c r="B55" s="4" t="str">
        <x:v>Atmospheric</x:v>
      </x:c>
      <x:c r="C55" s="4" t="str">
        <x:v>Broad provenance. Manufactured / unresolved does not identify raw ingredients.</x:v>
      </x:c>
    </x:row>
    <x:row r="56" ht="50" customHeight="1">
      <x:c r="A56" s="4" t="str">
        <x:v>Origin family</x:v>
      </x:c>
      <x:c r="B56" s="4" t="str">
        <x:v>Biological mixture</x:v>
      </x:c>
      <x:c r="C56" s="4" t="str">
        <x:v>Broad provenance. Manufactured / unresolved does not identify raw ingredients.</x:v>
      </x:c>
    </x:row>
    <x:row r="57" ht="50" customHeight="1">
      <x:c r="A57" s="4" t="str">
        <x:v>Origin family</x:v>
      </x:c>
      <x:c r="B57" s="4" t="str">
        <x:v>Fauna</x:v>
      </x:c>
      <x:c r="C57" s="4" t="str">
        <x:v>Broad provenance. Manufactured / unresolved does not identify raw ingredients.</x:v>
      </x:c>
    </x:row>
    <x:row r="58" ht="50" customHeight="1">
      <x:c r="A58" s="4" t="str">
        <x:v>Origin family</x:v>
      </x:c>
      <x:c r="B58" s="4" t="str">
        <x:v>Geological</x:v>
      </x:c>
      <x:c r="C58" s="4" t="str">
        <x:v>Broad provenance. Manufactured / unresolved does not identify raw ingredients.</x:v>
      </x:c>
    </x:row>
    <x:row r="59" ht="50" customHeight="1">
      <x:c r="A59" s="4" t="str">
        <x:v>Origin family</x:v>
      </x:c>
      <x:c r="B59" s="4" t="str">
        <x:v>Industrial salvage</x:v>
      </x:c>
      <x:c r="C59" s="4" t="str">
        <x:v>Broad provenance. Manufactured / unresolved does not identify raw ingredients.</x:v>
      </x:c>
    </x:row>
    <x:row r="60" ht="50" customHeight="1">
      <x:c r="A60" s="4" t="str">
        <x:v>Origin family</x:v>
      </x:c>
      <x:c r="B60" s="4" t="str">
        <x:v>Living culture</x:v>
      </x:c>
      <x:c r="C60" s="4" t="str">
        <x:v>Broad provenance. Manufactured / unresolved does not identify raw ingredients.</x:v>
      </x:c>
    </x:row>
    <x:row r="61" ht="50" customHeight="1">
      <x:c r="A61" s="4" t="str">
        <x:v>Origin family</x:v>
      </x:c>
      <x:c r="B61" s="4" t="str">
        <x:v>Manufactured / unresolved</x:v>
      </x:c>
      <x:c r="C61" s="4" t="str">
        <x:v>Broad provenance. Manufactured / unresolved does not identify raw ingredients.</x:v>
      </x:c>
    </x:row>
    <x:row r="62" ht="50" customHeight="1">
      <x:c r="A62" s="4" t="str">
        <x:v>Origin family</x:v>
      </x:c>
      <x:c r="B62" s="4" t="str">
        <x:v>Recovered machinery</x:v>
      </x:c>
      <x:c r="C62" s="4" t="str">
        <x:v>Broad provenance. Manufactured / unresolved does not identify raw ingredients.</x:v>
      </x:c>
    </x:row>
    <x:row r="63" ht="50" customHeight="1">
      <x:c r="A63" s="4" t="str">
        <x:v>Origin family</x:v>
      </x:c>
      <x:c r="B63" s="4" t="str">
        <x:v>Unresolved</x:v>
      </x:c>
      <x:c r="C63" s="4" t="str">
        <x:v>Broad provenance. Manufactured / unresolved does not identify raw ingredients.</x:v>
      </x:c>
    </x:row>
    <x:row r="64" ht="50" customHeight="1">
      <x:c r="A64" s="4" t="str">
        <x:v>Primary use</x:v>
      </x:c>
      <x:c r="B64" s="4" t="str">
        <x:v>Area denial</x:v>
      </x:c>
      <x:c r="C64" s="4" t="str">
        <x:v>Main catalog purpose. Item uses lists additional purposes as separate filterable rows.</x:v>
      </x:c>
    </x:row>
    <x:row r="65" ht="50" customHeight="1">
      <x:c r="A65" s="4" t="str">
        <x:v>Primary use</x:v>
      </x:c>
      <x:c r="B65" s="4" t="str">
        <x:v>Atmospheric support</x:v>
      </x:c>
      <x:c r="C65" s="4" t="str">
        <x:v>Main catalog purpose. Item uses lists additional purposes as separate filterable rows.</x:v>
      </x:c>
    </x:row>
    <x:row r="66" ht="50" customHeight="1">
      <x:c r="A66" s="4" t="str">
        <x:v>Primary use</x:v>
      </x:c>
      <x:c r="B66" s="4" t="str">
        <x:v>Binding and construction</x:v>
      </x:c>
      <x:c r="C66" s="4" t="str">
        <x:v>Main catalog purpose. Item uses lists additional purposes as separate filterable rows.</x:v>
      </x:c>
    </x:row>
    <x:row r="67" ht="50" customHeight="1">
      <x:c r="A67" s="4" t="str">
        <x:v>Primary use</x:v>
      </x:c>
      <x:c r="B67" s="4" t="str">
        <x:v>Camp rest</x:v>
      </x:c>
      <x:c r="C67" s="4" t="str">
        <x:v>Main catalog purpose. Item uses lists additional purposes as separate filterable rows.</x:v>
      </x:c>
    </x:row>
    <x:row r="68" ht="50" customHeight="1">
      <x:c r="A68" s="4" t="str">
        <x:v>Primary use</x:v>
      </x:c>
      <x:c r="B68" s="4" t="str">
        <x:v>Cargo organization</x:v>
      </x:c>
      <x:c r="C68" s="4" t="str">
        <x:v>Main catalog purpose. Item uses lists additional purposes as separate filterable rows.</x:v>
      </x:c>
    </x:row>
    <x:row r="69" ht="50" customHeight="1">
      <x:c r="A69" s="4" t="str">
        <x:v>Primary use</x:v>
      </x:c>
      <x:c r="B69" s="4" t="str">
        <x:v>Ceremony</x:v>
      </x:c>
      <x:c r="C69" s="4" t="str">
        <x:v>Main catalog purpose. Item uses lists additional purposes as separate filterable rows.</x:v>
      </x:c>
    </x:row>
    <x:row r="70" ht="50" customHeight="1">
      <x:c r="A70" s="4" t="str">
        <x:v>Primary use</x:v>
      </x:c>
      <x:c r="B70" s="4" t="str">
        <x:v>Chemical processing</x:v>
      </x:c>
      <x:c r="C70" s="4" t="str">
        <x:v>Main catalog purpose. Item uses lists additional purposes as separate filterable rows.</x:v>
      </x:c>
    </x:row>
    <x:row r="71" ht="50" customHeight="1">
      <x:c r="A71" s="4" t="str">
        <x:v>Primary use</x:v>
      </x:c>
      <x:c r="B71" s="4" t="str">
        <x:v>Civic identification</x:v>
      </x:c>
      <x:c r="C71" s="4" t="str">
        <x:v>Main catalog purpose. Item uses lists additional purposes as separate filterable rows.</x:v>
      </x:c>
    </x:row>
    <x:row r="72" ht="50" customHeight="1">
      <x:c r="A72" s="4" t="str">
        <x:v>Primary use</x:v>
      </x:c>
      <x:c r="B72" s="4" t="str">
        <x:v>Civic recognition</x:v>
      </x:c>
      <x:c r="C72" s="4" t="str">
        <x:v>Main catalog purpose. Item uses lists additional purposes as separate filterable rows.</x:v>
      </x:c>
    </x:row>
    <x:row r="73" ht="50" customHeight="1">
      <x:c r="A73" s="4" t="str">
        <x:v>Primary use</x:v>
      </x:c>
      <x:c r="B73" s="4" t="str">
        <x:v>Cleaning</x:v>
      </x:c>
      <x:c r="C73" s="4" t="str">
        <x:v>Main catalog purpose. Item uses lists additional purposes as separate filterable rows.</x:v>
      </x:c>
    </x:row>
    <x:row r="74" ht="50" customHeight="1">
      <x:c r="A74" s="4" t="str">
        <x:v>Primary use</x:v>
      </x:c>
      <x:c r="B74" s="4" t="str">
        <x:v>Clothing</x:v>
      </x:c>
      <x:c r="C74" s="4" t="str">
        <x:v>Main catalog purpose. Item uses lists additional purposes as separate filterable rows.</x:v>
      </x:c>
    </x:row>
    <x:row r="75" ht="50" customHeight="1">
      <x:c r="A75" s="4" t="str">
        <x:v>Primary use</x:v>
      </x:c>
      <x:c r="B75" s="4" t="str">
        <x:v>Clothing fabrication</x:v>
      </x:c>
      <x:c r="C75" s="4" t="str">
        <x:v>Main catalog purpose. Item uses lists additional purposes as separate filterable rows.</x:v>
      </x:c>
    </x:row>
    <x:row r="76" ht="50" customHeight="1">
      <x:c r="A76" s="4" t="str">
        <x:v>Primary use</x:v>
      </x:c>
      <x:c r="B76" s="4" t="str">
        <x:v>Cooking</x:v>
      </x:c>
      <x:c r="C76" s="4" t="str">
        <x:v>Main catalog purpose. Item uses lists additional purposes as separate filterable rows.</x:v>
      </x:c>
    </x:row>
    <x:row r="77" ht="50" customHeight="1">
      <x:c r="A77" s="4" t="str">
        <x:v>Primary use</x:v>
      </x:c>
      <x:c r="B77" s="4" t="str">
        <x:v>Culture support</x:v>
      </x:c>
      <x:c r="C77" s="4" t="str">
        <x:v>Main catalog purpose. Item uses lists additional purposes as separate filterable rows.</x:v>
      </x:c>
    </x:row>
    <x:row r="78" ht="50" customHeight="1">
      <x:c r="A78" s="4" t="str">
        <x:v>Primary use</x:v>
      </x:c>
      <x:c r="B78" s="4" t="str">
        <x:v>Decoration</x:v>
      </x:c>
      <x:c r="C78" s="4" t="str">
        <x:v>Main catalog purpose. Item uses lists additional purposes as separate filterable rows.</x:v>
      </x:c>
    </x:row>
    <x:row r="79" ht="50" customHeight="1">
      <x:c r="A79" s="4" t="str">
        <x:v>Primary use</x:v>
      </x:c>
      <x:c r="B79" s="4" t="str">
        <x:v>Devotion</x:v>
      </x:c>
      <x:c r="C79" s="4" t="str">
        <x:v>Main catalog purpose. Item uses lists additional purposes as separate filterable rows.</x:v>
      </x:c>
    </x:row>
    <x:row r="80" ht="50" customHeight="1">
      <x:c r="A80" s="4" t="str">
        <x:v>Primary use</x:v>
      </x:c>
      <x:c r="B80" s="4" t="str">
        <x:v>Dust exclusion</x:v>
      </x:c>
      <x:c r="C80" s="4" t="str">
        <x:v>Main catalog purpose. Item uses lists additional purposes as separate filterable rows.</x:v>
      </x:c>
    </x:row>
    <x:row r="81" ht="50" customHeight="1">
      <x:c r="A81" s="4" t="str">
        <x:v>Primary use</x:v>
      </x:c>
      <x:c r="B81" s="4" t="str">
        <x:v>Electrical conduction</x:v>
      </x:c>
      <x:c r="C81" s="4" t="str">
        <x:v>Main catalog purpose. Item uses lists additional purposes as separate filterable rows.</x:v>
      </x:c>
    </x:row>
    <x:row r="82" ht="50" customHeight="1">
      <x:c r="A82" s="4" t="str">
        <x:v>Primary use</x:v>
      </x:c>
      <x:c r="B82" s="4" t="str">
        <x:v>Electrical insulation</x:v>
      </x:c>
      <x:c r="C82" s="4" t="str">
        <x:v>Main catalog purpose. Item uses lists additional purposes as separate filterable rows.</x:v>
      </x:c>
    </x:row>
    <x:row r="83" ht="50" customHeight="1">
      <x:c r="A83" s="4" t="str">
        <x:v>Primary use</x:v>
      </x:c>
      <x:c r="B83" s="4" t="str">
        <x:v>Electrical work</x:v>
      </x:c>
      <x:c r="C83" s="4" t="str">
        <x:v>Main catalog purpose. Item uses lists additional purposes as separate filterable rows.</x:v>
      </x:c>
    </x:row>
    <x:row r="84" ht="50" customHeight="1">
      <x:c r="A84" s="4" t="str">
        <x:v>Primary use</x:v>
      </x:c>
      <x:c r="B84" s="4" t="str">
        <x:v>Energy processing</x:v>
      </x:c>
      <x:c r="C84" s="4" t="str">
        <x:v>Main catalog purpose. Item uses lists additional purposes as separate filterable rows.</x:v>
      </x:c>
    </x:row>
    <x:row r="85" ht="50" customHeight="1">
      <x:c r="A85" s="4" t="str">
        <x:v>Primary use</x:v>
      </x:c>
      <x:c r="B85" s="4" t="str">
        <x:v>Energy storage</x:v>
      </x:c>
      <x:c r="C85" s="4" t="str">
        <x:v>Main catalog purpose. Item uses lists additional purposes as separate filterable rows.</x:v>
      </x:c>
    </x:row>
    <x:row r="86" ht="50" customHeight="1">
      <x:c r="A86" s="4" t="str">
        <x:v>Primary use</x:v>
      </x:c>
      <x:c r="B86" s="4" t="str">
        <x:v>Equipment fabrication</x:v>
      </x:c>
      <x:c r="C86" s="4" t="str">
        <x:v>Main catalog purpose. Item uses lists additional purposes as separate filterable rows.</x:v>
      </x:c>
    </x:row>
    <x:row r="87" ht="50" customHeight="1">
      <x:c r="A87" s="4" t="str">
        <x:v>Primary use</x:v>
      </x:c>
      <x:c r="B87" s="4" t="str">
        <x:v>Equipment mounting</x:v>
      </x:c>
      <x:c r="C87" s="4" t="str">
        <x:v>Main catalog purpose. Item uses lists additional purposes as separate filterable rows.</x:v>
      </x:c>
    </x:row>
    <x:row r="88" ht="50" customHeight="1">
      <x:c r="A88" s="4" t="str">
        <x:v>Primary use</x:v>
      </x:c>
      <x:c r="B88" s="4" t="str">
        <x:v>Equipment repair</x:v>
      </x:c>
      <x:c r="C88" s="4" t="str">
        <x:v>Main catalog purpose. Item uses lists additional purposes as separate filterable rows.</x:v>
      </x:c>
    </x:row>
    <x:row r="89" ht="50" customHeight="1">
      <x:c r="A89" s="4" t="str">
        <x:v>Primary use</x:v>
      </x:c>
      <x:c r="B89" s="4" t="str">
        <x:v>Excavation</x:v>
      </x:c>
      <x:c r="C89" s="4" t="str">
        <x:v>Main catalog purpose. Item uses lists additional purposes as separate filterable rows.</x:v>
      </x:c>
    </x:row>
    <x:row r="90" ht="50" customHeight="1">
      <x:c r="A90" s="4" t="str">
        <x:v>Primary use</x:v>
      </x:c>
      <x:c r="B90" s="4" t="str">
        <x:v>Fabrication</x:v>
      </x:c>
      <x:c r="C90" s="4" t="str">
        <x:v>Main catalog purpose. Item uses lists additional purposes as separate filterable rows.</x:v>
      </x:c>
    </x:row>
    <x:row r="91" ht="50" customHeight="1">
      <x:c r="A91" s="4" t="str">
        <x:v>Primary use</x:v>
      </x:c>
      <x:c r="B91" s="4" t="str">
        <x:v>Fashion</x:v>
      </x:c>
      <x:c r="C91" s="4" t="str">
        <x:v>Main catalog purpose. Item uses lists additional purposes as separate filterable rows.</x:v>
      </x:c>
    </x:row>
    <x:row r="92" ht="50" customHeight="1">
      <x:c r="A92" s="4" t="str">
        <x:v>Primary use</x:v>
      </x:c>
      <x:c r="B92" s="4" t="str">
        <x:v>Fauna interaction</x:v>
      </x:c>
      <x:c r="C92" s="4" t="str">
        <x:v>Main catalog purpose. Item uses lists additional purposes as separate filterable rows.</x:v>
      </x:c>
    </x:row>
    <x:row r="93" ht="50" customHeight="1">
      <x:c r="A93" s="4" t="str">
        <x:v>Primary use</x:v>
      </x:c>
      <x:c r="B93" s="4" t="str">
        <x:v>Fiber processing</x:v>
      </x:c>
      <x:c r="C93" s="4" t="str">
        <x:v>Main catalog purpose. Item uses lists additional purposes as separate filterable rows.</x:v>
      </x:c>
    </x:row>
    <x:row r="94" ht="50" customHeight="1">
      <x:c r="A94" s="4" t="str">
        <x:v>Primary use</x:v>
      </x:c>
      <x:c r="B94" s="4" t="str">
        <x:v>Fire management</x:v>
      </x:c>
      <x:c r="C94" s="4" t="str">
        <x:v>Main catalog purpose. Item uses lists additional purposes as separate filterable rows.</x:v>
      </x:c>
    </x:row>
    <x:row r="95" ht="50" customHeight="1">
      <x:c r="A95" s="4" t="str">
        <x:v>Primary use</x:v>
      </x:c>
      <x:c r="B95" s="4" t="str">
        <x:v>Food preparation</x:v>
      </x:c>
      <x:c r="C95" s="4" t="str">
        <x:v>Main catalog purpose. Item uses lists additional purposes as separate filterable rows.</x:v>
      </x:c>
    </x:row>
    <x:row r="96" ht="50" customHeight="1">
      <x:c r="A96" s="4" t="str">
        <x:v>Primary use</x:v>
      </x:c>
      <x:c r="B96" s="4" t="str">
        <x:v>Food service</x:v>
      </x:c>
      <x:c r="C96" s="4" t="str">
        <x:v>Main catalog purpose. Item uses lists additional purposes as separate filterable rows.</x:v>
      </x:c>
    </x:row>
    <x:row r="97" ht="50" customHeight="1">
      <x:c r="A97" s="4" t="str">
        <x:v>Primary use</x:v>
      </x:c>
      <x:c r="B97" s="4" t="str">
        <x:v>Fuel</x:v>
      </x:c>
      <x:c r="C97" s="4" t="str">
        <x:v>Main catalog purpose. Item uses lists additional purposes as separate filterable rows.</x:v>
      </x:c>
    </x:row>
    <x:row r="98" ht="50" customHeight="1">
      <x:c r="A98" s="4" t="str">
        <x:v>Primary use</x:v>
      </x:c>
      <x:c r="B98" s="4" t="str">
        <x:v>Glass and ceramics</x:v>
      </x:c>
      <x:c r="C98" s="4" t="str">
        <x:v>Main catalog purpose. Item uses lists additional purposes as separate filterable rows.</x:v>
      </x:c>
    </x:row>
    <x:row r="99" ht="50" customHeight="1">
      <x:c r="A99" s="4" t="str">
        <x:v>Primary use</x:v>
      </x:c>
      <x:c r="B99" s="4" t="str">
        <x:v>Grooming</x:v>
      </x:c>
      <x:c r="C99" s="4" t="str">
        <x:v>Main catalog purpose. Item uses lists additional purposes as separate filterable rows.</x:v>
      </x:c>
    </x:row>
    <x:row r="100" ht="50" customHeight="1">
      <x:c r="A100" s="4" t="str">
        <x:v>Primary use</x:v>
      </x:c>
      <x:c r="B100" s="4" t="str">
        <x:v>Hydration</x:v>
      </x:c>
      <x:c r="C100" s="4" t="str">
        <x:v>Main catalog purpose. Item uses lists additional purposes as separate filterable rows.</x:v>
      </x:c>
    </x:row>
    <x:row r="101" ht="50" customHeight="1">
      <x:c r="A101" s="4" t="str">
        <x:v>Primary use</x:v>
      </x:c>
      <x:c r="B101" s="4" t="str">
        <x:v>Ignition</x:v>
      </x:c>
      <x:c r="C101" s="4" t="str">
        <x:v>Main catalog purpose. Item uses lists additional purposes as separate filterable rows.</x:v>
      </x:c>
    </x:row>
    <x:row r="102" ht="50" customHeight="1">
      <x:c r="A102" s="4" t="str">
        <x:v>Primary use</x:v>
      </x:c>
      <x:c r="B102" s="4" t="str">
        <x:v>Illumination</x:v>
      </x:c>
      <x:c r="C102" s="4" t="str">
        <x:v>Main catalog purpose. Item uses lists additional purposes as separate filterable rows.</x:v>
      </x:c>
    </x:row>
    <x:row r="103" ht="50" customHeight="1">
      <x:c r="A103" s="4" t="str">
        <x:v>Primary use</x:v>
      </x:c>
      <x:c r="B103" s="4" t="str">
        <x:v>Injury treatment</x:v>
      </x:c>
      <x:c r="C103" s="4" t="str">
        <x:v>Main catalog purpose. Item uses lists additional purposes as separate filterable rows.</x:v>
      </x:c>
    </x:row>
    <x:row r="104" ht="50" customHeight="1">
      <x:c r="A104" s="4" t="str">
        <x:v>Primary use</x:v>
      </x:c>
      <x:c r="B104" s="4" t="str">
        <x:v>Inspection</x:v>
      </x:c>
      <x:c r="C104" s="4" t="str">
        <x:v>Main catalog purpose. Item uses lists additional purposes as separate filterable rows.</x:v>
      </x:c>
    </x:row>
    <x:row r="105" ht="50" customHeight="1">
      <x:c r="A105" s="4" t="str">
        <x:v>Primary use</x:v>
      </x:c>
      <x:c r="B105" s="4" t="str">
        <x:v>Keepsake storage</x:v>
      </x:c>
      <x:c r="C105" s="4" t="str">
        <x:v>Main catalog purpose. Item uses lists additional purposes as separate filterable rows.</x:v>
      </x:c>
    </x:row>
    <x:row r="106" ht="50" customHeight="1">
      <x:c r="A106" s="4" t="str">
        <x:v>Primary use</x:v>
      </x:c>
      <x:c r="B106" s="4" t="str">
        <x:v>Liquid and bulk containment</x:v>
      </x:c>
      <x:c r="C106" s="4" t="str">
        <x:v>Main catalog purpose. Item uses lists additional purposes as separate filterable rows.</x:v>
      </x:c>
    </x:row>
    <x:row r="107" ht="50" customHeight="1">
      <x:c r="A107" s="4" t="str">
        <x:v>Primary use</x:v>
      </x:c>
      <x:c r="B107" s="4" t="str">
        <x:v>Lubrication</x:v>
      </x:c>
      <x:c r="C107" s="4" t="str">
        <x:v>Main catalog purpose. Item uses lists additional purposes as separate filterable rows.</x:v>
      </x:c>
    </x:row>
    <x:row r="108" ht="50" customHeight="1">
      <x:c r="A108" s="4" t="str">
        <x:v>Primary use</x:v>
      </x:c>
      <x:c r="B108" s="4" t="str">
        <x:v>Machinery drive</x:v>
      </x:c>
      <x:c r="C108" s="4" t="str">
        <x:v>Main catalog purpose. Item uses lists additional purposes as separate filterable rows.</x:v>
      </x:c>
    </x:row>
    <x:row r="109" ht="50" customHeight="1">
      <x:c r="A109" s="4" t="str">
        <x:v>Primary use</x:v>
      </x:c>
      <x:c r="B109" s="4" t="str">
        <x:v>Machinery repair</x:v>
      </x:c>
      <x:c r="C109" s="4" t="str">
        <x:v>Main catalog purpose. Item uses lists additional purposes as separate filterable rows.</x:v>
      </x:c>
    </x:row>
    <x:row r="110" ht="50" customHeight="1">
      <x:c r="A110" s="4" t="str">
        <x:v>Primary use</x:v>
      </x:c>
      <x:c r="B110" s="4" t="str">
        <x:v>Magnetic field control</x:v>
      </x:c>
      <x:c r="C110" s="4" t="str">
        <x:v>Main catalog purpose. Item uses lists additional purposes as separate filterable rows.</x:v>
      </x:c>
    </x:row>
    <x:row r="111" ht="50" customHeight="1">
      <x:c r="A111" s="4" t="str">
        <x:v>Primary use</x:v>
      </x:c>
      <x:c r="B111" s="4" t="str">
        <x:v>Magnetic tools</x:v>
      </x:c>
      <x:c r="C111" s="4" t="str">
        <x:v>Main catalog purpose. Item uses lists additional purposes as separate filterable rows.</x:v>
      </x:c>
    </x:row>
    <x:row r="112" ht="50" customHeight="1">
      <x:c r="A112" s="4" t="str">
        <x:v>Primary use</x:v>
      </x:c>
      <x:c r="B112" s="4" t="str">
        <x:v>Material exclusion</x:v>
      </x:c>
      <x:c r="C112" s="4" t="str">
        <x:v>Main catalog purpose. Item uses lists additional purposes as separate filterable rows.</x:v>
      </x:c>
    </x:row>
    <x:row r="113" ht="50" customHeight="1">
      <x:c r="A113" s="4" t="str">
        <x:v>Primary use</x:v>
      </x:c>
      <x:c r="B113" s="4" t="str">
        <x:v>Material transfer</x:v>
      </x:c>
      <x:c r="C113" s="4" t="str">
        <x:v>Main catalog purpose. Item uses lists additional purposes as separate filterable rows.</x:v>
      </x:c>
    </x:row>
    <x:row r="114" ht="50" customHeight="1">
      <x:c r="A114" s="4" t="str">
        <x:v>Primary use</x:v>
      </x:c>
      <x:c r="B114" s="4" t="str">
        <x:v>Metal forging</x:v>
      </x:c>
      <x:c r="C114" s="4" t="str">
        <x:v>Main catalog purpose. Item uses lists additional purposes as separate filterable rows.</x:v>
      </x:c>
    </x:row>
    <x:row r="115" ht="50" customHeight="1">
      <x:c r="A115" s="4" t="str">
        <x:v>Primary use</x:v>
      </x:c>
      <x:c r="B115" s="4" t="str">
        <x:v>Metal refining</x:v>
      </x:c>
      <x:c r="C115" s="4" t="str">
        <x:v>Main catalog purpose. Item uses lists additional purposes as separate filterable rows.</x:v>
      </x:c>
    </x:row>
    <x:row r="116" ht="50" customHeight="1">
      <x:c r="A116" s="4" t="str">
        <x:v>Primary use</x:v>
      </x:c>
      <x:c r="B116" s="4" t="str">
        <x:v>Music</x:v>
      </x:c>
      <x:c r="C116" s="4" t="str">
        <x:v>Main catalog purpose. Item uses lists additional purposes as separate filterable rows.</x:v>
      </x:c>
    </x:row>
    <x:row r="117" ht="50" customHeight="1">
      <x:c r="A117" s="4" t="str">
        <x:v>Primary use</x:v>
      </x:c>
      <x:c r="B117" s="4" t="str">
        <x:v>Nutrition</x:v>
      </x:c>
      <x:c r="C117" s="4" t="str">
        <x:v>Main catalog purpose. Item uses lists additional purposes as separate filterable rows.</x:v>
      </x:c>
    </x:row>
    <x:row r="118" ht="50" customHeight="1">
      <x:c r="A118" s="4" t="str">
        <x:v>Primary use</x:v>
      </x:c>
      <x:c r="B118" s="4" t="str">
        <x:v>Offensive combat</x:v>
      </x:c>
      <x:c r="C118" s="4" t="str">
        <x:v>Main catalog purpose. Item uses lists additional purposes as separate filterable rows.</x:v>
      </x:c>
    </x:row>
    <x:row r="119" ht="50" customHeight="1">
      <x:c r="A119" s="4" t="str">
        <x:v>Primary use</x:v>
      </x:c>
      <x:c r="B119" s="4" t="str">
        <x:v>Paper making</x:v>
      </x:c>
      <x:c r="C119" s="4" t="str">
        <x:v>Main catalog purpose. Item uses lists additional purposes as separate filterable rows.</x:v>
      </x:c>
    </x:row>
    <x:row r="120" ht="50" customHeight="1">
      <x:c r="A120" s="4" t="str">
        <x:v>Primary use</x:v>
      </x:c>
      <x:c r="B120" s="4" t="str">
        <x:v>Protection</x:v>
      </x:c>
      <x:c r="C120" s="4" t="str">
        <x:v>Main catalog purpose. Item uses lists additional purposes as separate filterable rows.</x:v>
      </x:c>
    </x:row>
    <x:row r="121" ht="50" customHeight="1">
      <x:c r="A121" s="4" t="str">
        <x:v>Primary use</x:v>
      </x:c>
      <x:c r="B121" s="4" t="str">
        <x:v>Protective fabrication</x:v>
      </x:c>
      <x:c r="C121" s="4" t="str">
        <x:v>Main catalog purpose. Item uses lists additional purposes as separate filterable rows.</x:v>
      </x:c>
    </x:row>
    <x:row r="122" ht="50" customHeight="1">
      <x:c r="A122" s="4" t="str">
        <x:v>Primary use</x:v>
      </x:c>
      <x:c r="B122" s="4" t="str">
        <x:v>Provenance</x:v>
      </x:c>
      <x:c r="C122" s="4" t="str">
        <x:v>Main catalog purpose. Item uses lists additional purposes as separate filterable rows.</x:v>
      </x:c>
    </x:row>
    <x:row r="123" ht="50" customHeight="1">
      <x:c r="A123" s="4" t="str">
        <x:v>Primary use</x:v>
      </x:c>
      <x:c r="B123" s="4" t="str">
        <x:v>Public communication</x:v>
      </x:c>
      <x:c r="C123" s="4" t="str">
        <x:v>Main catalog purpose. Item uses lists additional purposes as separate filterable rows.</x:v>
      </x:c>
    </x:row>
    <x:row r="124" ht="50" customHeight="1">
      <x:c r="A124" s="4" t="str">
        <x:v>Primary use</x:v>
      </x:c>
      <x:c r="B124" s="4" t="str">
        <x:v>Radio communication</x:v>
      </x:c>
      <x:c r="C124" s="4" t="str">
        <x:v>Main catalog purpose. Item uses lists additional purposes as separate filterable rows.</x:v>
      </x:c>
    </x:row>
    <x:row r="125" ht="50" customHeight="1">
      <x:c r="A125" s="4" t="str">
        <x:v>Primary use</x:v>
      </x:c>
      <x:c r="B125" s="4" t="str">
        <x:v>Remembrance</x:v>
      </x:c>
      <x:c r="C125" s="4" t="str">
        <x:v>Main catalog purpose. Item uses lists additional purposes as separate filterable rows.</x:v>
      </x:c>
    </x:row>
    <x:row r="126" ht="50" customHeight="1">
      <x:c r="A126" s="4" t="str">
        <x:v>Primary use</x:v>
      </x:c>
      <x:c r="B126" s="4" t="str">
        <x:v>Resource collection</x:v>
      </x:c>
      <x:c r="C126" s="4" t="str">
        <x:v>Main catalog purpose. Item uses lists additional purposes as separate filterable rows.</x:v>
      </x:c>
    </x:row>
    <x:row r="127" ht="50" customHeight="1">
      <x:c r="A127" s="4" t="str">
        <x:v>Primary use</x:v>
      </x:c>
      <x:c r="B127" s="4" t="str">
        <x:v>Sealing</x:v>
      </x:c>
      <x:c r="C127" s="4" t="str">
        <x:v>Main catalog purpose. Item uses lists additional purposes as separate filterable rows.</x:v>
      </x:c>
    </x:row>
    <x:row r="128" ht="50" customHeight="1">
      <x:c r="A128" s="4" t="str">
        <x:v>Primary use</x:v>
      </x:c>
      <x:c r="B128" s="4" t="str">
        <x:v>Specialist samples</x:v>
      </x:c>
      <x:c r="C128" s="4" t="str">
        <x:v>Main catalog purpose. Item uses lists additional purposes as separate filterable rows.</x:v>
      </x:c>
    </x:row>
    <x:row r="129" ht="50" customHeight="1">
      <x:c r="A129" s="4" t="str">
        <x:v>Primary use</x:v>
      </x:c>
      <x:c r="B129" s="4" t="str">
        <x:v>Static management</x:v>
      </x:c>
      <x:c r="C129" s="4" t="str">
        <x:v>Main catalog purpose. Item uses lists additional purposes as separate filterable rows.</x:v>
      </x:c>
    </x:row>
    <x:row r="130" ht="50" customHeight="1">
      <x:c r="A130" s="4" t="str">
        <x:v>Primary use</x:v>
      </x:c>
      <x:c r="B130" s="4" t="str">
        <x:v>Sun shading</x:v>
      </x:c>
      <x:c r="C130" s="4" t="str">
        <x:v>Main catalog purpose. Item uses lists additional purposes as separate filterable rows.</x:v>
      </x:c>
    </x:row>
    <x:row r="131" ht="50" customHeight="1">
      <x:c r="A131" s="4" t="str">
        <x:v>Primary use</x:v>
      </x:c>
      <x:c r="B131" s="4" t="str">
        <x:v>Surface finishing</x:v>
      </x:c>
      <x:c r="C131" s="4" t="str">
        <x:v>Main catalog purpose. Item uses lists additional purposes as separate filterable rows.</x:v>
      </x:c>
    </x:row>
    <x:row r="132" ht="50" customHeight="1">
      <x:c r="A132" s="4" t="str">
        <x:v>Primary use</x:v>
      </x:c>
      <x:c r="B132" s="4" t="str">
        <x:v>Survival provision</x:v>
      </x:c>
      <x:c r="C132" s="4" t="str">
        <x:v>Main catalog purpose. Item uses lists additional purposes as separate filterable rows.</x:v>
      </x:c>
    </x:row>
    <x:row r="133" ht="50" customHeight="1">
      <x:c r="A133" s="4" t="str">
        <x:v>Primary use</x:v>
      </x:c>
      <x:c r="B133" s="4" t="str">
        <x:v>Textile processing</x:v>
      </x:c>
      <x:c r="C133" s="4" t="str">
        <x:v>Main catalog purpose. Item uses lists additional purposes as separate filterable rows.</x:v>
      </x:c>
    </x:row>
    <x:row r="134" ht="50" customHeight="1">
      <x:c r="A134" s="4" t="str">
        <x:v>Primary use</x:v>
      </x:c>
      <x:c r="B134" s="4" t="str">
        <x:v>Tool fabrication</x:v>
      </x:c>
      <x:c r="C134" s="4" t="str">
        <x:v>Main catalog purpose. Item uses lists additional purposes as separate filterable rows.</x:v>
      </x:c>
    </x:row>
    <x:row r="135" ht="50" customHeight="1">
      <x:c r="A135" s="4" t="str">
        <x:v>Primary use</x:v>
      </x:c>
      <x:c r="B135" s="4" t="str">
        <x:v>Trade</x:v>
      </x:c>
      <x:c r="C135" s="4" t="str">
        <x:v>Main catalog purpose. Item uses lists additional purposes as separate filterable rows.</x:v>
      </x:c>
    </x:row>
    <x:row r="136" ht="50" customHeight="1">
      <x:c r="A136" s="4" t="str">
        <x:v>Primary use</x:v>
      </x:c>
      <x:c r="B136" s="4" t="str">
        <x:v>Traversal</x:v>
      </x:c>
      <x:c r="C136" s="4" t="str">
        <x:v>Main catalog purpose. Item uses lists additional purposes as separate filterable rows.</x:v>
      </x:c>
    </x:row>
    <x:row r="137" ht="50" customHeight="1">
      <x:c r="A137" s="4" t="str">
        <x:v>Primary use</x:v>
      </x:c>
      <x:c r="B137" s="4" t="str">
        <x:v>Use unresolved</x:v>
      </x:c>
      <x:c r="C137" s="4" t="str">
        <x:v>Main catalog purpose. Item uses lists additional purposes as separate filterable rows.</x:v>
      </x:c>
    </x:row>
    <x:row r="138" ht="50" customHeight="1">
      <x:c r="A138" s="4" t="str">
        <x:v>Primary use</x:v>
      </x:c>
      <x:c r="B138" s="4" t="str">
        <x:v>Vision</x:v>
      </x:c>
      <x:c r="C138" s="4" t="str">
        <x:v>Main catalog purpose. Item uses lists additional purposes as separate filterable rows.</x:v>
      </x:c>
    </x:row>
    <x:row r="139" ht="50" customHeight="1">
      <x:c r="A139" s="4" t="str">
        <x:v>Primary use</x:v>
      </x:c>
      <x:c r="B139" s="4" t="str">
        <x:v>Wind power</x:v>
      </x:c>
      <x:c r="C139" s="4" t="str">
        <x:v>Main catalog purpose. Item uses lists additional purposes as separate filterable rows.</x:v>
      </x:c>
    </x:row>
    <x:row r="140" ht="50" customHeight="1">
      <x:c r="A140" s="4" t="str">
        <x:v>Primary use</x:v>
      </x:c>
      <x:c r="B140" s="4" t="str">
        <x:v>Wind propulsion</x:v>
      </x:c>
      <x:c r="C140" s="4" t="str">
        <x:v>Main catalog purpose. Item uses lists additional purposes as separate filterable rows.</x:v>
      </x:c>
    </x:row>
    <x:row r="141" ht="50" customHeight="1">
      <x:c r="A141" s="4" t="str">
        <x:v>Primary use</x:v>
      </x:c>
      <x:c r="B141" s="4" t="str">
        <x:v>Work holding</x:v>
      </x:c>
      <x:c r="C141" s="4" t="str">
        <x:v>Main catalog purpose. Item uses lists additional purposes as separate filterable rows.</x:v>
      </x:c>
    </x:row>
    <x:row r="142" ht="50" customHeight="1">
      <x:c r="A142" s="4" t="str">
        <x:v>Primary use</x:v>
      </x:c>
      <x:c r="B142" s="4" t="str">
        <x:v>Writing and records</x:v>
      </x:c>
      <x:c r="C142" s="4" t="str">
        <x:v>Main catalog purpose. Item uses lists additional purposes as separate filterable rows.</x:v>
      </x:c>
    </x:row>
    <x:row r="143" ht="50" customHeight="1">
      <x:c r="A143" s="4" t="str">
        <x:v>Material family</x:v>
      </x:c>
      <x:c r="B143" s="4" t="str">
        <x:v>Ancient composite</x:v>
      </x:c>
      <x:c r="C143" s="4" t="str">
        <x:v>Broad descriptive candidate. Mixed, alternative and unresolved values preserve uncertainty.</x:v>
      </x:c>
    </x:row>
    <x:row r="144" ht="50" customHeight="1">
      <x:c r="A144" s="4" t="str">
        <x:v>Material family</x:v>
      </x:c>
      <x:c r="B144" s="4" t="str">
        <x:v>Biological and mineral mixture</x:v>
      </x:c>
      <x:c r="C144" s="4" t="str">
        <x:v>Broad descriptive candidate. Mixed, alternative and unresolved values preserve uncertainty.</x:v>
      </x:c>
    </x:row>
    <x:row r="145" ht="50" customHeight="1">
      <x:c r="A145" s="4" t="str">
        <x:v>Material family</x:v>
      </x:c>
      <x:c r="B145" s="4" t="str">
        <x:v>Biological chemical</x:v>
      </x:c>
      <x:c r="C145" s="4" t="str">
        <x:v>Broad descriptive candidate. Mixed, alternative and unresolved values preserve uncertainty.</x:v>
      </x:c>
    </x:row>
    <x:row r="146" ht="50" customHeight="1">
      <x:c r="A146" s="4" t="str">
        <x:v>Material family</x:v>
      </x:c>
      <x:c r="B146" s="4" t="str">
        <x:v>Carbonaceous material</x:v>
      </x:c>
      <x:c r="C146" s="4" t="str">
        <x:v>Broad descriptive candidate. Mixed, alternative and unresolved values preserve uncertainty.</x:v>
      </x:c>
    </x:row>
    <x:row r="147" ht="50" customHeight="1">
      <x:c r="A147" s="4" t="str">
        <x:v>Material family</x:v>
      </x:c>
      <x:c r="B147" s="4" t="str">
        <x:v>Ceramic</x:v>
      </x:c>
      <x:c r="C147" s="4" t="str">
        <x:v>Broad descriptive candidate. Mixed, alternative and unresolved values preserve uncertainty.</x:v>
      </x:c>
    </x:row>
    <x:row r="148" ht="50" customHeight="1">
      <x:c r="A148" s="4" t="str">
        <x:v>Material family</x:v>
      </x:c>
      <x:c r="B148" s="4" t="str">
        <x:v>Ceramic and metal</x:v>
      </x:c>
      <x:c r="C148" s="4" t="str">
        <x:v>Broad descriptive candidate. Mixed, alternative and unresolved values preserve uncertainty.</x:v>
      </x:c>
    </x:row>
    <x:row r="149" ht="50" customHeight="1">
      <x:c r="A149" s="4" t="str">
        <x:v>Material family</x:v>
      </x:c>
      <x:c r="B149" s="4" t="str">
        <x:v>Ceramic feed mixture</x:v>
      </x:c>
      <x:c r="C149" s="4" t="str">
        <x:v>Broad descriptive candidate. Mixed, alternative and unresolved values preserve uncertainty.</x:v>
      </x:c>
    </x:row>
    <x:row r="150" ht="50" customHeight="1">
      <x:c r="A150" s="4" t="str">
        <x:v>Material family</x:v>
      </x:c>
      <x:c r="B150" s="4" t="str">
        <x:v>Faunal fiber</x:v>
      </x:c>
      <x:c r="C150" s="4" t="str">
        <x:v>Broad descriptive candidate. Mixed, alternative and unresolved values preserve uncertainty.</x:v>
      </x:c>
    </x:row>
    <x:row r="151" ht="50" customHeight="1">
      <x:c r="A151" s="4" t="str">
        <x:v>Material family</x:v>
      </x:c>
      <x:c r="B151" s="4" t="str">
        <x:v>Faunal fiber and shell</x:v>
      </x:c>
      <x:c r="C151" s="4" t="str">
        <x:v>Broad descriptive candidate. Mixed, alternative and unresolved values preserve uncertainty.</x:v>
      </x:c>
    </x:row>
    <x:row r="152" ht="50" customHeight="1">
      <x:c r="A152" s="4" t="str">
        <x:v>Material family</x:v>
      </x:c>
      <x:c r="B152" s="4" t="str">
        <x:v>Faunal hard tissue</x:v>
      </x:c>
      <x:c r="C152" s="4" t="str">
        <x:v>Broad descriptive candidate. Mixed, alternative and unresolved values preserve uncertainty.</x:v>
      </x:c>
    </x:row>
    <x:row r="153" ht="50" customHeight="1">
      <x:c r="A153" s="4" t="str">
        <x:v>Material family</x:v>
      </x:c>
      <x:c r="B153" s="4" t="str">
        <x:v>Faunal membrane</x:v>
      </x:c>
      <x:c r="C153" s="4" t="str">
        <x:v>Broad descriptive candidate. Mixed, alternative and unresolved values preserve uncertainty.</x:v>
      </x:c>
    </x:row>
    <x:row r="154" ht="50" customHeight="1">
      <x:c r="A154" s="4" t="str">
        <x:v>Material family</x:v>
      </x:c>
      <x:c r="B154" s="4" t="str">
        <x:v>Faunal tissue</x:v>
      </x:c>
      <x:c r="C154" s="4" t="str">
        <x:v>Broad descriptive candidate. Mixed, alternative and unresolved values preserve uncertainty.</x:v>
      </x:c>
    </x:row>
    <x:row r="155" ht="50" customHeight="1">
      <x:c r="A155" s="4" t="str">
        <x:v>Material family</x:v>
      </x:c>
      <x:c r="B155" s="4" t="str">
        <x:v>Fur</x:v>
      </x:c>
      <x:c r="C155" s="4" t="str">
        <x:v>Broad descriptive candidate. Mixed, alternative and unresolved values preserve uncertainty.</x:v>
      </x:c>
    </x:row>
    <x:row r="156" ht="50" customHeight="1">
      <x:c r="A156" s="4" t="str">
        <x:v>Material family</x:v>
      </x:c>
      <x:c r="B156" s="4" t="str">
        <x:v>Gemstone</x:v>
      </x:c>
      <x:c r="C156" s="4" t="str">
        <x:v>Broad descriptive candidate. Mixed, alternative and unresolved values preserve uncertainty.</x:v>
      </x:c>
    </x:row>
    <x:row r="157" ht="50" customHeight="1">
      <x:c r="A157" s="4" t="str">
        <x:v>Material family</x:v>
      </x:c>
      <x:c r="B157" s="4" t="str">
        <x:v>Glass</x:v>
      </x:c>
      <x:c r="C157" s="4" t="str">
        <x:v>Broad descriptive candidate. Mixed, alternative and unresolved values preserve uncertainty.</x:v>
      </x:c>
    </x:row>
    <x:row r="158" ht="50" customHeight="1">
      <x:c r="A158" s="4" t="str">
        <x:v>Material family</x:v>
      </x:c>
      <x:c r="B158" s="4" t="str">
        <x:v>Glass and metal</x:v>
      </x:c>
      <x:c r="C158" s="4" t="str">
        <x:v>Broad descriptive candidate. Mixed, alternative and unresolved values preserve uncertainty.</x:v>
      </x:c>
    </x:row>
    <x:row r="159" ht="50" customHeight="1">
      <x:c r="A159" s="4" t="str">
        <x:v>Material family</x:v>
      </x:c>
      <x:c r="B159" s="4" t="str">
        <x:v>Glass and shell</x:v>
      </x:c>
      <x:c r="C159" s="4" t="str">
        <x:v>Broad descriptive candidate. Mixed, alternative and unresolved values preserve uncertainty.</x:v>
      </x:c>
    </x:row>
    <x:row r="160" ht="50" customHeight="1">
      <x:c r="A160" s="4" t="str">
        <x:v>Material family</x:v>
      </x:c>
      <x:c r="B160" s="4" t="str">
        <x:v>Glass or ceramic</x:v>
      </x:c>
      <x:c r="C160" s="4" t="str">
        <x:v>Broad descriptive candidate. Mixed, alternative and unresolved values preserve uncertainty.</x:v>
      </x:c>
    </x:row>
    <x:row r="161" ht="50" customHeight="1">
      <x:c r="A161" s="4" t="str">
        <x:v>Material family</x:v>
      </x:c>
      <x:c r="B161" s="4" t="str">
        <x:v>Glass with unresolved casing</x:v>
      </x:c>
      <x:c r="C161" s="4" t="str">
        <x:v>Broad descriptive candidate. Mixed, alternative and unresolved values preserve uncertainty.</x:v>
      </x:c>
    </x:row>
    <x:row r="162" ht="50" customHeight="1">
      <x:c r="A162" s="4" t="str">
        <x:v>Material family</x:v>
      </x:c>
      <x:c r="B162" s="4" t="str">
        <x:v>Hide</x:v>
      </x:c>
      <x:c r="C162" s="4" t="str">
        <x:v>Broad descriptive candidate. Mixed, alternative and unresolved values preserve uncertainty.</x:v>
      </x:c>
    </x:row>
    <x:row r="163" ht="50" customHeight="1">
      <x:c r="A163" s="4" t="str">
        <x:v>Material family</x:v>
      </x:c>
      <x:c r="B163" s="4" t="str">
        <x:v>Husk fiber</x:v>
      </x:c>
      <x:c r="C163" s="4" t="str">
        <x:v>Broad descriptive candidate. Mixed, alternative and unresolved values preserve uncertainty.</x:v>
      </x:c>
    </x:row>
    <x:row r="164" ht="50" customHeight="1">
      <x:c r="A164" s="4" t="str">
        <x:v>Material family</x:v>
      </x:c>
      <x:c r="B164" s="4" t="str">
        <x:v>Husk fiber and shell</x:v>
      </x:c>
      <x:c r="C164" s="4" t="str">
        <x:v>Broad descriptive candidate. Mixed, alternative and unresolved values preserve uncertainty.</x:v>
      </x:c>
    </x:row>
    <x:row r="165" ht="50" customHeight="1">
      <x:c r="A165" s="4" t="str">
        <x:v>Material family</x:v>
      </x:c>
      <x:c r="B165" s="4" t="str">
        <x:v>Metal</x:v>
      </x:c>
      <x:c r="C165" s="4" t="str">
        <x:v>Broad descriptive candidate. Mixed, alternative and unresolved values preserve uncertainty.</x:v>
      </x:c>
    </x:row>
    <x:row r="166" ht="50" customHeight="1">
      <x:c r="A166" s="4" t="str">
        <x:v>Material family</x:v>
      </x:c>
      <x:c r="B166" s="4" t="str">
        <x:v>Metal and shell</x:v>
      </x:c>
      <x:c r="C166" s="4" t="str">
        <x:v>Broad descriptive candidate. Mixed, alternative and unresolved values preserve uncertainty.</x:v>
      </x:c>
    </x:row>
    <x:row r="167" ht="50" customHeight="1">
      <x:c r="A167" s="4" t="str">
        <x:v>Material family</x:v>
      </x:c>
      <x:c r="B167" s="4" t="str">
        <x:v>Metal or shell</x:v>
      </x:c>
      <x:c r="C167" s="4" t="str">
        <x:v>Broad descriptive candidate. Mixed, alternative and unresolved values preserve uncertainty.</x:v>
      </x:c>
    </x:row>
    <x:row r="168" ht="50" customHeight="1">
      <x:c r="A168" s="4" t="str">
        <x:v>Material family</x:v>
      </x:c>
      <x:c r="B168" s="4" t="str">
        <x:v>Mineral</x:v>
      </x:c>
      <x:c r="C168" s="4" t="str">
        <x:v>Broad descriptive candidate. Mixed, alternative and unresolved values preserve uncertainty.</x:v>
      </x:c>
    </x:row>
    <x:row r="169" ht="50" customHeight="1">
      <x:c r="A169" s="4" t="str">
        <x:v>Material family</x:v>
      </x:c>
      <x:c r="B169" s="4" t="str">
        <x:v>Mineral or shell</x:v>
      </x:c>
      <x:c r="C169" s="4" t="str">
        <x:v>Broad descriptive candidate. Mixed, alternative and unresolved values preserve uncertainty.</x:v>
      </x:c>
    </x:row>
    <x:row r="170" ht="50" customHeight="1">
      <x:c r="A170" s="4" t="str">
        <x:v>Material family</x:v>
      </x:c>
      <x:c r="B170" s="4" t="str">
        <x:v>Mixed / unresolved</x:v>
      </x:c>
      <x:c r="C170" s="4" t="str">
        <x:v>Broad descriptive candidate. Mixed, alternative and unresolved values preserve uncertainty.</x:v>
      </x:c>
    </x:row>
    <x:row r="171" ht="50" customHeight="1">
      <x:c r="A171" s="4" t="str">
        <x:v>Material family</x:v>
      </x:c>
      <x:c r="B171" s="4" t="str">
        <x:v>Phagia and edible fauna</x:v>
      </x:c>
      <x:c r="C171" s="4" t="str">
        <x:v>Broad descriptive candidate. Mixed, alternative and unresolved values preserve uncertainty.</x:v>
      </x:c>
    </x:row>
    <x:row r="172" ht="50" customHeight="1">
      <x:c r="A172" s="4" t="str">
        <x:v>Material family</x:v>
      </x:c>
      <x:c r="B172" s="4" t="str">
        <x:v>Phagia preparation</x:v>
      </x:c>
      <x:c r="C172" s="4" t="str">
        <x:v>Broad descriptive candidate. Mixed, alternative and unresolved values preserve uncertainty.</x:v>
      </x:c>
    </x:row>
    <x:row r="173" ht="50" customHeight="1">
      <x:c r="A173" s="4" t="str">
        <x:v>Material family</x:v>
      </x:c>
      <x:c r="B173" s="4" t="str">
        <x:v>Shell / chitin</x:v>
      </x:c>
      <x:c r="C173" s="4" t="str">
        <x:v>Broad descriptive candidate. Mixed, alternative and unresolved values preserve uncertainty.</x:v>
      </x:c>
    </x:row>
    <x:row r="174" ht="50" customHeight="1">
      <x:c r="A174" s="4" t="str">
        <x:v>Material family</x:v>
      </x:c>
      <x:c r="B174" s="4" t="str">
        <x:v>Shell and mineral</x:v>
      </x:c>
      <x:c r="C174" s="4" t="str">
        <x:v>Broad descriptive candidate. Mixed, alternative and unresolved values preserve uncertainty.</x:v>
      </x:c>
    </x:row>
    <x:row r="175" ht="50" customHeight="1">
      <x:c r="A175" s="4" t="str">
        <x:v>Material family</x:v>
      </x:c>
      <x:c r="B175" s="4" t="str">
        <x:v>Unresolved</x:v>
      </x:c>
      <x:c r="C175" s="4" t="str">
        <x:v>Broad descriptive candidate. Mixed, alternative and unresolved values preserve uncertainty.</x:v>
      </x:c>
    </x:row>
    <x:row r="176" ht="50" customHeight="1">
      <x:c r="A176" s="4" t="str">
        <x:v>Material family</x:v>
      </x:c>
      <x:c r="B176" s="4" t="str">
        <x:v>Wing membrane</x:v>
      </x:c>
      <x:c r="C176" s="4" t="str">
        <x:v>Broad descriptive candidate. Mixed, alternative and unresolved values preserve uncertainty.</x:v>
      </x:c>
    </x:row>
    <x:row r="177" ht="50" customHeight="1">
      <x:c r="A177" s="4" t="str">
        <x:v>Material family</x:v>
      </x:c>
      <x:c r="B177" s="4" t="str">
        <x:v>Wing membrane and frame</x:v>
      </x:c>
      <x:c r="C177" s="4" t="str">
        <x:v>Broad descriptive candidate. Mixed, alternative and unresolved values preserve uncertainty.</x:v>
      </x:c>
    </x:row>
    <x:row r="178" ht="50" customHeight="1">
      <x:c r="A178" s="4" t="str">
        <x:v>Physical form</x:v>
      </x:c>
      <x:c r="B178" s="4" t="str">
        <x:v>Assembly</x:v>
      </x:c>
      <x:c r="C178" s="4" t="str">
        <x:v>Catalog shape/state only; Unresolved avoids inventing a physical or chemical property.</x:v>
      </x:c>
    </x:row>
    <x:row r="179" ht="50" customHeight="1">
      <x:c r="A179" s="4" t="str">
        <x:v>Physical form</x:v>
      </x:c>
      <x:c r="B179" s="4" t="str">
        <x:v>Bundle</x:v>
      </x:c>
      <x:c r="C179" s="4" t="str">
        <x:v>Catalog shape/state only; Unresolved avoids inventing a physical or chemical property.</x:v>
      </x:c>
    </x:row>
    <x:row r="180" ht="50" customHeight="1">
      <x:c r="A180" s="4" t="str">
        <x:v>Physical form</x:v>
      </x:c>
      <x:c r="B180" s="4" t="str">
        <x:v>Cord</x:v>
      </x:c>
      <x:c r="C180" s="4" t="str">
        <x:v>Catalog shape/state only; Unresolved avoids inventing a physical or chemical property.</x:v>
      </x:c>
    </x:row>
    <x:row r="181" ht="50" customHeight="1">
      <x:c r="A181" s="4" t="str">
        <x:v>Physical form</x:v>
      </x:c>
      <x:c r="B181" s="4" t="str">
        <x:v>Fiber</x:v>
      </x:c>
      <x:c r="C181" s="4" t="str">
        <x:v>Catalog shape/state only; Unresolved avoids inventing a physical or chemical property.</x:v>
      </x:c>
    </x:row>
    <x:row r="182" ht="50" customHeight="1">
      <x:c r="A182" s="4" t="str">
        <x:v>Physical form</x:v>
      </x:c>
      <x:c r="B182" s="4" t="str">
        <x:v>Folio</x:v>
      </x:c>
      <x:c r="C182" s="4" t="str">
        <x:v>Catalog shape/state only; Unresolved avoids inventing a physical or chemical property.</x:v>
      </x:c>
    </x:row>
    <x:row r="183" ht="50" customHeight="1">
      <x:c r="A183" s="4" t="str">
        <x:v>Physical form</x:v>
      </x:c>
      <x:c r="B183" s="4" t="str">
        <x:v>Garment</x:v>
      </x:c>
      <x:c r="C183" s="4" t="str">
        <x:v>Catalog shape/state only; Unresolved avoids inventing a physical or chemical property.</x:v>
      </x:c>
    </x:row>
    <x:row r="184" ht="50" customHeight="1">
      <x:c r="A184" s="4" t="str">
        <x:v>Physical form</x:v>
      </x:c>
      <x:c r="B184" s="4" t="str">
        <x:v>Gel</x:v>
      </x:c>
      <x:c r="C184" s="4" t="str">
        <x:v>Catalog shape/state only; Unresolved avoids inventing a physical or chemical property.</x:v>
      </x:c>
    </x:row>
    <x:row r="185" ht="50" customHeight="1">
      <x:c r="A185" s="4" t="str">
        <x:v>Physical form</x:v>
      </x:c>
      <x:c r="B185" s="4" t="str">
        <x:v>Liquid</x:v>
      </x:c>
      <x:c r="C185" s="4" t="str">
        <x:v>Catalog shape/state only; Unresolved avoids inventing a physical or chemical property.</x:v>
      </x:c>
    </x:row>
    <x:row r="186" ht="50" customHeight="1">
      <x:c r="A186" s="4" t="str">
        <x:v>Physical form</x:v>
      </x:c>
      <x:c r="B186" s="4" t="str">
        <x:v>Membrane</x:v>
      </x:c>
      <x:c r="C186" s="4" t="str">
        <x:v>Catalog shape/state only; Unresolved avoids inventing a physical or chemical property.</x:v>
      </x:c>
    </x:row>
    <x:row r="187" ht="50" customHeight="1">
      <x:c r="A187" s="4" t="str">
        <x:v>Physical form</x:v>
      </x:c>
      <x:c r="B187" s="4" t="str">
        <x:v>Panel</x:v>
      </x:c>
      <x:c r="C187" s="4" t="str">
        <x:v>Catalog shape/state only; Unresolved avoids inventing a physical or chemical property.</x:v>
      </x:c>
    </x:row>
    <x:row r="188" ht="50" customHeight="1">
      <x:c r="A188" s="4" t="str">
        <x:v>Physical form</x:v>
      </x:c>
      <x:c r="B188" s="4" t="str">
        <x:v>Particles</x:v>
      </x:c>
      <x:c r="C188" s="4" t="str">
        <x:v>Catalog shape/state only; Unresolved avoids inventing a physical or chemical property.</x:v>
      </x:c>
    </x:row>
    <x:row r="189" ht="50" customHeight="1">
      <x:c r="A189" s="4" t="str">
        <x:v>Physical form</x:v>
      </x:c>
      <x:c r="B189" s="4" t="str">
        <x:v>Paste</x:v>
      </x:c>
      <x:c r="C189" s="4" t="str">
        <x:v>Catalog shape/state only; Unresolved avoids inventing a physical or chemical property.</x:v>
      </x:c>
    </x:row>
    <x:row r="190" ht="50" customHeight="1">
      <x:c r="A190" s="4" t="str">
        <x:v>Physical form</x:v>
      </x:c>
      <x:c r="B190" s="4" t="str">
        <x:v>Patch</x:v>
      </x:c>
      <x:c r="C190" s="4" t="str">
        <x:v>Catalog shape/state only; Unresolved avoids inventing a physical or chemical property.</x:v>
      </x:c>
    </x:row>
    <x:row r="191" ht="50" customHeight="1">
      <x:c r="A191" s="4" t="str">
        <x:v>Physical form</x:v>
      </x:c>
      <x:c r="B191" s="4" t="str">
        <x:v>Rock</x:v>
      </x:c>
      <x:c r="C191" s="4" t="str">
        <x:v>Catalog shape/state only; Unresolved avoids inventing a physical or chemical property.</x:v>
      </x:c>
    </x:row>
    <x:row r="192" ht="50" customHeight="1">
      <x:c r="A192" s="4" t="str">
        <x:v>Physical form</x:v>
      </x:c>
      <x:c r="B192" s="4" t="str">
        <x:v>Sheet</x:v>
      </x:c>
      <x:c r="C192" s="4" t="str">
        <x:v>Catalog shape/state only; Unresolved avoids inventing a physical or chemical property.</x:v>
      </x:c>
    </x:row>
    <x:row r="193" ht="50" customHeight="1">
      <x:c r="A193" s="4" t="str">
        <x:v>Physical form</x:v>
      </x:c>
      <x:c r="B193" s="4" t="str">
        <x:v>Shell plate</x:v>
      </x:c>
      <x:c r="C193" s="4" t="str">
        <x:v>Catalog shape/state only; Unresolved avoids inventing a physical or chemical property.</x:v>
      </x:c>
    </x:row>
    <x:row r="194" ht="50" customHeight="1">
      <x:c r="A194" s="4" t="str">
        <x:v>Physical form</x:v>
      </x:c>
      <x:c r="B194" s="4" t="str">
        <x:v>Solid part</x:v>
      </x:c>
      <x:c r="C194" s="4" t="str">
        <x:v>Catalog shape/state only; Unresolved avoids inventing a physical or chemical property.</x:v>
      </x:c>
    </x:row>
    <x:row r="195" ht="50" customHeight="1">
      <x:c r="A195" s="4" t="str">
        <x:v>Physical form</x:v>
      </x:c>
      <x:c r="B195" s="4" t="str">
        <x:v>Solid piece</x:v>
      </x:c>
      <x:c r="C195" s="4" t="str">
        <x:v>Catalog shape/state only; Unresolved avoids inventing a physical or chemical property.</x:v>
      </x:c>
    </x:row>
    <x:row r="196" ht="50" customHeight="1">
      <x:c r="A196" s="4" t="str">
        <x:v>Physical form</x:v>
      </x:c>
      <x:c r="B196" s="4" t="str">
        <x:v>Strip</x:v>
      </x:c>
      <x:c r="C196" s="4" t="str">
        <x:v>Catalog shape/state only; Unresolved avoids inventing a physical or chemical property.</x:v>
      </x:c>
    </x:row>
    <x:row r="197" ht="50" customHeight="1">
      <x:c r="A197" s="4" t="str">
        <x:v>Physical form</x:v>
      </x:c>
      <x:c r="B197" s="4" t="str">
        <x:v>Unresolved</x:v>
      </x:c>
      <x:c r="C197" s="4" t="str">
        <x:v>Catalog shape/state only; Unresolved avoids inventing a physical or chemical property.</x:v>
      </x:c>
    </x:row>
    <x:row r="198" ht="50" customHeight="1">
      <x:c r="A198" s="4" t="str">
        <x:v>Design status</x:v>
      </x:c>
      <x:c r="B198" s="4" t="str">
        <x:v>Author direction</x:v>
      </x:c>
      <x:c r="C198" s="4" t="str">
        <x:v>Existing definition means serialized data, not proof all intended uses work. Author direction, Proposal and Withheld assumption remain distinct.</x:v>
      </x:c>
    </x:row>
    <x:row r="199" ht="50" customHeight="1">
      <x:c r="A199" s="4" t="str">
        <x:v>Design status</x:v>
      </x:c>
      <x:c r="B199" s="4" t="str">
        <x:v>Existing definition</x:v>
      </x:c>
      <x:c r="C199" s="4" t="str">
        <x:v>Existing definition means serialized data, not proof all intended uses work. Author direction, Proposal and Withheld assumption remain distinct.</x:v>
      </x:c>
    </x:row>
    <x:row r="200" ht="50" customHeight="1">
      <x:c r="A200" s="4" t="str">
        <x:v>Design status</x:v>
      </x:c>
      <x:c r="B200" s="4" t="str">
        <x:v>Proposal</x:v>
      </x:c>
      <x:c r="C200" s="4" t="str">
        <x:v>Existing definition means serialized data, not proof all intended uses work. Author direction, Proposal and Withheld assumption remain distinct.</x:v>
      </x:c>
    </x:row>
    <x:row r="201" ht="50" customHeight="1">
      <x:c r="A201" s="4" t="str">
        <x:v>Design status</x:v>
      </x:c>
      <x:c r="B201" s="4" t="str">
        <x:v>Source proposal</x:v>
      </x:c>
      <x:c r="C201" s="4" t="str">
        <x:v>Existing definition means serialized data, not proof all intended uses work. Author direction, Proposal and Withheld assumption remain distinct.</x:v>
      </x:c>
    </x:row>
    <x:row r="202" ht="50" customHeight="1">
      <x:c r="A202" s="4" t="str">
        <x:v>Design status</x:v>
      </x:c>
      <x:c r="B202" s="4" t="str">
        <x:v>Withheld assumption</x:v>
      </x:c>
      <x:c r="C202" s="4" t="str">
        <x:v>Existing definition means serialized data, not proof all intended uses work. Author direction, Proposal and Withheld assumption remain distinct.</x:v>
      </x:c>
    </x:row>
    <x:row r="203" ht="50" customHeight="1">
      <x:c r="A203" s="4" t="str">
        <x:v>Material tier</x:v>
      </x:c>
      <x:c r="B203" s="4" t="str">
        <x:v>Not applicable</x:v>
      </x:c>
      <x:c r="C203" s="4" t="str">
        <x:v>T0 raw entry feed, then T1/T2/T3/T4 selected material transformations. Not applicable for finished endpoints; Unassigned for unresolved material/component routes. Independent of rarity and quality.</x:v>
      </x:c>
    </x:row>
    <x:row r="204" ht="50" customHeight="1">
      <x:c r="A204" s="4" t="str">
        <x:v>Material tier</x:v>
      </x:c>
      <x:c r="B204" s="4" t="str">
        <x:v>T0</x:v>
      </x:c>
      <x:c r="C204" s="4" t="str">
        <x:v>T0 raw entry feed, then T1/T2/T3/T4 selected material transformations. Not applicable for finished endpoints; Unassigned for unresolved material/component routes. Independent of rarity and quality.</x:v>
      </x:c>
    </x:row>
    <x:row r="205" ht="50" customHeight="1">
      <x:c r="A205" s="4" t="str">
        <x:v>Material tier</x:v>
      </x:c>
      <x:c r="B205" s="4" t="str">
        <x:v>T1</x:v>
      </x:c>
      <x:c r="C205" s="4" t="str">
        <x:v>T0 raw entry feed, then T1/T2/T3/T4 selected material transformations. Not applicable for finished endpoints; Unassigned for unresolved material/component routes. Independent of rarity and quality.</x:v>
      </x:c>
    </x:row>
    <x:row r="206" ht="50" customHeight="1">
      <x:c r="A206" s="4" t="str">
        <x:v>Material tier</x:v>
      </x:c>
      <x:c r="B206" s="4" t="str">
        <x:v>T2</x:v>
      </x:c>
      <x:c r="C206" s="4" t="str">
        <x:v>T0 raw entry feed, then T1/T2/T3/T4 selected material transformations. Not applicable for finished endpoints; Unassigned for unresolved material/component routes. Independent of rarity and quality.</x:v>
      </x:c>
    </x:row>
    <x:row r="207" ht="50" customHeight="1">
      <x:c r="A207" s="4" t="str">
        <x:v>Material tier</x:v>
      </x:c>
      <x:c r="B207" s="4" t="str">
        <x:v>T3</x:v>
      </x:c>
      <x:c r="C207" s="4" t="str">
        <x:v>T0 raw entry feed, then T1/T2/T3/T4 selected material transformations. Not applicable for finished endpoints; Unassigned for unresolved material/component routes. Independent of rarity and quality.</x:v>
      </x:c>
    </x:row>
    <x:row r="208" ht="50" customHeight="1">
      <x:c r="A208" s="4" t="str">
        <x:v>Material tier</x:v>
      </x:c>
      <x:c r="B208" s="4" t="str">
        <x:v>T4</x:v>
      </x:c>
      <x:c r="C208" s="4" t="str">
        <x:v>T0 raw entry feed, then T1/T2/T3/T4 selected material transformations. Not applicable for finished endpoints; Unassigned for unresolved material/component routes. Independent of rarity and quality.</x:v>
      </x:c>
    </x:row>
    <x:row r="209" ht="50" customHeight="1">
      <x:c r="A209" s="4" t="str">
        <x:v>Material tier</x:v>
      </x:c>
      <x:c r="B209" s="4" t="str">
        <x:v>Unassigned</x:v>
      </x:c>
      <x:c r="C209" s="4" t="str">
        <x:v>T0 raw entry feed, then T1/T2/T3/T4 selected material transformations. Not applicable for finished endpoints; Unassigned for unresolved material/component routes. Independent of rarity and quality.</x:v>
      </x:c>
    </x:row>
    <x:row r="210" ht="50" customHeight="1">
      <x:c r="A210" s="38" t="str">
        <x:v>Crafting role</x:v>
      </x:c>
      <x:c r="B210" s="38" t="str">
        <x:v>Component</x:v>
      </x:c>
      <x:c r="C210" s="38" t="str">
        <x:v>Material, Component, Finished item or Currency describes the item independently of material tier.</x:v>
      </x:c>
    </x:row>
    <x:row r="211" ht="50" customHeight="1">
      <x:c r="A211" s="38" t="str">
        <x:v>Crafting role</x:v>
      </x:c>
      <x:c r="B211" s="38" t="str">
        <x:v>Currency</x:v>
      </x:c>
      <x:c r="C211" s="38" t="str">
        <x:v>Material, Component, Finished item or Currency describes the item independently of material tier.</x:v>
      </x:c>
    </x:row>
    <x:row r="212" ht="50" customHeight="1">
      <x:c r="A212" s="38" t="str">
        <x:v>Crafting role</x:v>
      </x:c>
      <x:c r="B212" s="38" t="str">
        <x:v>Finished item</x:v>
      </x:c>
      <x:c r="C212" s="38" t="str">
        <x:v>Material, Component, Finished item or Currency describes the item independently of material tier.</x:v>
      </x:c>
    </x:row>
    <x:row r="213" ht="50" customHeight="1">
      <x:c r="A213" s="38" t="str">
        <x:v>Crafting role</x:v>
      </x:c>
      <x:c r="B213" s="38" t="str">
        <x:v>Material</x:v>
      </x:c>
      <x:c r="C213" s="38"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6a1c4f01426d4368"/>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Crafting components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Crafting components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Crafting components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Equipment</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Equipment</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Equipment</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Equipment</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Equipment</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Equipment</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Resources</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Resources</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Resources</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Resources</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Equipment</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Equipment</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Resources</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Resources</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Resources</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Resources</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Resources</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Resources</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Resources</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Equipment</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Equipment</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Equipment</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Equipment</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Equipment</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Equipment</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Equipment</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Equipment</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Equipment</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Equipment</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Resources</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Resources</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Resources</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Equipment</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Equipment</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Equipment</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Equipment</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Equipment</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Equipment</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Equipment</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Equipment</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Equipment</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Resources</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Resources</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Resources</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Equipment</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Equipment</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Equipment</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Equipment</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Equipment</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Equipment</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Equipment</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Equipment</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Resources</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Equipment</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Equipment</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Equipment</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Equipment</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Equipment</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Equipment</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Equipment</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Equipment</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Resources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Resources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Resources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Resources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Resources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Resources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Resources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Resources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Equipment</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Equipment</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Equipment</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Crafting components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Crafting components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Equipment</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Equipment</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Equipment</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Equipment</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Equipment</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Equipment</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Equipment</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Crafting components</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Equipment</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Crafting components</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Equipment</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Equipment</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Equipment</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Equipment</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Equipment</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Equipment</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Equipment</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Equipment</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Equipment</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Equipment</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Equipment</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Equipment</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Equipment</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Equipment</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Equipment</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Crafting components</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Crafting components</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Crafting components</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Crafting components</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Equipment</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Crafting components</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Resources</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Resources</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Resources</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Resources</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Resources</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Resources</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Resources</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Resources</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Resources</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Resources</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Resources</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Resources</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Resources</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Resources</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Resources</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Resources</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Resources</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Resources</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Resources</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Resources</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Resources</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Resources</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Resources</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Resources</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Resources</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Resources</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Resources</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Resources</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Resources</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Resources</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Resources</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Resources</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Resources</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Resources</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Resources</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Resources</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Resources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Resources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Resources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Resources</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Resources</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Resources</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Resources</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Equipment</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Equipment</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Equipment</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Equipment</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Equipment</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Equipment</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Resources</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Equipment</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Equipment</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Equipment</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Equipment</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Equipment</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Equipment</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Equipment</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Equipment</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Equipment</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Equipment</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Equipment</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Equipment</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Equipment</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Resources</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Equipment</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Equipment</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Resources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Resources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Resources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Resources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Resources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Resources</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Resources</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Resources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Resources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Resources</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Resources</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Resources</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Resources</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Resources</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Resources</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Resources</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Resources</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Resources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Resources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Resources</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Resources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Resources</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Resources</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Resources</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Resources</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Resources</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Resources</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Resources</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Resources</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Resources</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Resources</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Resources</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Resources</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Resources</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Resources</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sheetData>
  <x:dataValidations count="3">
    <x:dataValidation type="list" sqref="A6:A1005">
      <x:formula1>'Items'!$A$6:$A$447</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750776228caa4d5d"/>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Resources</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Resources</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Resources</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Resources</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Resources</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Resources</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Resources</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Resources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Resources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Resources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Resources</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Resources</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Resources</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Resources</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Resources</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Resources</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Resources</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Resources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Resources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Resources</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Resources</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Resources</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Resources</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Resources</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Resources</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Resources</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Resources</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Resources</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Resources</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Resources</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Resources</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Resources</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Resources</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Resources</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Resources</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Resources</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Resources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Resources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Resources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Resources</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Resources</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Resources</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Resources</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Resources</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Resources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Unassigned</x:v>
      </x:c>
      <x:c r="G99" s="4" t="str">
        <x:f>IFERROR(INDEX('Items'!$D$6:$D$1005,MATCH(D99,'Items'!$A$6:$A$1005,0)),"MISSING ID")</x:f>
        <x:v>Resources</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Resources</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Unassigned</x:v>
      </x:c>
      <x:c r="G101" s="4" t="str">
        <x:f>IFERROR(INDEX('Items'!$D$6:$D$1005,MATCH(D101,'Items'!$A$6:$A$1005,0)),"MISSING ID")</x:f>
        <x:v>Resources</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Unassigned</x:v>
      </x:c>
      <x:c r="G102" s="4" t="str">
        <x:f>IFERROR(INDEX('Items'!$D$6:$D$1005,MATCH(D102,'Items'!$A$6:$A$1005,0)),"MISSING ID")</x:f>
        <x:v>Resources</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Resources</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Resources</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Resources</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Resources</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Resources</x:v>
      </x:c>
      <x:c r="H114" s="4" t="str">
        <x:f>IFERROR(INDEX('Items'!$X$6:$X$1005,MATCH(D114,'Items'!$A$6:$A$1005,0)),"MISSING ID")</x:f>
        <x:v>Raw material</x:v>
      </x:c>
      <x:c r="I114" s="4"/>
      <x:c r="J114" s="4" t="str">
        <x:v>Unspecified</x:v>
      </x:c>
      <x:c r="K114" s="4" t="str">
        <x:f>IFERROR(INDEX('Crafting recipes'!$D$6:$D$1005,MATCH(B114,'Crafting recipes'!$A$6:$A$1005,0)),"MISSING ID")</x:f>
        <x:v>Concept outline</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Unassigned</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Concept outline</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Resources</x:v>
      </x:c>
      <x:c r="H116" s="4" t="str">
        <x:f>IFERROR(INDEX('Items'!$X$6:$X$1005,MATCH(D116,'Items'!$A$6:$A$1005,0)),"MISSING ID")</x:f>
        <x:v>Raw material</x:v>
      </x:c>
      <x:c r="I116" s="4"/>
      <x:c r="J116" s="4" t="str">
        <x:v>Unspecified</x:v>
      </x:c>
      <x:c r="K116" s="4" t="str">
        <x:f>IFERROR(INDEX('Crafting recipes'!$D$6:$D$1005,MATCH(B116,'Crafting recipes'!$A$6:$A$1005,0)),"MISSING ID")</x:f>
        <x:v>Concept outline</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Unassigned</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Concept outline</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Unassigned</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Equipment</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Resources</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Equipment</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Unassigned</x:v>
      </x:c>
      <x:c r="G127" s="4" t="str">
        <x:f>IFERROR(INDEX('Items'!$D$6:$D$1005,MATCH(D127,'Items'!$A$6:$A$1005,0)),"MISSING ID")</x:f>
        <x:v>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Unassigned</x:v>
      </x:c>
      <x:c r="G128" s="4" t="str">
        <x:f>IFERROR(INDEX('Items'!$D$6:$D$1005,MATCH(D128,'Items'!$A$6:$A$1005,0)),"MISSING ID")</x:f>
        <x:v>Resources</x:v>
      </x:c>
      <x:c r="H128" s="4" t="str">
        <x:f>IFERROR(INDEX('Items'!$X$6:$X$1005,MATCH(D128,'Items'!$A$6:$A$1005,0)),"MISSING ID")</x:f>
        <x:v>Raw material</x:v>
      </x:c>
      <x:c r="I128" s="4"/>
      <x:c r="J128" s="4" t="str">
        <x:v>Unspecified</x:v>
      </x:c>
      <x:c r="K128" s="4" t="str">
        <x:f>IFERROR(INDEX('Crafting recipes'!$D$6:$D$1005,MATCH(B128,'Crafting recipes'!$A$6:$A$1005,0)),"MISSING ID")</x:f>
        <x:v>Concept outline</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1</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Resources</x:v>
      </x:c>
      <x:c r="H129" s="4" t="str">
        <x:f>IFERROR(INDEX('Items'!$X$6:$X$1005,MATCH(D129,'Items'!$A$6:$A$1005,0)),"MISSING ID")</x:f>
        <x:v>Processed material</x:v>
      </x:c>
      <x:c r="I129" s="4"/>
      <x:c r="J129" s="4" t="str">
        <x:v>Unspecified</x:v>
      </x:c>
      <x:c r="K129" s="4" t="str">
        <x:f>IFERROR(INDEX('Crafting recipes'!$D$6:$D$1005,MATCH(B129,'Crafting recipes'!$A$6:$A$1005,0)),"MISSING ID")</x:f>
        <x:v>Concept outline</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Resources</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Unassigned</x:v>
      </x:c>
      <x:c r="G135" s="4" t="str">
        <x:f>IFERROR(INDEX('Items'!$D$6:$D$1005,MATCH(D135,'Items'!$A$6:$A$1005,0)),"MISSING ID")</x:f>
        <x:v>Resources</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Equipment</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Equipment</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Resources</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Resources</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Equipment</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Equipment</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Resources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Resources</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Resources</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Resources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Resources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Resources</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Resources</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Resources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Resources</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Resources</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Resources</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Resources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Resources</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Resources</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Resources</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Resources</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Resources</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Resources</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Resources</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Resources</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Resources</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Resources</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Resources</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Resources</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Resources</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Resources</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Resources</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Resources</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Resources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Resources</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Resources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Resources</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Resources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Resources</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Resources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Resources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Resources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Resources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Resources</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Resources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Resources</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Resources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Resources</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Resources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Resources</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Resources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Resources</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Resources</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Resources</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Resources</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Resources</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Resources</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Resources</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Resources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Resources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Resources</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Resources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Resources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Resources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Resources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Resources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Resources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Resources</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Resources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Resources</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Resources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Resources</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Resources</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Resources</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Resources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Resources</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Resources</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Resources</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Resources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Resources</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Resources</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Resources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Resources</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Resources</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Resources</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Resources</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Resources</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Resources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Resources</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Resources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Resources</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Resources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Resources</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Resources</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Resources</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Resources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Resources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Resources</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Resources</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Resources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Resources</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Resources</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Resources</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Resources</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Resources</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Resources</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Resources</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Resources</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Resources</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Resources</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Resources</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Resources</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Resources</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Resources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Resources</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Equipment</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Resources</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Resources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Resources</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Equipment</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sheetData>
  <x:dataValidations count="3">
    <x:dataValidation type="list" sqref="B6:B1005">
      <x:formula1>'Crafting recipes'!$A$6:$A$118</x:formula1>
    </x:dataValidation>
    <x:dataValidation type="list" sqref="D6:D1005">
      <x:formula1>'Items'!$A$6:$A$447</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3e69ccde898d425e"/>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0a6efee4ef284265"/>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x:v>
      </x:c>
    </x:row>
    <x:row r="57" ht="85" customHeight="1">
      <x:c r="A57" s="4" t="str">
        <x:v>outline.resource_chain.14</x:v>
      </x:c>
      <x:c r="B57" s="4" t="str">
        <x:v>Bristle brush strips contribution outline</x:v>
      </x:c>
      <x:c r="C57" s="4" t="str">
        <x:v>Material refinement</x:v>
      </x:c>
      <x:c r="D57" s="4" t="str">
        <x:v>Concept outline</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x:v>
      </x:c>
    </x:row>
    <x:row r="58" ht="85" customHeight="1">
      <x:c r="A58" s="4" t="str">
        <x:v>outline.resource_chain.16</x:v>
      </x:c>
      <x:c r="B58" s="4" t="str">
        <x:v>Jaw cutting insert contribution outline</x:v>
      </x:c>
      <x:c r="C58" s="4" t="str">
        <x:v>Material refinement</x:v>
      </x:c>
      <x:c r="D58" s="4" t="str">
        <x:v>Concept outline</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Concept outline</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Unassigned</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T2</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routes'!$Q$6:$Q$1005,'Material routes'!$B$6:$B$1005,A78)&gt;0,"Unassigned","T"&amp;_xlfn.MAXIFS('Material routes'!$P$6:$P$1005,'Material routes'!$B$6:$B$1005,A78)))</x:f>
        <x:v>T0</x:v>
      </x:c>
      <x:c r="I78" s="4" t="n">
        <x:f>SUM(COUNTIFS('Material routes'!$B$6:$B$1005,A78,'Material routes'!$C$6:$C$1005,"Ingredient candidate"),COUNTIFS('Material routes'!$B$6:$B$1005,A78,'Material routes'!$C$6:$C$1005,"Consumed input"),COUNTIFS('Material routes'!$B$6:$B$1005,A78,'Material routes'!$C$6:$C$1005,"Contained input"),COUNTIFS('Material routes'!$B$6:$B$1005,A78,'Material routes'!$C$6:$C$1005,"Transform input"))</x:f>
        <x:v>2</x:v>
      </x:c>
      <x:c r="J78" s="4" t="n">
        <x:f>COUNTIFS('Material routes'!$B$6:$B$1005,A78,'Material routes'!$C$6:$C$1005,"Output")</x:f>
        <x:v>1</x:v>
      </x:c>
      <x:c r="K78" s="4" t="n">
        <x:f>COUNTIFS('Material routes'!$B$6:$B$1005,A78,'Material routes'!$C$6:$C$1005,"Tool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routes'!$Q$6:$Q$1005,'Material routes'!$B$6:$B$1005,A79)&gt;0,"Unassigned","T"&amp;_xlfn.MAXIFS('Material routes'!$P$6:$P$1005,'Material routes'!$B$6:$B$1005,A79)))</x:f>
        <x:v>T0</x:v>
      </x:c>
      <x:c r="I79" s="4" t="n">
        <x:f>SUM(COUNTIFS('Material routes'!$B$6:$B$1005,A79,'Material routes'!$C$6:$C$1005,"Ingredient candidate"),COUNTIFS('Material routes'!$B$6:$B$1005,A79,'Material routes'!$C$6:$C$1005,"Consumed input"),COUNTIFS('Material routes'!$B$6:$B$1005,A79,'Material routes'!$C$6:$C$1005,"Contained input"),COUNTIFS('Material routes'!$B$6:$B$1005,A79,'Material routes'!$C$6:$C$1005,"Transform input"))</x:f>
        <x:v>1</x:v>
      </x:c>
      <x:c r="J79" s="4" t="n">
        <x:f>COUNTIFS('Material routes'!$B$6:$B$1005,A79,'Material routes'!$C$6:$C$1005,"Output")</x:f>
        <x:v>1</x:v>
      </x:c>
      <x:c r="K79" s="4" t="n">
        <x:f>COUNTIFS('Material routes'!$B$6:$B$1005,A79,'Material routes'!$C$6:$C$1005,"Tool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routes'!$Q$6:$Q$1005,'Material routes'!$B$6:$B$1005,A80)&gt;0,"Unassigned","T"&amp;_xlfn.MAXIFS('Material routes'!$P$6:$P$1005,'Material routes'!$B$6:$B$1005,A80)))</x:f>
        <x:v>T0</x:v>
      </x:c>
      <x:c r="I80" s="4" t="n">
        <x:f>SUM(COUNTIFS('Material routes'!$B$6:$B$1005,A80,'Material routes'!$C$6:$C$1005,"Ingredient candidate"),COUNTIFS('Material routes'!$B$6:$B$1005,A80,'Material routes'!$C$6:$C$1005,"Consumed input"),COUNTIFS('Material routes'!$B$6:$B$1005,A80,'Material routes'!$C$6:$C$1005,"Contained input"),COUNTIFS('Material routes'!$B$6:$B$1005,A80,'Material routes'!$C$6:$C$1005,"Transform input"))</x:f>
        <x:v>1</x:v>
      </x:c>
      <x:c r="J80" s="4" t="n">
        <x:f>COUNTIFS('Material routes'!$B$6:$B$1005,A80,'Material routes'!$C$6:$C$1005,"Output")</x:f>
        <x:v>1</x:v>
      </x:c>
      <x:c r="K80" s="4" t="n">
        <x:f>COUNTIFS('Material routes'!$B$6:$B$1005,A80,'Material routes'!$C$6:$C$1005,"Tool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routes'!$Q$6:$Q$1005,'Material routes'!$B$6:$B$1005,A81)&gt;0,"Unassigned","T"&amp;_xlfn.MAXIFS('Material routes'!$P$6:$P$1005,'Material routes'!$B$6:$B$1005,A81)))</x:f>
        <x:v>T0</x:v>
      </x:c>
      <x:c r="I81" s="4" t="n">
        <x:f>SUM(COUNTIFS('Material routes'!$B$6:$B$1005,A81,'Material routes'!$C$6:$C$1005,"Ingredient candidate"),COUNTIFS('Material routes'!$B$6:$B$1005,A81,'Material routes'!$C$6:$C$1005,"Consumed input"),COUNTIFS('Material routes'!$B$6:$B$1005,A81,'Material routes'!$C$6:$C$1005,"Contained input"),COUNTIFS('Material routes'!$B$6:$B$1005,A81,'Material routes'!$C$6:$C$1005,"Transform input"))</x:f>
        <x:v>1</x:v>
      </x:c>
      <x:c r="J81" s="4" t="n">
        <x:f>COUNTIFS('Material routes'!$B$6:$B$1005,A81,'Material routes'!$C$6:$C$1005,"Output")</x:f>
        <x:v>1</x:v>
      </x:c>
      <x:c r="K81" s="4" t="n">
        <x:f>COUNTIFS('Material routes'!$B$6:$B$1005,A81,'Material routes'!$C$6:$C$1005,"Tool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routes'!$Q$6:$Q$1005,'Material routes'!$B$6:$B$1005,A82)&gt;0,"Unassigned","T"&amp;_xlfn.MAXIFS('Material routes'!$P$6:$P$1005,'Material routes'!$B$6:$B$1005,A82)))</x:f>
        <x:v>T0</x:v>
      </x:c>
      <x:c r="I82" s="4" t="n">
        <x:f>SUM(COUNTIFS('Material routes'!$B$6:$B$1005,A82,'Material routes'!$C$6:$C$1005,"Ingredient candidate"),COUNTIFS('Material routes'!$B$6:$B$1005,A82,'Material routes'!$C$6:$C$1005,"Consumed input"),COUNTIFS('Material routes'!$B$6:$B$1005,A82,'Material routes'!$C$6:$C$1005,"Contained input"),COUNTIFS('Material routes'!$B$6:$B$1005,A82,'Material routes'!$C$6:$C$1005,"Transform input"))</x:f>
        <x:v>1</x:v>
      </x:c>
      <x:c r="J82" s="4" t="n">
        <x:f>COUNTIFS('Material routes'!$B$6:$B$1005,A82,'Material routes'!$C$6:$C$1005,"Output")</x:f>
        <x:v>1</x:v>
      </x:c>
      <x:c r="K82" s="4" t="n">
        <x:f>COUNTIFS('Material routes'!$B$6:$B$1005,A82,'Material routes'!$C$6:$C$1005,"Tool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routes'!$Q$6:$Q$1005,'Material routes'!$B$6:$B$1005,A83)&gt;0,"Unassigned","T"&amp;_xlfn.MAXIFS('Material routes'!$P$6:$P$1005,'Material routes'!$B$6:$B$1005,A83)))</x:f>
        <x:v>T1</x:v>
      </x:c>
      <x:c r="I83" s="4" t="n">
        <x:f>SUM(COUNTIFS('Material routes'!$B$6:$B$1005,A83,'Material routes'!$C$6:$C$1005,"Ingredient candidate"),COUNTIFS('Material routes'!$B$6:$B$1005,A83,'Material routes'!$C$6:$C$1005,"Consumed input"),COUNTIFS('Material routes'!$B$6:$B$1005,A83,'Material routes'!$C$6:$C$1005,"Contained input"),COUNTIFS('Material routes'!$B$6:$B$1005,A83,'Material routes'!$C$6:$C$1005,"Transform input"))</x:f>
        <x:v>3</x:v>
      </x:c>
      <x:c r="J83" s="4" t="n">
        <x:f>COUNTIFS('Material routes'!$B$6:$B$1005,A83,'Material routes'!$C$6:$C$1005,"Output")</x:f>
        <x:v>1</x:v>
      </x:c>
      <x:c r="K83" s="4" t="n">
        <x:f>COUNTIFS('Material routes'!$B$6:$B$1005,A83,'Material routes'!$C$6:$C$1005,"Tool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routes'!$Q$6:$Q$1005,'Material routes'!$B$6:$B$1005,A84)&gt;0,"Unassigned","T"&amp;_xlfn.MAXIFS('Material routes'!$P$6:$P$1005,'Material routes'!$B$6:$B$1005,A84)))</x:f>
        <x:v>T1</x:v>
      </x:c>
      <x:c r="I84" s="4" t="n">
        <x:f>SUM(COUNTIFS('Material routes'!$B$6:$B$1005,A84,'Material routes'!$C$6:$C$1005,"Ingredient candidate"),COUNTIFS('Material routes'!$B$6:$B$1005,A84,'Material routes'!$C$6:$C$1005,"Consumed input"),COUNTIFS('Material routes'!$B$6:$B$1005,A84,'Material routes'!$C$6:$C$1005,"Contained input"),COUNTIFS('Material routes'!$B$6:$B$1005,A84,'Material routes'!$C$6:$C$1005,"Transform input"))</x:f>
        <x:v>3</x:v>
      </x:c>
      <x:c r="J84" s="4" t="n">
        <x:f>COUNTIFS('Material routes'!$B$6:$B$1005,A84,'Material routes'!$C$6:$C$1005,"Output")</x:f>
        <x:v>1</x:v>
      </x:c>
      <x:c r="K84" s="4" t="n">
        <x:f>COUNTIFS('Material routes'!$B$6:$B$1005,A84,'Material routes'!$C$6:$C$1005,"Tool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routes'!$Q$6:$Q$1005,'Material routes'!$B$6:$B$1005,A85)&gt;0,"Unassigned","T"&amp;_xlfn.MAXIFS('Material routes'!$P$6:$P$1005,'Material routes'!$B$6:$B$1005,A85)))</x:f>
        <x:v>T1</x:v>
      </x:c>
      <x:c r="I85" s="4" t="n">
        <x:f>SUM(COUNTIFS('Material routes'!$B$6:$B$1005,A85,'Material routes'!$C$6:$C$1005,"Ingredient candidate"),COUNTIFS('Material routes'!$B$6:$B$1005,A85,'Material routes'!$C$6:$C$1005,"Consumed input"),COUNTIFS('Material routes'!$B$6:$B$1005,A85,'Material routes'!$C$6:$C$1005,"Contained input"),COUNTIFS('Material routes'!$B$6:$B$1005,A85,'Material routes'!$C$6:$C$1005,"Transform input"))</x:f>
        <x:v>1</x:v>
      </x:c>
      <x:c r="J85" s="4" t="n">
        <x:f>COUNTIFS('Material routes'!$B$6:$B$1005,A85,'Material routes'!$C$6:$C$1005,"Output")</x:f>
        <x:v>1</x:v>
      </x:c>
      <x:c r="K85" s="4" t="n">
        <x:f>COUNTIFS('Material routes'!$B$6:$B$1005,A85,'Material routes'!$C$6:$C$1005,"Tool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routes'!$Q$6:$Q$1005,'Material routes'!$B$6:$B$1005,A86)&gt;0,"Unassigned","T"&amp;_xlfn.MAXIFS('Material routes'!$P$6:$P$1005,'Material routes'!$B$6:$B$1005,A86)))</x:f>
        <x:v>T1</x:v>
      </x:c>
      <x:c r="I86" s="4" t="n">
        <x:f>SUM(COUNTIFS('Material routes'!$B$6:$B$1005,A86,'Material routes'!$C$6:$C$1005,"Ingredient candidate"),COUNTIFS('Material routes'!$B$6:$B$1005,A86,'Material routes'!$C$6:$C$1005,"Consumed input"),COUNTIFS('Material routes'!$B$6:$B$1005,A86,'Material routes'!$C$6:$C$1005,"Contained input"),COUNTIFS('Material routes'!$B$6:$B$1005,A86,'Material routes'!$C$6:$C$1005,"Transform input"))</x:f>
        <x:v>1</x:v>
      </x:c>
      <x:c r="J86" s="4" t="n">
        <x:f>COUNTIFS('Material routes'!$B$6:$B$1005,A86,'Material routes'!$C$6:$C$1005,"Output")</x:f>
        <x:v>1</x:v>
      </x:c>
      <x:c r="K86" s="4" t="n">
        <x:f>COUNTIFS('Material routes'!$B$6:$B$1005,A86,'Material routes'!$C$6:$C$1005,"Tool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routes'!$Q$6:$Q$1005,'Material routes'!$B$6:$B$1005,A87)&gt;0,"Unassigned","T"&amp;_xlfn.MAXIFS('Material routes'!$P$6:$P$1005,'Material routes'!$B$6:$B$1005,A87)))</x:f>
        <x:v>T1</x:v>
      </x:c>
      <x:c r="I87" s="4" t="n">
        <x:f>SUM(COUNTIFS('Material routes'!$B$6:$B$1005,A87,'Material routes'!$C$6:$C$1005,"Ingredient candidate"),COUNTIFS('Material routes'!$B$6:$B$1005,A87,'Material routes'!$C$6:$C$1005,"Consumed input"),COUNTIFS('Material routes'!$B$6:$B$1005,A87,'Material routes'!$C$6:$C$1005,"Contained input"),COUNTIFS('Material routes'!$B$6:$B$1005,A87,'Material routes'!$C$6:$C$1005,"Transform input"))</x:f>
        <x:v>2</x:v>
      </x:c>
      <x:c r="J87" s="4" t="n">
        <x:f>COUNTIFS('Material routes'!$B$6:$B$1005,A87,'Material routes'!$C$6:$C$1005,"Output")</x:f>
        <x:v>1</x:v>
      </x:c>
      <x:c r="K87" s="4" t="n">
        <x:f>COUNTIFS('Material routes'!$B$6:$B$1005,A87,'Material routes'!$C$6:$C$1005,"Tool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routes'!$Q$6:$Q$1005,'Material routes'!$B$6:$B$1005,A88)&gt;0,"Unassigned","T"&amp;_xlfn.MAXIFS('Material routes'!$P$6:$P$1005,'Material routes'!$B$6:$B$1005,A88)))</x:f>
        <x:v>T1</x:v>
      </x:c>
      <x:c r="I88" s="4" t="n">
        <x:f>SUM(COUNTIFS('Material routes'!$B$6:$B$1005,A88,'Material routes'!$C$6:$C$1005,"Ingredient candidate"),COUNTIFS('Material routes'!$B$6:$B$1005,A88,'Material routes'!$C$6:$C$1005,"Consumed input"),COUNTIFS('Material routes'!$B$6:$B$1005,A88,'Material routes'!$C$6:$C$1005,"Contained input"),COUNTIFS('Material routes'!$B$6:$B$1005,A88,'Material routes'!$C$6:$C$1005,"Transform input"))</x:f>
        <x:v>3</x:v>
      </x:c>
      <x:c r="J88" s="4" t="n">
        <x:f>COUNTIFS('Material routes'!$B$6:$B$1005,A88,'Material routes'!$C$6:$C$1005,"Output")</x:f>
        <x:v>1</x:v>
      </x:c>
      <x:c r="K88" s="4" t="n">
        <x:f>COUNTIFS('Material routes'!$B$6:$B$1005,A88,'Material routes'!$C$6:$C$1005,"Tool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routes'!$Q$6:$Q$1005,'Material routes'!$B$6:$B$1005,A89)&gt;0,"Unassigned","T"&amp;_xlfn.MAXIFS('Material routes'!$P$6:$P$1005,'Material routes'!$B$6:$B$1005,A89)))</x:f>
        <x:v>T1</x:v>
      </x:c>
      <x:c r="I89" s="4" t="n">
        <x:f>SUM(COUNTIFS('Material routes'!$B$6:$B$1005,A89,'Material routes'!$C$6:$C$1005,"Ingredient candidate"),COUNTIFS('Material routes'!$B$6:$B$1005,A89,'Material routes'!$C$6:$C$1005,"Consumed input"),COUNTIFS('Material routes'!$B$6:$B$1005,A89,'Material routes'!$C$6:$C$1005,"Contained input"),COUNTIFS('Material routes'!$B$6:$B$1005,A89,'Material routes'!$C$6:$C$1005,"Transform input"))</x:f>
        <x:v>1</x:v>
      </x:c>
      <x:c r="J89" s="4" t="n">
        <x:f>COUNTIFS('Material routes'!$B$6:$B$1005,A89,'Material routes'!$C$6:$C$1005,"Output")</x:f>
        <x:v>1</x:v>
      </x:c>
      <x:c r="K89" s="4" t="n">
        <x:f>COUNTIFS('Material routes'!$B$6:$B$1005,A89,'Material routes'!$C$6:$C$1005,"Tool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routes'!$Q$6:$Q$1005,'Material routes'!$B$6:$B$1005,A90)&gt;0,"Unassigned","T"&amp;_xlfn.MAXIFS('Material routes'!$P$6:$P$1005,'Material routes'!$B$6:$B$1005,A90)))</x:f>
        <x:v>T1</x:v>
      </x:c>
      <x:c r="I90" s="4" t="n">
        <x:f>SUM(COUNTIFS('Material routes'!$B$6:$B$1005,A90,'Material routes'!$C$6:$C$1005,"Ingredient candidate"),COUNTIFS('Material routes'!$B$6:$B$1005,A90,'Material routes'!$C$6:$C$1005,"Consumed input"),COUNTIFS('Material routes'!$B$6:$B$1005,A90,'Material routes'!$C$6:$C$1005,"Contained input"),COUNTIFS('Material routes'!$B$6:$B$1005,A90,'Material routes'!$C$6:$C$1005,"Transform input"))</x:f>
        <x:v>1</x:v>
      </x:c>
      <x:c r="J90" s="4" t="n">
        <x:f>COUNTIFS('Material routes'!$B$6:$B$1005,A90,'Material routes'!$C$6:$C$1005,"Output")</x:f>
        <x:v>1</x:v>
      </x:c>
      <x:c r="K90" s="4" t="n">
        <x:f>COUNTIFS('Material routes'!$B$6:$B$1005,A90,'Material routes'!$C$6:$C$1005,"Tool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routes'!$Q$6:$Q$1005,'Material routes'!$B$6:$B$1005,A91)&gt;0,"Unassigned","T"&amp;_xlfn.MAXIFS('Material routes'!$P$6:$P$1005,'Material routes'!$B$6:$B$1005,A91)))</x:f>
        <x:v>T1</x:v>
      </x:c>
      <x:c r="I91" s="4" t="n">
        <x:f>SUM(COUNTIFS('Material routes'!$B$6:$B$1005,A91,'Material routes'!$C$6:$C$1005,"Ingredient candidate"),COUNTIFS('Material routes'!$B$6:$B$1005,A91,'Material routes'!$C$6:$C$1005,"Consumed input"),COUNTIFS('Material routes'!$B$6:$B$1005,A91,'Material routes'!$C$6:$C$1005,"Contained input"),COUNTIFS('Material routes'!$B$6:$B$1005,A91,'Material routes'!$C$6:$C$1005,"Transform input"))</x:f>
        <x:v>2</x:v>
      </x:c>
      <x:c r="J91" s="4" t="n">
        <x:f>COUNTIFS('Material routes'!$B$6:$B$1005,A91,'Material routes'!$C$6:$C$1005,"Output")</x:f>
        <x:v>1</x:v>
      </x:c>
      <x:c r="K91" s="4" t="n">
        <x:f>COUNTIFS('Material routes'!$B$6:$B$1005,A91,'Material routes'!$C$6:$C$1005,"Tool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routes'!$Q$6:$Q$1005,'Material routes'!$B$6:$B$1005,A92)&gt;0,"Unassigned","T"&amp;_xlfn.MAXIFS('Material routes'!$P$6:$P$1005,'Material routes'!$B$6:$B$1005,A92)))</x:f>
        <x:v>T1</x:v>
      </x:c>
      <x:c r="I92" s="4" t="n">
        <x:f>SUM(COUNTIFS('Material routes'!$B$6:$B$1005,A92,'Material routes'!$C$6:$C$1005,"Ingredient candidate"),COUNTIFS('Material routes'!$B$6:$B$1005,A92,'Material routes'!$C$6:$C$1005,"Consumed input"),COUNTIFS('Material routes'!$B$6:$B$1005,A92,'Material routes'!$C$6:$C$1005,"Contained input"),COUNTIFS('Material routes'!$B$6:$B$1005,A92,'Material routes'!$C$6:$C$1005,"Transform input"))</x:f>
        <x:v>3</x:v>
      </x:c>
      <x:c r="J92" s="4" t="n">
        <x:f>COUNTIFS('Material routes'!$B$6:$B$1005,A92,'Material routes'!$C$6:$C$1005,"Output")</x:f>
        <x:v>1</x:v>
      </x:c>
      <x:c r="K92" s="4" t="n">
        <x:f>COUNTIFS('Material routes'!$B$6:$B$1005,A92,'Material routes'!$C$6:$C$1005,"Tool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routes'!$Q$6:$Q$1005,'Material routes'!$B$6:$B$1005,A93)&gt;0,"Unassigned","T"&amp;_xlfn.MAXIFS('Material routes'!$P$6:$P$1005,'Material routes'!$B$6:$B$1005,A93)))</x:f>
        <x:v>T1</x:v>
      </x:c>
      <x:c r="I93" s="4" t="n">
        <x:f>SUM(COUNTIFS('Material routes'!$B$6:$B$1005,A93,'Material routes'!$C$6:$C$1005,"Ingredient candidate"),COUNTIFS('Material routes'!$B$6:$B$1005,A93,'Material routes'!$C$6:$C$1005,"Consumed input"),COUNTIFS('Material routes'!$B$6:$B$1005,A93,'Material routes'!$C$6:$C$1005,"Contained input"),COUNTIFS('Material routes'!$B$6:$B$1005,A93,'Material routes'!$C$6:$C$1005,"Transform input"))</x:f>
        <x:v>2</x:v>
      </x:c>
      <x:c r="J93" s="4" t="n">
        <x:f>COUNTIFS('Material routes'!$B$6:$B$1005,A93,'Material routes'!$C$6:$C$1005,"Output")</x:f>
        <x:v>1</x:v>
      </x:c>
      <x:c r="K93" s="4" t="n">
        <x:f>COUNTIFS('Material routes'!$B$6:$B$1005,A93,'Material routes'!$C$6:$C$1005,"Tool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routes'!$Q$6:$Q$1005,'Material routes'!$B$6:$B$1005,A94)&gt;0,"Unassigned","T"&amp;_xlfn.MAXIFS('Material routes'!$P$6:$P$1005,'Material routes'!$B$6:$B$1005,A94)))</x:f>
        <x:v>T1</x:v>
      </x:c>
      <x:c r="I94" s="4" t="n">
        <x:f>SUM(COUNTIFS('Material routes'!$B$6:$B$1005,A94,'Material routes'!$C$6:$C$1005,"Ingredient candidate"),COUNTIFS('Material routes'!$B$6:$B$1005,A94,'Material routes'!$C$6:$C$1005,"Consumed input"),COUNTIFS('Material routes'!$B$6:$B$1005,A94,'Material routes'!$C$6:$C$1005,"Contained input"),COUNTIFS('Material routes'!$B$6:$B$1005,A94,'Material routes'!$C$6:$C$1005,"Transform input"))</x:f>
        <x:v>2</x:v>
      </x:c>
      <x:c r="J94" s="4" t="n">
        <x:f>COUNTIFS('Material routes'!$B$6:$B$1005,A94,'Material routes'!$C$6:$C$1005,"Output")</x:f>
        <x:v>1</x:v>
      </x:c>
      <x:c r="K94" s="4" t="n">
        <x:f>COUNTIFS('Material routes'!$B$6:$B$1005,A94,'Material routes'!$C$6:$C$1005,"Tool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routes'!$Q$6:$Q$1005,'Material routes'!$B$6:$B$1005,A95)&gt;0,"Unassigned","T"&amp;_xlfn.MAXIFS('Material routes'!$P$6:$P$1005,'Material routes'!$B$6:$B$1005,A95)))</x:f>
        <x:v>T1</x:v>
      </x:c>
      <x:c r="I95" s="4" t="n">
        <x:f>SUM(COUNTIFS('Material routes'!$B$6:$B$1005,A95,'Material routes'!$C$6:$C$1005,"Ingredient candidate"),COUNTIFS('Material routes'!$B$6:$B$1005,A95,'Material routes'!$C$6:$C$1005,"Consumed input"),COUNTIFS('Material routes'!$B$6:$B$1005,A95,'Material routes'!$C$6:$C$1005,"Contained input"),COUNTIFS('Material routes'!$B$6:$B$1005,A95,'Material routes'!$C$6:$C$1005,"Transform input"))</x:f>
        <x:v>2</x:v>
      </x:c>
      <x:c r="J95" s="4" t="n">
        <x:f>COUNTIFS('Material routes'!$B$6:$B$1005,A95,'Material routes'!$C$6:$C$1005,"Output")</x:f>
        <x:v>1</x:v>
      </x:c>
      <x:c r="K95" s="4" t="n">
        <x:f>COUNTIFS('Material routes'!$B$6:$B$1005,A95,'Material routes'!$C$6:$C$1005,"Tool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routes'!$Q$6:$Q$1005,'Material routes'!$B$6:$B$1005,A96)&gt;0,"Unassigned","T"&amp;_xlfn.MAXIFS('Material routes'!$P$6:$P$1005,'Material routes'!$B$6:$B$1005,A96)))</x:f>
        <x:v>T1</x:v>
      </x:c>
      <x:c r="I96" s="4" t="n">
        <x:f>SUM(COUNTIFS('Material routes'!$B$6:$B$1005,A96,'Material routes'!$C$6:$C$1005,"Ingredient candidate"),COUNTIFS('Material routes'!$B$6:$B$1005,A96,'Material routes'!$C$6:$C$1005,"Consumed input"),COUNTIFS('Material routes'!$B$6:$B$1005,A96,'Material routes'!$C$6:$C$1005,"Contained input"),COUNTIFS('Material routes'!$B$6:$B$1005,A96,'Material routes'!$C$6:$C$1005,"Transform input"))</x:f>
        <x:v>2</x:v>
      </x:c>
      <x:c r="J96" s="4" t="n">
        <x:f>COUNTIFS('Material routes'!$B$6:$B$1005,A96,'Material routes'!$C$6:$C$1005,"Output")</x:f>
        <x:v>1</x:v>
      </x:c>
      <x:c r="K96" s="4" t="n">
        <x:f>COUNTIFS('Material routes'!$B$6:$B$1005,A96,'Material routes'!$C$6:$C$1005,"Tool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routes'!$Q$6:$Q$1005,'Material routes'!$B$6:$B$1005,A97)&gt;0,"Unassigned","T"&amp;_xlfn.MAXIFS('Material routes'!$P$6:$P$1005,'Material routes'!$B$6:$B$1005,A97)))</x:f>
        <x:v>T1</x:v>
      </x:c>
      <x:c r="I97" s="4" t="n">
        <x:f>SUM(COUNTIFS('Material routes'!$B$6:$B$1005,A97,'Material routes'!$C$6:$C$1005,"Ingredient candidate"),COUNTIFS('Material routes'!$B$6:$B$1005,A97,'Material routes'!$C$6:$C$1005,"Consumed input"),COUNTIFS('Material routes'!$B$6:$B$1005,A97,'Material routes'!$C$6:$C$1005,"Contained input"),COUNTIFS('Material routes'!$B$6:$B$1005,A97,'Material routes'!$C$6:$C$1005,"Transform input"))</x:f>
        <x:v>2</x:v>
      </x:c>
      <x:c r="J97" s="4" t="n">
        <x:f>COUNTIFS('Material routes'!$B$6:$B$1005,A97,'Material routes'!$C$6:$C$1005,"Output")</x:f>
        <x:v>1</x:v>
      </x:c>
      <x:c r="K97" s="4" t="n">
        <x:f>COUNTIFS('Material routes'!$B$6:$B$1005,A97,'Material routes'!$C$6:$C$1005,"Tool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routes'!$Q$6:$Q$1005,'Material routes'!$B$6:$B$1005,A98)&gt;0,"Unassigned","T"&amp;_xlfn.MAXIFS('Material routes'!$P$6:$P$1005,'Material routes'!$B$6:$B$1005,A98)))</x:f>
        <x:v>T1</x:v>
      </x:c>
      <x:c r="I98" s="4" t="n">
        <x:f>SUM(COUNTIFS('Material routes'!$B$6:$B$1005,A98,'Material routes'!$C$6:$C$1005,"Ingredient candidate"),COUNTIFS('Material routes'!$B$6:$B$1005,A98,'Material routes'!$C$6:$C$1005,"Consumed input"),COUNTIFS('Material routes'!$B$6:$B$1005,A98,'Material routes'!$C$6:$C$1005,"Contained input"),COUNTIFS('Material routes'!$B$6:$B$1005,A98,'Material routes'!$C$6:$C$1005,"Transform input"))</x:f>
        <x:v>2</x:v>
      </x:c>
      <x:c r="J98" s="4" t="n">
        <x:f>COUNTIFS('Material routes'!$B$6:$B$1005,A98,'Material routes'!$C$6:$C$1005,"Output")</x:f>
        <x:v>1</x:v>
      </x:c>
      <x:c r="K98" s="4" t="n">
        <x:f>COUNTIFS('Material routes'!$B$6:$B$1005,A98,'Material routes'!$C$6:$C$1005,"Tool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routes'!$Q$6:$Q$1005,'Material routes'!$B$6:$B$1005,A99)&gt;0,"Unassigned","T"&amp;_xlfn.MAXIFS('Material routes'!$P$6:$P$1005,'Material routes'!$B$6:$B$1005,A99)))</x:f>
        <x:v>T1</x:v>
      </x:c>
      <x:c r="I99" s="4" t="n">
        <x:f>SUM(COUNTIFS('Material routes'!$B$6:$B$1005,A99,'Material routes'!$C$6:$C$1005,"Ingredient candidate"),COUNTIFS('Material routes'!$B$6:$B$1005,A99,'Material routes'!$C$6:$C$1005,"Consumed input"),COUNTIFS('Material routes'!$B$6:$B$1005,A99,'Material routes'!$C$6:$C$1005,"Contained input"),COUNTIFS('Material routes'!$B$6:$B$1005,A99,'Material routes'!$C$6:$C$1005,"Transform input"))</x:f>
        <x:v>2</x:v>
      </x:c>
      <x:c r="J99" s="4" t="n">
        <x:f>COUNTIFS('Material routes'!$B$6:$B$1005,A99,'Material routes'!$C$6:$C$1005,"Output")</x:f>
        <x:v>1</x:v>
      </x:c>
      <x:c r="K99" s="4" t="n">
        <x:f>COUNTIFS('Material routes'!$B$6:$B$1005,A99,'Material routes'!$C$6:$C$1005,"Tool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routes'!$Q$6:$Q$1005,'Material routes'!$B$6:$B$1005,A100)&gt;0,"Unassigned","T"&amp;_xlfn.MAXIFS('Material routes'!$P$6:$P$1005,'Material routes'!$B$6:$B$1005,A100)))</x:f>
        <x:v>T1</x:v>
      </x:c>
      <x:c r="I100" s="4" t="n">
        <x:f>SUM(COUNTIFS('Material routes'!$B$6:$B$1005,A100,'Material routes'!$C$6:$C$1005,"Ingredient candidate"),COUNTIFS('Material routes'!$B$6:$B$1005,A100,'Material routes'!$C$6:$C$1005,"Consumed input"),COUNTIFS('Material routes'!$B$6:$B$1005,A100,'Material routes'!$C$6:$C$1005,"Contained input"),COUNTIFS('Material routes'!$B$6:$B$1005,A100,'Material routes'!$C$6:$C$1005,"Transform input"))</x:f>
        <x:v>3</x:v>
      </x:c>
      <x:c r="J100" s="4" t="n">
        <x:f>COUNTIFS('Material routes'!$B$6:$B$1005,A100,'Material routes'!$C$6:$C$1005,"Output")</x:f>
        <x:v>1</x:v>
      </x:c>
      <x:c r="K100" s="4" t="n">
        <x:f>COUNTIFS('Material routes'!$B$6:$B$1005,A100,'Material routes'!$C$6:$C$1005,"Tool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routes'!$Q$6:$Q$1005,'Material routes'!$B$6:$B$1005,A101)&gt;0,"Unassigned","T"&amp;_xlfn.MAXIFS('Material routes'!$P$6:$P$1005,'Material routes'!$B$6:$B$1005,A101)))</x:f>
        <x:v>T1</x:v>
      </x:c>
      <x:c r="I101" s="4" t="n">
        <x:f>SUM(COUNTIFS('Material routes'!$B$6:$B$1005,A101,'Material routes'!$C$6:$C$1005,"Ingredient candidate"),COUNTIFS('Material routes'!$B$6:$B$1005,A101,'Material routes'!$C$6:$C$1005,"Consumed input"),COUNTIFS('Material routes'!$B$6:$B$1005,A101,'Material routes'!$C$6:$C$1005,"Contained input"),COUNTIFS('Material routes'!$B$6:$B$1005,A101,'Material routes'!$C$6:$C$1005,"Transform input"))</x:f>
        <x:v>2</x:v>
      </x:c>
      <x:c r="J101" s="4" t="n">
        <x:f>COUNTIFS('Material routes'!$B$6:$B$1005,A101,'Material routes'!$C$6:$C$1005,"Output")</x:f>
        <x:v>1</x:v>
      </x:c>
      <x:c r="K101" s="4" t="n">
        <x:f>COUNTIFS('Material routes'!$B$6:$B$1005,A101,'Material routes'!$C$6:$C$1005,"Tool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routes'!$Q$6:$Q$1005,'Material routes'!$B$6:$B$1005,A102)&gt;0,"Unassigned","T"&amp;_xlfn.MAXIFS('Material routes'!$P$6:$P$1005,'Material routes'!$B$6:$B$1005,A102)))</x:f>
        <x:v>T1</x:v>
      </x:c>
      <x:c r="I102" s="4" t="n">
        <x:f>SUM(COUNTIFS('Material routes'!$B$6:$B$1005,A102,'Material routes'!$C$6:$C$1005,"Ingredient candidate"),COUNTIFS('Material routes'!$B$6:$B$1005,A102,'Material routes'!$C$6:$C$1005,"Consumed input"),COUNTIFS('Material routes'!$B$6:$B$1005,A102,'Material routes'!$C$6:$C$1005,"Contained input"),COUNTIFS('Material routes'!$B$6:$B$1005,A102,'Material routes'!$C$6:$C$1005,"Transform input"))</x:f>
        <x:v>3</x:v>
      </x:c>
      <x:c r="J102" s="4" t="n">
        <x:f>COUNTIFS('Material routes'!$B$6:$B$1005,A102,'Material routes'!$C$6:$C$1005,"Output")</x:f>
        <x:v>1</x:v>
      </x:c>
      <x:c r="K102" s="4" t="n">
        <x:f>COUNTIFS('Material routes'!$B$6:$B$1005,A102,'Material routes'!$C$6:$C$1005,"Tool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routes'!$Q$6:$Q$1005,'Material routes'!$B$6:$B$1005,A103)&gt;0,"Unassigned","T"&amp;_xlfn.MAXIFS('Material routes'!$P$6:$P$1005,'Material routes'!$B$6:$B$1005,A103)))</x:f>
        <x:v>T2</x:v>
      </x:c>
      <x:c r="I103" s="4" t="n">
        <x:f>SUM(COUNTIFS('Material routes'!$B$6:$B$1005,A103,'Material routes'!$C$6:$C$1005,"Ingredient candidate"),COUNTIFS('Material routes'!$B$6:$B$1005,A103,'Material routes'!$C$6:$C$1005,"Consumed input"),COUNTIFS('Material routes'!$B$6:$B$1005,A103,'Material routes'!$C$6:$C$1005,"Contained input"),COUNTIFS('Material routes'!$B$6:$B$1005,A103,'Material routes'!$C$6:$C$1005,"Transform input"))</x:f>
        <x:v>3</x:v>
      </x:c>
      <x:c r="J103" s="4" t="n">
        <x:f>COUNTIFS('Material routes'!$B$6:$B$1005,A103,'Material routes'!$C$6:$C$1005,"Output")</x:f>
        <x:v>1</x:v>
      </x:c>
      <x:c r="K103" s="4" t="n">
        <x:f>COUNTIFS('Material routes'!$B$6:$B$1005,A103,'Material routes'!$C$6:$C$1005,"Tool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routes'!$Q$6:$Q$1005,'Material routes'!$B$6:$B$1005,A104)&gt;0,"Unassigned","T"&amp;_xlfn.MAXIFS('Material routes'!$P$6:$P$1005,'Material routes'!$B$6:$B$1005,A104)))</x:f>
        <x:v>T2</x:v>
      </x:c>
      <x:c r="I104" s="4" t="n">
        <x:f>SUM(COUNTIFS('Material routes'!$B$6:$B$1005,A104,'Material routes'!$C$6:$C$1005,"Ingredient candidate"),COUNTIFS('Material routes'!$B$6:$B$1005,A104,'Material routes'!$C$6:$C$1005,"Consumed input"),COUNTIFS('Material routes'!$B$6:$B$1005,A104,'Material routes'!$C$6:$C$1005,"Contained input"),COUNTIFS('Material routes'!$B$6:$B$1005,A104,'Material routes'!$C$6:$C$1005,"Transform input"))</x:f>
        <x:v>3</x:v>
      </x:c>
      <x:c r="J104" s="4" t="n">
        <x:f>COUNTIFS('Material routes'!$B$6:$B$1005,A104,'Material routes'!$C$6:$C$1005,"Output")</x:f>
        <x:v>1</x:v>
      </x:c>
      <x:c r="K104" s="4" t="n">
        <x:f>COUNTIFS('Material routes'!$B$6:$B$1005,A104,'Material routes'!$C$6:$C$1005,"Tool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routes'!$Q$6:$Q$1005,'Material routes'!$B$6:$B$1005,A105)&gt;0,"Unassigned","T"&amp;_xlfn.MAXIFS('Material routes'!$P$6:$P$1005,'Material routes'!$B$6:$B$1005,A105)))</x:f>
        <x:v>T2</x:v>
      </x:c>
      <x:c r="I105" s="4" t="n">
        <x:f>SUM(COUNTIFS('Material routes'!$B$6:$B$1005,A105,'Material routes'!$C$6:$C$1005,"Ingredient candidate"),COUNTIFS('Material routes'!$B$6:$B$1005,A105,'Material routes'!$C$6:$C$1005,"Consumed input"),COUNTIFS('Material routes'!$B$6:$B$1005,A105,'Material routes'!$C$6:$C$1005,"Contained input"),COUNTIFS('Material routes'!$B$6:$B$1005,A105,'Material routes'!$C$6:$C$1005,"Transform input"))</x:f>
        <x:v>3</x:v>
      </x:c>
      <x:c r="J105" s="4" t="n">
        <x:f>COUNTIFS('Material routes'!$B$6:$B$1005,A105,'Material routes'!$C$6:$C$1005,"Output")</x:f>
        <x:v>1</x:v>
      </x:c>
      <x:c r="K105" s="4" t="n">
        <x:f>COUNTIFS('Material routes'!$B$6:$B$1005,A105,'Material routes'!$C$6:$C$1005,"Tool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routes'!$Q$6:$Q$1005,'Material routes'!$B$6:$B$1005,A106)&gt;0,"Unassigned","T"&amp;_xlfn.MAXIFS('Material routes'!$P$6:$P$1005,'Material routes'!$B$6:$B$1005,A106)))</x:f>
        <x:v>T2</x:v>
      </x:c>
      <x:c r="I106" s="4" t="n">
        <x:f>SUM(COUNTIFS('Material routes'!$B$6:$B$1005,A106,'Material routes'!$C$6:$C$1005,"Ingredient candidate"),COUNTIFS('Material routes'!$B$6:$B$1005,A106,'Material routes'!$C$6:$C$1005,"Consumed input"),COUNTIFS('Material routes'!$B$6:$B$1005,A106,'Material routes'!$C$6:$C$1005,"Contained input"),COUNTIFS('Material routes'!$B$6:$B$1005,A106,'Material routes'!$C$6:$C$1005,"Transform input"))</x:f>
        <x:v>3</x:v>
      </x:c>
      <x:c r="J106" s="4" t="n">
        <x:f>COUNTIFS('Material routes'!$B$6:$B$1005,A106,'Material routes'!$C$6:$C$1005,"Output")</x:f>
        <x:v>1</x:v>
      </x:c>
      <x:c r="K106" s="4" t="n">
        <x:f>COUNTIFS('Material routes'!$B$6:$B$1005,A106,'Material routes'!$C$6:$C$1005,"Tool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routes'!$Q$6:$Q$1005,'Material routes'!$B$6:$B$1005,A107)&gt;0,"Unassigned","T"&amp;_xlfn.MAXIFS('Material routes'!$P$6:$P$1005,'Material routes'!$B$6:$B$1005,A107)))</x:f>
        <x:v>T2</x:v>
      </x:c>
      <x:c r="I107" s="4" t="n">
        <x:f>SUM(COUNTIFS('Material routes'!$B$6:$B$1005,A107,'Material routes'!$C$6:$C$1005,"Ingredient candidate"),COUNTIFS('Material routes'!$B$6:$B$1005,A107,'Material routes'!$C$6:$C$1005,"Consumed input"),COUNTIFS('Material routes'!$B$6:$B$1005,A107,'Material routes'!$C$6:$C$1005,"Contained input"),COUNTIFS('Material routes'!$B$6:$B$1005,A107,'Material routes'!$C$6:$C$1005,"Transform input"))</x:f>
        <x:v>2</x:v>
      </x:c>
      <x:c r="J107" s="4" t="n">
        <x:f>COUNTIFS('Material routes'!$B$6:$B$1005,A107,'Material routes'!$C$6:$C$1005,"Output")</x:f>
        <x:v>1</x:v>
      </x:c>
      <x:c r="K107" s="4" t="n">
        <x:f>COUNTIFS('Material routes'!$B$6:$B$1005,A107,'Material routes'!$C$6:$C$1005,"Tool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routes'!$Q$6:$Q$1005,'Material routes'!$B$6:$B$1005,A108)&gt;0,"Unassigned","T"&amp;_xlfn.MAXIFS('Material routes'!$P$6:$P$1005,'Material routes'!$B$6:$B$1005,A108)))</x:f>
        <x:v>T2</x:v>
      </x:c>
      <x:c r="I108" s="4" t="n">
        <x:f>SUM(COUNTIFS('Material routes'!$B$6:$B$1005,A108,'Material routes'!$C$6:$C$1005,"Ingredient candidate"),COUNTIFS('Material routes'!$B$6:$B$1005,A108,'Material routes'!$C$6:$C$1005,"Consumed input"),COUNTIFS('Material routes'!$B$6:$B$1005,A108,'Material routes'!$C$6:$C$1005,"Contained input"),COUNTIFS('Material routes'!$B$6:$B$1005,A108,'Material routes'!$C$6:$C$1005,"Transform input"))</x:f>
        <x:v>2</x:v>
      </x:c>
      <x:c r="J108" s="4" t="n">
        <x:f>COUNTIFS('Material routes'!$B$6:$B$1005,A108,'Material routes'!$C$6:$C$1005,"Output")</x:f>
        <x:v>1</x:v>
      </x:c>
      <x:c r="K108" s="4" t="n">
        <x:f>COUNTIFS('Material routes'!$B$6:$B$1005,A108,'Material routes'!$C$6:$C$1005,"Tool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routes'!$Q$6:$Q$1005,'Material routes'!$B$6:$B$1005,A109)&gt;0,"Unassigned","T"&amp;_xlfn.MAXIFS('Material routes'!$P$6:$P$1005,'Material routes'!$B$6:$B$1005,A109)))</x:f>
        <x:v>T2</x:v>
      </x:c>
      <x:c r="I109" s="4" t="n">
        <x:f>SUM(COUNTIFS('Material routes'!$B$6:$B$1005,A109,'Material routes'!$C$6:$C$1005,"Ingredient candidate"),COUNTIFS('Material routes'!$B$6:$B$1005,A109,'Material routes'!$C$6:$C$1005,"Consumed input"),COUNTIFS('Material routes'!$B$6:$B$1005,A109,'Material routes'!$C$6:$C$1005,"Contained input"),COUNTIFS('Material routes'!$B$6:$B$1005,A109,'Material routes'!$C$6:$C$1005,"Transform input"))</x:f>
        <x:v>3</x:v>
      </x:c>
      <x:c r="J109" s="4" t="n">
        <x:f>COUNTIFS('Material routes'!$B$6:$B$1005,A109,'Material routes'!$C$6:$C$1005,"Output")</x:f>
        <x:v>1</x:v>
      </x:c>
      <x:c r="K109" s="4" t="n">
        <x:f>COUNTIFS('Material routes'!$B$6:$B$1005,A109,'Material routes'!$C$6:$C$1005,"Tool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routes'!$Q$6:$Q$1005,'Material routes'!$B$6:$B$1005,A110)&gt;0,"Unassigned","T"&amp;_xlfn.MAXIFS('Material routes'!$P$6:$P$1005,'Material routes'!$B$6:$B$1005,A110)))</x:f>
        <x:v>T2</x:v>
      </x:c>
      <x:c r="I110" s="4" t="n">
        <x:f>SUM(COUNTIFS('Material routes'!$B$6:$B$1005,A110,'Material routes'!$C$6:$C$1005,"Ingredient candidate"),COUNTIFS('Material routes'!$B$6:$B$1005,A110,'Material routes'!$C$6:$C$1005,"Consumed input"),COUNTIFS('Material routes'!$B$6:$B$1005,A110,'Material routes'!$C$6:$C$1005,"Contained input"),COUNTIFS('Material routes'!$B$6:$B$1005,A110,'Material routes'!$C$6:$C$1005,"Transform input"))</x:f>
        <x:v>2</x:v>
      </x:c>
      <x:c r="J110" s="4" t="n">
        <x:f>COUNTIFS('Material routes'!$B$6:$B$1005,A110,'Material routes'!$C$6:$C$1005,"Output")</x:f>
        <x:v>1</x:v>
      </x:c>
      <x:c r="K110" s="4" t="n">
        <x:f>COUNTIFS('Material routes'!$B$6:$B$1005,A110,'Material routes'!$C$6:$C$1005,"Tool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routes'!$Q$6:$Q$1005,'Material routes'!$B$6:$B$1005,A111)&gt;0,"Unassigned","T"&amp;_xlfn.MAXIFS('Material routes'!$P$6:$P$1005,'Material routes'!$B$6:$B$1005,A111)))</x:f>
        <x:v>T2</x:v>
      </x:c>
      <x:c r="I111" s="4" t="n">
        <x:f>SUM(COUNTIFS('Material routes'!$B$6:$B$1005,A111,'Material routes'!$C$6:$C$1005,"Ingredient candidate"),COUNTIFS('Material routes'!$B$6:$B$1005,A111,'Material routes'!$C$6:$C$1005,"Consumed input"),COUNTIFS('Material routes'!$B$6:$B$1005,A111,'Material routes'!$C$6:$C$1005,"Contained input"),COUNTIFS('Material routes'!$B$6:$B$1005,A111,'Material routes'!$C$6:$C$1005,"Transform input"))</x:f>
        <x:v>2</x:v>
      </x:c>
      <x:c r="J111" s="4" t="n">
        <x:f>COUNTIFS('Material routes'!$B$6:$B$1005,A111,'Material routes'!$C$6:$C$1005,"Output")</x:f>
        <x:v>1</x:v>
      </x:c>
      <x:c r="K111" s="4" t="n">
        <x:f>COUNTIFS('Material routes'!$B$6:$B$1005,A111,'Material routes'!$C$6:$C$1005,"Tool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routes'!$Q$6:$Q$1005,'Material routes'!$B$6:$B$1005,A112)&gt;0,"Unassigned","T"&amp;_xlfn.MAXIFS('Material routes'!$P$6:$P$1005,'Material routes'!$B$6:$B$1005,A112)))</x:f>
        <x:v>T3</x:v>
      </x:c>
      <x:c r="I112" s="4" t="n">
        <x:f>SUM(COUNTIFS('Material routes'!$B$6:$B$1005,A112,'Material routes'!$C$6:$C$1005,"Ingredient candidate"),COUNTIFS('Material routes'!$B$6:$B$1005,A112,'Material routes'!$C$6:$C$1005,"Consumed input"),COUNTIFS('Material routes'!$B$6:$B$1005,A112,'Material routes'!$C$6:$C$1005,"Contained input"),COUNTIFS('Material routes'!$B$6:$B$1005,A112,'Material routes'!$C$6:$C$1005,"Transform input"))</x:f>
        <x:v>3</x:v>
      </x:c>
      <x:c r="J112" s="4" t="n">
        <x:f>COUNTIFS('Material routes'!$B$6:$B$1005,A112,'Material routes'!$C$6:$C$1005,"Output")</x:f>
        <x:v>1</x:v>
      </x:c>
      <x:c r="K112" s="4" t="n">
        <x:f>COUNTIFS('Material routes'!$B$6:$B$1005,A112,'Material routes'!$C$6:$C$1005,"Tool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routes'!$Q$6:$Q$1005,'Material routes'!$B$6:$B$1005,A113)&gt;0,"Unassigned","T"&amp;_xlfn.MAXIFS('Material routes'!$P$6:$P$1005,'Material routes'!$B$6:$B$1005,A113)))</x:f>
        <x:v>T3</x:v>
      </x:c>
      <x:c r="I113" s="4" t="n">
        <x:f>SUM(COUNTIFS('Material routes'!$B$6:$B$1005,A113,'Material routes'!$C$6:$C$1005,"Ingredient candidate"),COUNTIFS('Material routes'!$B$6:$B$1005,A113,'Material routes'!$C$6:$C$1005,"Consumed input"),COUNTIFS('Material routes'!$B$6:$B$1005,A113,'Material routes'!$C$6:$C$1005,"Contained input"),COUNTIFS('Material routes'!$B$6:$B$1005,A113,'Material routes'!$C$6:$C$1005,"Transform input"))</x:f>
        <x:v>3</x:v>
      </x:c>
      <x:c r="J113" s="4" t="n">
        <x:f>COUNTIFS('Material routes'!$B$6:$B$1005,A113,'Material routes'!$C$6:$C$1005,"Output")</x:f>
        <x:v>1</x:v>
      </x:c>
      <x:c r="K113" s="4" t="n">
        <x:f>COUNTIFS('Material routes'!$B$6:$B$1005,A113,'Material routes'!$C$6:$C$1005,"Tool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routes'!$Q$6:$Q$1005,'Material routes'!$B$6:$B$1005,A114)&gt;0,"Unassigned","T"&amp;_xlfn.MAXIFS('Material routes'!$P$6:$P$1005,'Material routes'!$B$6:$B$1005,A114)))</x:f>
        <x:v>T3</x:v>
      </x:c>
      <x:c r="I114" s="4" t="n">
        <x:f>SUM(COUNTIFS('Material routes'!$B$6:$B$1005,A114,'Material routes'!$C$6:$C$1005,"Ingredient candidate"),COUNTIFS('Material routes'!$B$6:$B$1005,A114,'Material routes'!$C$6:$C$1005,"Consumed input"),COUNTIFS('Material routes'!$B$6:$B$1005,A114,'Material routes'!$C$6:$C$1005,"Contained input"),COUNTIFS('Material routes'!$B$6:$B$1005,A114,'Material routes'!$C$6:$C$1005,"Transform input"))</x:f>
        <x:v>3</x:v>
      </x:c>
      <x:c r="J114" s="4" t="n">
        <x:f>COUNTIFS('Material routes'!$B$6:$B$1005,A114,'Material routes'!$C$6:$C$1005,"Output")</x:f>
        <x:v>1</x:v>
      </x:c>
      <x:c r="K114" s="4" t="n">
        <x:f>COUNTIFS('Material routes'!$B$6:$B$1005,A114,'Material routes'!$C$6:$C$1005,"Tool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routes'!$Q$6:$Q$1005,'Material routes'!$B$6:$B$1005,A115)&gt;0,"Unassigned","T"&amp;_xlfn.MAXIFS('Material routes'!$P$6:$P$1005,'Material routes'!$B$6:$B$1005,A115)))</x:f>
        <x:v>T3</x:v>
      </x:c>
      <x:c r="I115" s="4" t="n">
        <x:f>SUM(COUNTIFS('Material routes'!$B$6:$B$1005,A115,'Material routes'!$C$6:$C$1005,"Ingredient candidate"),COUNTIFS('Material routes'!$B$6:$B$1005,A115,'Material routes'!$C$6:$C$1005,"Consumed input"),COUNTIFS('Material routes'!$B$6:$B$1005,A115,'Material routes'!$C$6:$C$1005,"Contained input"),COUNTIFS('Material routes'!$B$6:$B$1005,A115,'Material routes'!$C$6:$C$1005,"Transform input"))</x:f>
        <x:v>2</x:v>
      </x:c>
      <x:c r="J115" s="4" t="n">
        <x:f>COUNTIFS('Material routes'!$B$6:$B$1005,A115,'Material routes'!$C$6:$C$1005,"Output")</x:f>
        <x:v>1</x:v>
      </x:c>
      <x:c r="K115" s="4" t="n">
        <x:f>COUNTIFS('Material routes'!$B$6:$B$1005,A115,'Material routes'!$C$6:$C$1005,"Tool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routes'!$Q$6:$Q$1005,'Material routes'!$B$6:$B$1005,A116)&gt;0,"Unassigned","T"&amp;_xlfn.MAXIFS('Material routes'!$P$6:$P$1005,'Material routes'!$B$6:$B$1005,A116)))</x:f>
        <x:v>T3</x:v>
      </x:c>
      <x:c r="I116" s="4" t="n">
        <x:f>SUM(COUNTIFS('Material routes'!$B$6:$B$1005,A116,'Material routes'!$C$6:$C$1005,"Ingredient candidate"),COUNTIFS('Material routes'!$B$6:$B$1005,A116,'Material routes'!$C$6:$C$1005,"Consumed input"),COUNTIFS('Material routes'!$B$6:$B$1005,A116,'Material routes'!$C$6:$C$1005,"Contained input"),COUNTIFS('Material routes'!$B$6:$B$1005,A116,'Material routes'!$C$6:$C$1005,"Transform input"))</x:f>
        <x:v>3</x:v>
      </x:c>
      <x:c r="J116" s="4" t="n">
        <x:f>COUNTIFS('Material routes'!$B$6:$B$1005,A116,'Material routes'!$C$6:$C$1005,"Output")</x:f>
        <x:v>1</x:v>
      </x:c>
      <x:c r="K116" s="4" t="n">
        <x:f>COUNTIFS('Material routes'!$B$6:$B$1005,A116,'Material routes'!$C$6:$C$1005,"Tool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routes'!$Q$6:$Q$1005,'Material routes'!$B$6:$B$1005,A117)&gt;0,"Unassigned","T"&amp;_xlfn.MAXIFS('Material routes'!$P$6:$P$1005,'Material routes'!$B$6:$B$1005,A117)))</x:f>
        <x:v>T2</x:v>
      </x:c>
      <x:c r="I117" s="4" t="n">
        <x:f>SUM(COUNTIFS('Material routes'!$B$6:$B$1005,A117,'Material routes'!$C$6:$C$1005,"Ingredient candidate"),COUNTIFS('Material routes'!$B$6:$B$1005,A117,'Material routes'!$C$6:$C$1005,"Consumed input"),COUNTIFS('Material routes'!$B$6:$B$1005,A117,'Material routes'!$C$6:$C$1005,"Contained input"),COUNTIFS('Material routes'!$B$6:$B$1005,A117,'Material routes'!$C$6:$C$1005,"Transform input"))</x:f>
        <x:v>1</x:v>
      </x:c>
      <x:c r="J117" s="4" t="n">
        <x:f>COUNTIFS('Material routes'!$B$6:$B$1005,A117,'Material routes'!$C$6:$C$1005,"Output")</x:f>
        <x:v>1</x:v>
      </x:c>
      <x:c r="K117" s="4" t="n">
        <x:f>COUNTIFS('Material routes'!$B$6:$B$1005,A117,'Material routes'!$C$6:$C$1005,"Tool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routes'!$Q$6:$Q$1005,'Material routes'!$B$6:$B$1005,A118)&gt;0,"Unassigned","T"&amp;_xlfn.MAXIFS('Material routes'!$P$6:$P$1005,'Material routes'!$B$6:$B$1005,A118)))</x:f>
        <x:v>T2</x:v>
      </x:c>
      <x:c r="I118" s="4" t="n">
        <x:f>SUM(COUNTIFS('Material routes'!$B$6:$B$1005,A118,'Material routes'!$C$6:$C$1005,"Ingredient candidate"),COUNTIFS('Material routes'!$B$6:$B$1005,A118,'Material routes'!$C$6:$C$1005,"Consumed input"),COUNTIFS('Material routes'!$B$6:$B$1005,A118,'Material routes'!$C$6:$C$1005,"Contained input"),COUNTIFS('Material routes'!$B$6:$B$1005,A118,'Material routes'!$C$6:$C$1005,"Transform input"))</x:f>
        <x:v>3</x:v>
      </x:c>
      <x:c r="J118" s="4" t="n">
        <x:f>COUNTIFS('Material routes'!$B$6:$B$1005,A118,'Material routes'!$C$6:$C$1005,"Output")</x:f>
        <x:v>1</x:v>
      </x:c>
      <x:c r="K118" s="4" t="n">
        <x:f>COUNTIFS('Material routes'!$B$6:$B$1005,A118,'Material routes'!$C$6:$C$1005,"Tool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5aa926fcf3fc4a06"/>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Resources</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applicable","Finished endpoint",IF(OR(IFERROR(INDEX('Crafting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Resources</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applicable","Finished endpoint",IF(OR(IFERROR(INDEX('Crafting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Resources</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applicable","Finished endpoint",IF(OR(IFERROR(INDEX('Crafting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Resources</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applicable","Finished endpoint",IF(OR(IFERROR(INDEX('Crafting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Resources</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Resources</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applicable","Finished endpoint",IF(OR(IFERROR(INDEX('Crafting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Resources</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applicable","Finished endpoint",IF(OR(IFERROR(INDEX('Crafting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Resources</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applicable","Finished endpoint",IF(OR(IFERROR(INDEX('Crafting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applicable","Finished endpoint",IF(OR(IFERROR(INDEX('Crafting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applicable","Finished endpoint",IF(OR(IFERROR(INDEX('Crafting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applicable","Finished endpoint",IF(OR(IFERROR(INDEX('Crafting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applicable","Finished endpoint",IF(OR(IFERROR(INDEX('Crafting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applicable","Finished endpoint",IF(OR(IFERROR(INDEX('Crafting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applicable","Finished endpoint",IF(OR(IFERROR(INDEX('Crafting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applicable","Finished endpoint",IF(OR(IFERROR(INDEX('Crafting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Resources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applicable","Finished endpoint",IF(OR(IFERROR(INDEX('Crafting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Resources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applicable","Finished endpoint",IF(OR(IFERROR(INDEX('Crafting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Resources</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applicable","Finished endpoint",IF(OR(IFERROR(INDEX('Crafting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Resources</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applicable","Finished endpoint",IF(OR(IFERROR(INDEX('Crafting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Resources</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Resources</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applicable","Finished endpoint",IF(OR(IFERROR(INDEX('Crafting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Resources</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Resources</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applicable","Finished endpoint",IF(OR(IFERROR(INDEX('Crafting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Resources</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applicable","Finished endpoint",IF(OR(IFERROR(INDEX('Crafting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Resources</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applicable","Finished endpoint",IF(OR(IFERROR(INDEX('Crafting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Resources</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applicable","Finished endpoint",IF(OR(IFERROR(INDEX('Crafting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Resources</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applicable","Finished endpoint",IF(OR(IFERROR(INDEX('Crafting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Resources</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applicable","Finished endpoint",IF(OR(IFERROR(INDEX('Crafting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Resources</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applicable","Finished endpoint",IF(OR(IFERROR(INDEX('Crafting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Resources</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Resources</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applicable","Finished endpoint",IF(OR(IFERROR(INDEX('Crafting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Resources</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applicable","Finished endpoint",IF(OR(IFERROR(INDEX('Crafting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Resources</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applicable","Finished endpoint",IF(OR(IFERROR(INDEX('Crafting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Resources</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applicable","Finished endpoint",IF(OR(IFERROR(INDEX('Crafting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Resources</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applicable","Finished endpoint",IF(OR(IFERROR(INDEX('Crafting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Resources</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applicable","Finished endpoint",IF(OR(IFERROR(INDEX('Crafting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Resources</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applicable","Finished endpoint",IF(OR(IFERROR(INDEX('Crafting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Resources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applicable","Finished endpoint",IF(OR(IFERROR(INDEX('Crafting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Resources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applicable","Finished endpoint",IF(OR(IFERROR(INDEX('Crafting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Resources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applicable","Finished endpoint",IF(OR(IFERROR(INDEX('Crafting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Resources</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applicable","Finished endpoint",IF(OR(IFERROR(INDEX('Crafting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Resources</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applicable","Finished endpoint",IF(OR(IFERROR(INDEX('Crafting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Resources</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applicable","Finished endpoint",IF(OR(IFERROR(INDEX('Crafting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Resources</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applicable","Finished endpoint",IF(OR(IFERROR(INDEX('Crafting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Resources</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applicable","Finished endpoint",IF(OR(IFERROR(INDEX('Crafting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Resources</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Resources</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applicable","Finished endpoint",IF(OR(IFERROR(INDEX('Crafting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Resources</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applicable","Finished endpoint",IF(OR(IFERROR(INDEX('Crafting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Resources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applicable","Finished endpoint",IF(OR(IFERROR(INDEX('Crafting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Resources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Resources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applicable","Finished endpoint",IF(OR(IFERROR(INDEX('Crafting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Resources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Resources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applicable","Finished endpoint",IF(OR(IFERROR(INDEX('Crafting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applicable","Finished endpoint",IF(OR(IFERROR(INDEX('Crafting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Unassigned</x:v>
      </x:c>
      <x:c r="H53" s="4" t="str">
        <x:f>IFERROR(INDEX('Material routes'!$H$6:$H$1005,MATCH(V53,'Material routes'!$A$6:$A$1005,0)),"MISSING ID")</x:f>
        <x:v>Processed material</x:v>
      </x:c>
      <x:c r="I53" s="4" t="str">
        <x:f>IFERROR(INDEX('Material routes'!$G$6:$G$1005,MATCH(V53,'Material routes'!$A$6:$A$1005,0)),"MISSING ID")</x:f>
        <x:v>Resources</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applicable","Finished endpoint",IF(OR(IFERROR(INDEX('Crafting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Tier unresolved</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Resources</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applicable","Finished endpoint",IF(OR(IFERROR(INDEX('Crafting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Unassigned</x:v>
      </x:c>
      <x:c r="H55" s="4" t="str">
        <x:f>IFERROR(INDEX('Material routes'!$H$6:$H$1005,MATCH(V55,'Material routes'!$A$6:$A$1005,0)),"MISSING ID")</x:f>
        <x:v>Processed material</x:v>
      </x:c>
      <x:c r="I55" s="4" t="str">
        <x:f>IFERROR(INDEX('Material routes'!$G$6:$G$1005,MATCH(V55,'Material routes'!$A$6:$A$1005,0)),"MISSING ID")</x:f>
        <x:v>Resources</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applicable","Finished endpoint",IF(OR(IFERROR(INDEX('Crafting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Tier unresolved</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Unassigned</x:v>
      </x:c>
      <x:c r="H56" s="4" t="str">
        <x:f>IFERROR(INDEX('Material routes'!$H$6:$H$1005,MATCH(V56,'Material routes'!$A$6:$A$1005,0)),"MISSING ID")</x:f>
        <x:v>Processed material</x:v>
      </x:c>
      <x:c r="I56" s="4" t="str">
        <x:f>IFERROR(INDEX('Material routes'!$G$6:$G$1005,MATCH(V56,'Material routes'!$A$6:$A$1005,0)),"MISSING ID")</x:f>
        <x:v>Resources</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applicable","Finished endpoint",IF(OR(IFERROR(INDEX('Crafting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Tier unresolved</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applicable","Finished endpoint",IF(OR(IFERROR(INDEX('Crafting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applicable","Finished endpoint",IF(OR(IFERROR(INDEX('Crafting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Resources</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Resources</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applicable","Finished endpoint",IF(OR(IFERROR(INDEX('Crafting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Resources</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applicable","Finished endpoint",IF(OR(IFERROR(INDEX('Crafting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T2</x:v>
      </x:c>
      <x:c r="H61" s="4" t="str">
        <x:f>IFERROR(INDEX('Material routes'!$H$6:$H$1005,MATCH(V61,'Material routes'!$A$6:$A$1005,0)),"MISSING ID")</x:f>
        <x:v>Processed material</x:v>
      </x:c>
      <x:c r="I61" s="4" t="str">
        <x:f>IFERROR(INDEX('Material routes'!$G$6:$G$1005,MATCH(V61,'Material routes'!$A$6:$A$1005,0)),"MISSING ID")</x:f>
        <x:v>Resources</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Needs tier review</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applicable","Finished endpoint",IF(OR(IFERROR(INDEX('Crafting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applicable","Finished endpoint",IF(OR(IFERROR(INDEX('Crafting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Unassigned</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Concept outline</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applicable","Finished endpoint",IF(OR(IFERROR(INDEX('Crafting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Tier unresolved</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Unassigned</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Concept outline</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applicable","Finished endpoint",IF(OR(IFERROR(INDEX('Crafting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Tier unresolved</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applicable","Finished endpoint",IF(OR(IFERROR(INDEX('Crafting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Unassigned</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applicable","Finished endpoint",IF(OR(IFERROR(INDEX('Crafting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Tier unresolved</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applicable","Finished endpoint",IF(OR(IFERROR(INDEX('Crafting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Resources</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applicable","Finished endpoint",IF(OR(IFERROR(INDEX('Crafting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Unassigned</x:v>
      </x:c>
      <x:c r="H69" s="4" t="str">
        <x:f>IFERROR(INDEX('Material routes'!$H$6:$H$1005,MATCH(V69,'Material routes'!$A$6:$A$1005,0)),"MISSING ID")</x:f>
        <x:v>Raw material</x:v>
      </x:c>
      <x:c r="I69" s="4" t="str">
        <x:f>IFERROR(INDEX('Material routes'!$G$6:$G$1005,MATCH(V69,'Material routes'!$A$6:$A$1005,0)),"MISSING ID")</x:f>
        <x:v>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applicable","Finished endpoint",IF(OR(IFERROR(INDEX('Crafting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Tier unresolved</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Unassigned</x:v>
      </x:c>
      <x:c r="C70" s="4" t="str">
        <x:f>IFERROR(INDEX('Material routes'!$H$6:$H$1005,MATCH(U70,'Material routes'!$A$6:$A$1005,0)),"MISSING ID")</x:f>
        <x:v>Raw material</x:v>
      </x:c>
      <x:c r="D70" s="4" t="str">
        <x:f>IFERROR(INDEX('Material routes'!$G$6:$G$1005,MATCH(U70,'Material routes'!$A$6:$A$1005,0)),"MISSING ID")</x:f>
        <x:v>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Concept outline</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applicable","Finished endpoint",IF(OR(IFERROR(INDEX('Crafting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Tier unresolved</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applicable","Finished endpoint",IF(OR(IFERROR(INDEX('Crafting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Resources</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applicable","Finished endpoint",IF(OR(IFERROR(INDEX('Crafting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Unassigned</x:v>
      </x:c>
      <x:c r="H73" s="4" t="str">
        <x:f>IFERROR(INDEX('Material routes'!$H$6:$H$1005,MATCH(V73,'Material routes'!$A$6:$A$1005,0)),"MISSING ID")</x:f>
        <x:v>Processed material</x:v>
      </x:c>
      <x:c r="I73" s="4" t="str">
        <x:f>IFERROR(INDEX('Material routes'!$G$6:$G$1005,MATCH(V73,'Material routes'!$A$6:$A$1005,0)),"MISSING ID")</x:f>
        <x:v>Resources</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applicable","Finished endpoint",IF(OR(IFERROR(INDEX('Crafting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Tier unresolved</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applicable","Finished endpoint",IF(OR(IFERROR(INDEX('Crafting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applicable","Finished endpoint",IF(OR(IFERROR(INDEX('Crafting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applicable","Finished endpoint",IF(OR(IFERROR(INDEX('Crafting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applicable","Finished endpoint",IF(OR(IFERROR(INDEX('Crafting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applicable","Finished endpoint",IF(OR(IFERROR(INDEX('Crafting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applicable","Finished endpoint",IF(OR(IFERROR(INDEX('Crafting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applicable","Finished endpoint",IF(OR(IFERROR(INDEX('Crafting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applicable","Finished endpoint",IF(OR(IFERROR(INDEX('Crafting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Resources</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applicable","Finished endpoint",IF(OR(IFERROR(INDEX('Crafting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T2</x:v>
      </x:c>
      <x:c r="C83" s="4" t="str">
        <x:f>IFERROR(INDEX('Material routes'!$H$6:$H$1005,MATCH(U83,'Material routes'!$A$6:$A$1005,0)),"MISSING ID")</x:f>
        <x:v>Processed material</x:v>
      </x:c>
      <x:c r="D83" s="4" t="str">
        <x:f>IFERROR(INDEX('Material routes'!$G$6:$G$1005,MATCH(U83,'Material routes'!$A$6:$A$1005,0)),"MISSING ID")</x:f>
        <x:v>Resources</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applicable","Finished endpoint",IF(OR(IFERROR(INDEX('Crafting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applicable","Finished endpoint",IF(OR(IFERROR(INDEX('Crafting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row r="85" ht="105" customHeight="1">
      <x:c r="A85" s="4" t="str">
        <x:f>IFERROR(INDEX('Material routes'!$E$6:$E$1005,MATCH(U85,'Material routes'!$A$6:$A$1005,0)),"MISSING ID")</x:f>
        <x:v>Raw borate minerals</x:v>
      </x:c>
      <x:c r="B85" s="4" t="str">
        <x:f>IFERROR(INDEX('Material routes'!$F$6:$F$1005,MATCH(U85,'Material routes'!$A$6:$A$1005,0)),"MISSING ID")</x:f>
        <x:v>T0</x:v>
      </x:c>
      <x:c r="C85" s="4" t="str">
        <x:f>IFERROR(INDEX('Material routes'!$H$6:$H$1005,MATCH(U85,'Material routes'!$A$6:$A$1005,0)),"MISSING ID")</x:f>
        <x:v>Raw material</x:v>
      </x:c>
      <x:c r="D85" s="4" t="str">
        <x:f>IFERROR(INDEX('Material routes'!$G$6:$G$1005,MATCH(U85,'Material routes'!$A$6:$A$1005,0)),"MISSING ID")</x:f>
        <x:v>Resources</x:v>
      </x:c>
      <x:c r="E85" s="4" t="str">
        <x:f>IFERROR(INDEX('Material routes'!$C$6:$C$1005,MATCH(U85,'Material routes'!$A$6:$A$1005,0)),"MISSING ID")</x:f>
        <x:v>Ingredient candidate</x:v>
      </x:c>
      <x:c r="F85" s="4" t="str">
        <x:f>IFERROR(INDEX('Material routes'!$E$6:$E$1005,MATCH(V85,'Material routes'!$A$6:$A$1005,0)),"MISSING ID")</x:f>
        <x:v>Prepared metallurgical flux</x:v>
      </x:c>
      <x:c r="G85" s="4" t="str">
        <x:f>IFERROR(INDEX('Material routes'!$F$6:$F$1005,MATCH(V85,'Material routes'!$A$6:$A$1005,0)),"MISSING ID")</x:f>
        <x:v>T1</x:v>
      </x:c>
      <x:c r="H85" s="4" t="str">
        <x:f>IFERROR(INDEX('Material routes'!$H$6:$H$1005,MATCH(V85,'Material routes'!$A$6:$A$1005,0)),"MISSING ID")</x:f>
        <x:v>Processed material</x:v>
      </x:c>
      <x:c r="I85" s="4" t="str">
        <x:f>IFERROR(INDEX('Material routes'!$G$6:$G$1005,MATCH(V85,'Material routes'!$A$6:$A$1005,0)),"MISSING ID")</x:f>
        <x:v>Resources</x:v>
      </x:c>
      <x:c r="J85" s="4" t="str">
        <x:f>IFERROR(INDEX('Material routes'!$B$6:$B$1005,MATCH(U85,'Material routes'!$A$6:$A$1005,0)),"MISSING ID")</x:f>
        <x:v>design.branch.branch.flux</x:v>
      </x:c>
      <x:c r="K85" s="4" t="str">
        <x:f>IFERROR(INDEX('Crafting recipes'!$C$6:$C$1005,MATCH(J85,'Crafting recipes'!$A$6:$A$1005,0)),"MISSING ID")</x:f>
        <x:v>Material refinement</x:v>
      </x:c>
      <x:c r="L85" s="4" t="str">
        <x:f>IFERROR(INDEX('Material routes'!$K$6:$K$1005,MATCH(U85,'Material routes'!$A$6:$A$1005,0)),"MISSING ID")</x:f>
        <x:v>Proposal</x:v>
      </x:c>
      <x:c r="M85" s="4" t="str">
        <x:f>IFERROR(INDEX('Material routes'!$M$6:$M$1005,MATCH(U85,'Material routes'!$A$6:$A$1005,0)),"MISSING ID")</x:f>
        <x:v>Partial proposal</x:v>
      </x:c>
      <x:c r="N85" s="4" t="str">
        <x:f>IF(IFERROR(INDEX('Material routes'!$I$6:$I$1005,MATCH(U85,'Material routes'!$A$6:$A$1005,0)),"MISSING ID")=0,"",IFERROR(INDEX('Material routes'!$I$6:$I$1005,MATCH(U85,'Material routes'!$A$6:$A$1005,0)),"MISSING ID"))</x:f>
      </x:c>
      <x:c r="O85" s="4" t="str">
        <x:f>IFERROR(INDEX('Material routes'!$J$6:$J$1005,MATCH(U85,'Material routes'!$A$6:$A$1005,0)),"MISSING ID")</x:f>
        <x:v>Unspecified</x:v>
      </x:c>
      <x:c r="P85" s="4" t="str">
        <x:f>IF(IFERROR(INDEX('Material routes'!$I$6:$I$1005,MATCH(V85,'Material routes'!$A$6:$A$1005,0)),"MISSING ID")=0,"",IFERROR(INDEX('Material routes'!$I$6:$I$1005,MATCH(V85,'Material routes'!$A$6:$A$1005,0)),"MISSING ID"))</x:f>
      </x:c>
      <x:c r="Q85" s="4" t="str">
        <x:f>IFERROR(INDEX('Material routes'!$J$6:$J$1005,MATCH(V85,'Material routes'!$A$6:$A$1005,0)),"MISSING ID")</x:f>
        <x:v>Unspecified</x:v>
      </x:c>
      <x:c r="R85" s="4" t="str">
        <x:f>IF(L85="Withheld","Withheld premise",IF(E85="Tool candidate","Reusable prerequisite",IF(K85="Raw entry preparation","Entry-resource preparation",IF(G85="Not applicable","Finished endpoint",IF(OR(IFERROR(INDEX('Crafting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routes'!$D$6:$D$1005,MATCH(U85,'Material routes'!$A$6:$A$1005,0)),"MISSING ID")</x:f>
        <x:v>proposal.natural.borate</x:v>
      </x:c>
      <x:c r="T85" s="4" t="str">
        <x:f>IFERROR(INDEX('Material routes'!$D$6:$D$1005,MATCH(V85,'Material routes'!$A$6:$A$1005,0)),"MISSING ID")</x:f>
        <x:v>proposal.branch.flux</x:v>
      </x:c>
      <x:c r="U85" s="4" t="str">
        <x:v>design.branch.branch.flux.in.1</x:v>
      </x:c>
      <x:c r="V85" s="4" t="str">
        <x:v>design.branch.branch.flux.out</x:v>
      </x:c>
    </x:row>
    <x:row r="86" ht="105" customHeight="1">
      <x:c r="A86" s="4" t="str">
        <x:f>IFERROR(INDEX('Material routes'!$E$6:$E$1005,MATCH(U86,'Material routes'!$A$6:$A$1005,0)),"MISSING ID")</x:f>
        <x:v>Carbonate stone</x:v>
      </x:c>
      <x:c r="B86" s="4" t="str">
        <x:f>IFERROR(INDEX('Material routes'!$F$6:$F$1005,MATCH(U86,'Material routes'!$A$6:$A$1005,0)),"MISSING ID")</x:f>
        <x:v>T0</x:v>
      </x:c>
      <x:c r="C86" s="4" t="str">
        <x:f>IFERROR(INDEX('Material routes'!$H$6:$H$1005,MATCH(U86,'Material routes'!$A$6:$A$1005,0)),"MISSING ID")</x:f>
        <x:v>Raw material</x:v>
      </x:c>
      <x:c r="D86" s="4" t="str">
        <x:f>IFERROR(INDEX('Material routes'!$G$6:$G$1005,MATCH(U86,'Material routes'!$A$6:$A$1005,0)),"MISSING ID")</x:f>
        <x:v>Resources</x:v>
      </x:c>
      <x:c r="E86" s="4" t="str">
        <x:f>IFERROR(INDEX('Material routes'!$C$6:$C$1005,MATCH(U86,'Material routes'!$A$6:$A$1005,0)),"MISSING ID")</x:f>
        <x:v>Ingredient candidate</x:v>
      </x:c>
      <x:c r="F86" s="4" t="str">
        <x:f>IFERROR(INDEX('Material routes'!$E$6:$E$1005,MATCH(V86,'Material routes'!$A$6:$A$1005,0)),"MISSING ID")</x:f>
        <x:v>Prepared metallurgical flux</x:v>
      </x:c>
      <x:c r="G86" s="4" t="str">
        <x:f>IFERROR(INDEX('Material routes'!$F$6:$F$1005,MATCH(V86,'Material routes'!$A$6:$A$1005,0)),"MISSING ID")</x:f>
        <x:v>T1</x:v>
      </x:c>
      <x:c r="H86" s="4" t="str">
        <x:f>IFERROR(INDEX('Material routes'!$H$6:$H$1005,MATCH(V86,'Material routes'!$A$6:$A$1005,0)),"MISSING ID")</x:f>
        <x:v>Processed material</x:v>
      </x:c>
      <x:c r="I86" s="4" t="str">
        <x:f>IFERROR(INDEX('Material routes'!$G$6:$G$1005,MATCH(V86,'Material routes'!$A$6:$A$1005,0)),"MISSING ID")</x:f>
        <x:v>Resources</x:v>
      </x:c>
      <x:c r="J86" s="4" t="str">
        <x:f>IFERROR(INDEX('Material routes'!$B$6:$B$1005,MATCH(U86,'Material routes'!$A$6:$A$1005,0)),"MISSING ID")</x:f>
        <x:v>design.branch.branch.flux</x:v>
      </x:c>
      <x:c r="K86" s="4" t="str">
        <x:f>IFERROR(INDEX('Crafting recipes'!$C$6:$C$1005,MATCH(J86,'Crafting recipes'!$A$6:$A$1005,0)),"MISSING ID")</x:f>
        <x:v>Material refinement</x:v>
      </x:c>
      <x:c r="L86" s="4" t="str">
        <x:f>IFERROR(INDEX('Material routes'!$K$6:$K$1005,MATCH(U86,'Material routes'!$A$6:$A$1005,0)),"MISSING ID")</x:f>
        <x:v>Proposal</x:v>
      </x:c>
      <x:c r="M86" s="4" t="str">
        <x:f>IFERROR(INDEX('Material routes'!$M$6:$M$1005,MATCH(U86,'Material routes'!$A$6:$A$1005,0)),"MISSING ID")</x:f>
        <x:v>Partial proposal</x:v>
      </x:c>
      <x:c r="N86" s="4" t="str">
        <x:f>IF(IFERROR(INDEX('Material routes'!$I$6:$I$1005,MATCH(U86,'Material routes'!$A$6:$A$1005,0)),"MISSING ID")=0,"",IFERROR(INDEX('Material routes'!$I$6:$I$1005,MATCH(U86,'Material routes'!$A$6:$A$1005,0)),"MISSING ID"))</x:f>
      </x:c>
      <x:c r="O86" s="4" t="str">
        <x:f>IFERROR(INDEX('Material routes'!$J$6:$J$1005,MATCH(U86,'Material routes'!$A$6:$A$1005,0)),"MISSING ID")</x:f>
        <x:v>Unspecified</x:v>
      </x:c>
      <x:c r="P86" s="4" t="str">
        <x:f>IF(IFERROR(INDEX('Material routes'!$I$6:$I$1005,MATCH(V86,'Material routes'!$A$6:$A$1005,0)),"MISSING ID")=0,"",IFERROR(INDEX('Material routes'!$I$6:$I$1005,MATCH(V86,'Material routes'!$A$6:$A$1005,0)),"MISSING ID"))</x:f>
      </x:c>
      <x:c r="Q86" s="4" t="str">
        <x:f>IFERROR(INDEX('Material routes'!$J$6:$J$1005,MATCH(V86,'Material routes'!$A$6:$A$1005,0)),"MISSING ID")</x:f>
        <x:v>Unspecified</x:v>
      </x:c>
      <x:c r="R86" s="4" t="str">
        <x:f>IF(L86="Withheld","Withheld premise",IF(E86="Tool candidate","Reusable prerequisite",IF(K86="Raw entry preparation","Entry-resource preparation",IF(G86="Not applicable","Finished endpoint",IF(OR(IFERROR(INDEX('Crafting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routes'!$D$6:$D$1005,MATCH(U86,'Material routes'!$A$6:$A$1005,0)),"MISSING ID")</x:f>
        <x:v>proposal.natural.carbonate</x:v>
      </x:c>
      <x:c r="T86" s="4" t="str">
        <x:f>IFERROR(INDEX('Material routes'!$D$6:$D$1005,MATCH(V86,'Material routes'!$A$6:$A$1005,0)),"MISSING ID")</x:f>
        <x:v>proposal.branch.flux</x:v>
      </x:c>
      <x:c r="U86" s="4" t="str">
        <x:v>design.branch.branch.flux.in.2</x:v>
      </x:c>
      <x:c r="V86" s="4" t="str">
        <x:v>design.branch.branch.flux.out</x:v>
      </x:c>
    </x:row>
    <x:row r="87" ht="105" customHeight="1">
      <x:c r="A87" s="4" t="str">
        <x:f>IFERROR(INDEX('Material routes'!$E$6:$E$1005,MATCH(U87,'Material routes'!$A$6:$A$1005,0)),"MISSING ID")</x:f>
        <x:v>Alumina-rich rock</x:v>
      </x:c>
      <x:c r="B87" s="4" t="str">
        <x:f>IFERROR(INDEX('Material routes'!$F$6:$F$1005,MATCH(U87,'Material routes'!$A$6:$A$1005,0)),"MISSING ID")</x:f>
        <x:v>T0</x:v>
      </x:c>
      <x:c r="C87" s="4" t="str">
        <x:f>IFERROR(INDEX('Material routes'!$H$6:$H$1005,MATCH(U87,'Material routes'!$A$6:$A$1005,0)),"MISSING ID")</x:f>
        <x:v>Raw material</x:v>
      </x:c>
      <x:c r="D87" s="4" t="str">
        <x:f>IFERROR(INDEX('Material routes'!$G$6:$G$1005,MATCH(U87,'Material routes'!$A$6:$A$1005,0)),"MISSING ID")</x:f>
        <x:v>Resources</x:v>
      </x:c>
      <x:c r="E87" s="4" t="str">
        <x:f>IFERROR(INDEX('Material routes'!$C$6:$C$1005,MATCH(U87,'Material routes'!$A$6:$A$1005,0)),"MISSING ID")</x:f>
        <x:v>Ingredient candidate</x:v>
      </x:c>
      <x:c r="F87" s="4" t="str">
        <x:f>IFERROR(INDEX('Material routes'!$E$6:$E$1005,MATCH(V87,'Material routes'!$A$6:$A$1005,0)),"MISSING ID")</x:f>
        <x:v>Graded refractory mineral feed</x:v>
      </x:c>
      <x:c r="G87" s="4" t="str">
        <x:f>IFERROR(INDEX('Material routes'!$F$6:$F$1005,MATCH(V87,'Material routes'!$A$6:$A$1005,0)),"MISSING ID")</x:f>
        <x:v>T1</x:v>
      </x:c>
      <x:c r="H87" s="4" t="str">
        <x:f>IFERROR(INDEX('Material routes'!$H$6:$H$1005,MATCH(V87,'Material routes'!$A$6:$A$1005,0)),"MISSING ID")</x:f>
        <x:v>Processed material</x:v>
      </x:c>
      <x:c r="I87" s="4" t="str">
        <x:f>IFERROR(INDEX('Material routes'!$G$6:$G$1005,MATCH(V87,'Material routes'!$A$6:$A$1005,0)),"MISSING ID")</x:f>
        <x:v>Resources</x:v>
      </x:c>
      <x:c r="J87" s="4" t="str">
        <x:f>IFERROR(INDEX('Material routes'!$B$6:$B$1005,MATCH(U87,'Material routes'!$A$6:$A$1005,0)),"MISSING ID")</x:f>
        <x:v>design.branch.branch.refractory_feed</x:v>
      </x:c>
      <x:c r="K87" s="4" t="str">
        <x:f>IFERROR(INDEX('Crafting recipes'!$C$6:$C$1005,MATCH(J87,'Crafting recipes'!$A$6:$A$1005,0)),"MISSING ID")</x:f>
        <x:v>Material refinement</x:v>
      </x:c>
      <x:c r="L87" s="4" t="str">
        <x:f>IFERROR(INDEX('Material routes'!$K$6:$K$1005,MATCH(U87,'Material routes'!$A$6:$A$1005,0)),"MISSING ID")</x:f>
        <x:v>Proposal</x:v>
      </x:c>
      <x:c r="M87" s="4" t="str">
        <x:f>IFERROR(INDEX('Material routes'!$M$6:$M$1005,MATCH(U87,'Material routes'!$A$6:$A$1005,0)),"MISSING ID")</x:f>
        <x:v>Partial proposal</x:v>
      </x:c>
      <x:c r="N87" s="4" t="str">
        <x:f>IF(IFERROR(INDEX('Material routes'!$I$6:$I$1005,MATCH(U87,'Material routes'!$A$6:$A$1005,0)),"MISSING ID")=0,"",IFERROR(INDEX('Material routes'!$I$6:$I$1005,MATCH(U87,'Material routes'!$A$6:$A$1005,0)),"MISSING ID"))</x:f>
      </x:c>
      <x:c r="O87" s="4" t="str">
        <x:f>IFERROR(INDEX('Material routes'!$J$6:$J$1005,MATCH(U87,'Material routes'!$A$6:$A$1005,0)),"MISSING ID")</x:f>
        <x:v>Unspecified</x:v>
      </x:c>
      <x:c r="P87" s="4" t="str">
        <x:f>IF(IFERROR(INDEX('Material routes'!$I$6:$I$1005,MATCH(V87,'Material routes'!$A$6:$A$1005,0)),"MISSING ID")=0,"",IFERROR(INDEX('Material routes'!$I$6:$I$1005,MATCH(V87,'Material routes'!$A$6:$A$1005,0)),"MISSING ID"))</x:f>
      </x:c>
      <x:c r="Q87" s="4" t="str">
        <x:f>IFERROR(INDEX('Material routes'!$J$6:$J$1005,MATCH(V87,'Material routes'!$A$6:$A$1005,0)),"MISSING ID")</x:f>
        <x:v>Unspecified</x:v>
      </x:c>
      <x:c r="R87" s="4" t="str">
        <x:f>IF(L87="Withheld","Withheld premise",IF(E87="Tool candidate","Reusable prerequisite",IF(K87="Raw entry preparation","Entry-resource preparation",IF(G87="Not applicable","Finished endpoint",IF(OR(IFERROR(INDEX('Crafting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routes'!$D$6:$D$1005,MATCH(U87,'Material routes'!$A$6:$A$1005,0)),"MISSING ID")</x:f>
        <x:v>proposal.natural.alumina</x:v>
      </x:c>
      <x:c r="T87" s="4" t="str">
        <x:f>IFERROR(INDEX('Material routes'!$D$6:$D$1005,MATCH(V87,'Material routes'!$A$6:$A$1005,0)),"MISSING ID")</x:f>
        <x:v>proposal.branch.refractory_feed</x:v>
      </x:c>
      <x:c r="U87" s="4" t="str">
        <x:v>design.branch.branch.refractory_feed.in.1</x:v>
      </x:c>
      <x:c r="V87" s="4" t="str">
        <x:v>design.branch.branch.refractory_feed.out</x:v>
      </x:c>
    </x:row>
    <x:row r="88" ht="105" customHeight="1">
      <x:c r="A88" s="4" t="str">
        <x:f>IFERROR(INDEX('Material routes'!$E$6:$E$1005,MATCH(U88,'Material routes'!$A$6:$A$1005,0)),"MISSING ID")</x:f>
        <x:v>Manganese-bearing ore</x:v>
      </x:c>
      <x:c r="B88" s="4" t="str">
        <x:f>IFERROR(INDEX('Material routes'!$F$6:$F$1005,MATCH(U88,'Material routes'!$A$6:$A$1005,0)),"MISSING ID")</x:f>
        <x:v>T0</x:v>
      </x:c>
      <x:c r="C88" s="4" t="str">
        <x:f>IFERROR(INDEX('Material routes'!$H$6:$H$1005,MATCH(U88,'Material routes'!$A$6:$A$1005,0)),"MISSING ID")</x:f>
        <x:v>Raw material</x:v>
      </x:c>
      <x:c r="D88" s="4" t="str">
        <x:f>IFERROR(INDEX('Material routes'!$G$6:$G$1005,MATCH(U88,'Material routes'!$A$6:$A$1005,0)),"MISSING ID")</x:f>
        <x:v>Resources</x:v>
      </x:c>
      <x:c r="E88" s="4" t="str">
        <x:f>IFERROR(INDEX('Material routes'!$C$6:$C$1005,MATCH(U88,'Material routes'!$A$6:$A$1005,0)),"MISSING ID")</x:f>
        <x:v>Ingredient candidate</x:v>
      </x:c>
      <x:c r="F88" s="4" t="str">
        <x:f>IFERROR(INDEX('Material routes'!$E$6:$E$1005,MATCH(V88,'Material routes'!$A$6:$A$1005,0)),"MISSING ID")</x:f>
        <x:v>Manganese-bearing alloy feed</x:v>
      </x:c>
      <x:c r="G88" s="4" t="str">
        <x:f>IFERROR(INDEX('Material routes'!$F$6:$F$1005,MATCH(V88,'Material routes'!$A$6:$A$1005,0)),"MISSING ID")</x:f>
        <x:v>T1</x:v>
      </x:c>
      <x:c r="H88" s="4" t="str">
        <x:f>IFERROR(INDEX('Material routes'!$H$6:$H$1005,MATCH(V88,'Material routes'!$A$6:$A$1005,0)),"MISSING ID")</x:f>
        <x:v>Processed material</x:v>
      </x:c>
      <x:c r="I88" s="4" t="str">
        <x:f>IFERROR(INDEX('Material routes'!$G$6:$G$1005,MATCH(V88,'Material routes'!$A$6:$A$1005,0)),"MISSING ID")</x:f>
        <x:v>Resources</x:v>
      </x:c>
      <x:c r="J88" s="4" t="str">
        <x:f>IFERROR(INDEX('Material routes'!$B$6:$B$1005,MATCH(U88,'Material routes'!$A$6:$A$1005,0)),"MISSING ID")</x:f>
        <x:v>design.branch.branch.manganese_feed</x:v>
      </x:c>
      <x:c r="K88" s="4" t="str">
        <x:f>IFERROR(INDEX('Crafting recipes'!$C$6:$C$1005,MATCH(J88,'Crafting recipes'!$A$6:$A$1005,0)),"MISSING ID")</x:f>
        <x:v>Material refinement</x:v>
      </x:c>
      <x:c r="L88" s="4" t="str">
        <x:f>IFERROR(INDEX('Material routes'!$K$6:$K$1005,MATCH(U88,'Material routes'!$A$6:$A$1005,0)),"MISSING ID")</x:f>
        <x:v>Proposal</x:v>
      </x:c>
      <x:c r="M88" s="4" t="str">
        <x:f>IFERROR(INDEX('Material routes'!$M$6:$M$1005,MATCH(U88,'Material routes'!$A$6:$A$1005,0)),"MISSING ID")</x:f>
        <x:v>Partial proposal</x:v>
      </x:c>
      <x:c r="N88" s="4" t="str">
        <x:f>IF(IFERROR(INDEX('Material routes'!$I$6:$I$1005,MATCH(U88,'Material routes'!$A$6:$A$1005,0)),"MISSING ID")=0,"",IFERROR(INDEX('Material routes'!$I$6:$I$1005,MATCH(U88,'Material routes'!$A$6:$A$1005,0)),"MISSING ID"))</x:f>
      </x:c>
      <x:c r="O88" s="4" t="str">
        <x:f>IFERROR(INDEX('Material routes'!$J$6:$J$1005,MATCH(U88,'Material routes'!$A$6:$A$1005,0)),"MISSING ID")</x:f>
        <x:v>Unspecified</x:v>
      </x:c>
      <x:c r="P88" s="4" t="str">
        <x:f>IF(IFERROR(INDEX('Material routes'!$I$6:$I$1005,MATCH(V88,'Material routes'!$A$6:$A$1005,0)),"MISSING ID")=0,"",IFERROR(INDEX('Material routes'!$I$6:$I$1005,MATCH(V88,'Material routes'!$A$6:$A$1005,0)),"MISSING ID"))</x:f>
      </x:c>
      <x:c r="Q88" s="4" t="str">
        <x:f>IFERROR(INDEX('Material routes'!$J$6:$J$1005,MATCH(V88,'Material routes'!$A$6:$A$1005,0)),"MISSING ID")</x:f>
        <x:v>Unspecified</x:v>
      </x:c>
      <x:c r="R88" s="4" t="str">
        <x:f>IF(L88="Withheld","Withheld premise",IF(E88="Tool candidate","Reusable prerequisite",IF(K88="Raw entry preparation","Entry-resource preparation",IF(G88="Not applicable","Finished endpoint",IF(OR(IFERROR(INDEX('Crafting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routes'!$D$6:$D$1005,MATCH(U88,'Material routes'!$A$6:$A$1005,0)),"MISSING ID")</x:f>
        <x:v>proposal.natural.manganese_ore</x:v>
      </x:c>
      <x:c r="T88" s="4" t="str">
        <x:f>IFERROR(INDEX('Material routes'!$D$6:$D$1005,MATCH(V88,'Material routes'!$A$6:$A$1005,0)),"MISSING ID")</x:f>
        <x:v>proposal.branch.manganese_feed</x:v>
      </x:c>
      <x:c r="U88" s="4" t="str">
        <x:v>design.branch.branch.manganese_feed.in.1</x:v>
      </x:c>
      <x:c r="V88" s="4" t="str">
        <x:v>design.branch.branch.manganese_feed.out</x:v>
      </x:c>
    </x:row>
    <x:row r="89" ht="105" customHeight="1">
      <x:c r="A89" s="4" t="str">
        <x:f>IFERROR(INDEX('Material routes'!$E$6:$E$1005,MATCH(U89,'Material routes'!$A$6:$A$1005,0)),"MISSING ID")</x:f>
        <x:v>Elastic-joint secretion</x:v>
      </x:c>
      <x:c r="B89" s="4" t="str">
        <x:f>IFERROR(INDEX('Material routes'!$F$6:$F$1005,MATCH(U89,'Material routes'!$A$6:$A$1005,0)),"MISSING ID")</x:f>
        <x:v>T0</x:v>
      </x:c>
      <x:c r="C89" s="4" t="str">
        <x:f>IFERROR(INDEX('Material routes'!$H$6:$H$1005,MATCH(U89,'Material routes'!$A$6:$A$1005,0)),"MISSING ID")</x:f>
        <x:v>Chemical material</x:v>
      </x:c>
      <x:c r="D89" s="4" t="str">
        <x:f>IFERROR(INDEX('Material routes'!$G$6:$G$1005,MATCH(U89,'Material routes'!$A$6:$A$1005,0)),"MISSING ID")</x:f>
        <x:v>Resources</x:v>
      </x:c>
      <x:c r="E89" s="4" t="str">
        <x:f>IFERROR(INDEX('Material routes'!$C$6:$C$1005,MATCH(U89,'Material routes'!$A$6:$A$1005,0)),"MISSING ID")</x:f>
        <x:v>Ingredient candidate</x:v>
      </x:c>
      <x:c r="F89" s="4" t="str">
        <x:f>IFERROR(INDEX('Material routes'!$E$6:$E$1005,MATCH(V89,'Material routes'!$A$6:$A$1005,0)),"MISSING ID")</x:f>
        <x:v>Prepared flexible faunal binder</x:v>
      </x:c>
      <x:c r="G89" s="4" t="str">
        <x:f>IFERROR(INDEX('Material routes'!$F$6:$F$1005,MATCH(V89,'Material routes'!$A$6:$A$1005,0)),"MISSING ID")</x:f>
        <x:v>T1</x:v>
      </x:c>
      <x:c r="H89" s="4" t="str">
        <x:f>IFERROR(INDEX('Material routes'!$H$6:$H$1005,MATCH(V89,'Material routes'!$A$6:$A$1005,0)),"MISSING ID")</x:f>
        <x:v>Chemical material</x:v>
      </x:c>
      <x:c r="I89" s="4" t="str">
        <x:f>IFERROR(INDEX('Material routes'!$G$6:$G$1005,MATCH(V89,'Material routes'!$A$6:$A$1005,0)),"MISSING ID")</x:f>
        <x:v>Resources</x:v>
      </x:c>
      <x:c r="J89" s="4" t="str">
        <x:f>IFERROR(INDEX('Material routes'!$B$6:$B$1005,MATCH(U89,'Material routes'!$A$6:$A$1005,0)),"MISSING ID")</x:f>
        <x:v>design.branch.branch.flex_binder</x:v>
      </x:c>
      <x:c r="K89" s="4" t="str">
        <x:f>IFERROR(INDEX('Crafting recipes'!$C$6:$C$1005,MATCH(J89,'Crafting recipes'!$A$6:$A$1005,0)),"MISSING ID")</x:f>
        <x:v>Material refinement</x:v>
      </x:c>
      <x:c r="L89" s="4" t="str">
        <x:f>IFERROR(INDEX('Material routes'!$K$6:$K$1005,MATCH(U89,'Material routes'!$A$6:$A$1005,0)),"MISSING ID")</x:f>
        <x:v>Proposal</x:v>
      </x:c>
      <x:c r="M89" s="4" t="str">
        <x:f>IFERROR(INDEX('Material routes'!$M$6:$M$1005,MATCH(U89,'Material routes'!$A$6:$A$1005,0)),"MISSING ID")</x:f>
        <x:v>Partial proposal</x:v>
      </x:c>
      <x:c r="N89" s="4" t="str">
        <x:f>IF(IFERROR(INDEX('Material routes'!$I$6:$I$1005,MATCH(U89,'Material routes'!$A$6:$A$1005,0)),"MISSING ID")=0,"",IFERROR(INDEX('Material routes'!$I$6:$I$1005,MATCH(U89,'Material routes'!$A$6:$A$1005,0)),"MISSING ID"))</x:f>
      </x:c>
      <x:c r="O89" s="4" t="str">
        <x:f>IFERROR(INDEX('Material routes'!$J$6:$J$1005,MATCH(U89,'Material routes'!$A$6:$A$1005,0)),"MISSING ID")</x:f>
        <x:v>Unspecified</x:v>
      </x:c>
      <x:c r="P89" s="4" t="str">
        <x:f>IF(IFERROR(INDEX('Material routes'!$I$6:$I$1005,MATCH(V89,'Material routes'!$A$6:$A$1005,0)),"MISSING ID")=0,"",IFERROR(INDEX('Material routes'!$I$6:$I$1005,MATCH(V89,'Material routes'!$A$6:$A$1005,0)),"MISSING ID"))</x:f>
      </x:c>
      <x:c r="Q89" s="4" t="str">
        <x:f>IFERROR(INDEX('Material routes'!$J$6:$J$1005,MATCH(V89,'Material routes'!$A$6:$A$1005,0)),"MISSING ID")</x:f>
        <x:v>Unspecified</x:v>
      </x:c>
      <x:c r="R89" s="4" t="str">
        <x:f>IF(L89="Withheld","Withheld premise",IF(E89="Tool candidate","Reusable prerequisite",IF(K89="Raw entry preparation","Entry-resource preparation",IF(G89="Not applicable","Finished endpoint",IF(OR(IFERROR(INDEX('Crafting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routes'!$D$6:$D$1005,MATCH(U89,'Material routes'!$A$6:$A$1005,0)),"MISSING ID")</x:f>
        <x:v>proposal.branch.elastic_secretion</x:v>
      </x:c>
      <x:c r="T89" s="4" t="str">
        <x:f>IFERROR(INDEX('Material routes'!$D$6:$D$1005,MATCH(V89,'Material routes'!$A$6:$A$1005,0)),"MISSING ID")</x:f>
        <x:v>proposal.branch.flex_binder</x:v>
      </x:c>
      <x:c r="U89" s="4" t="str">
        <x:v>design.branch.branch.flex_binder.in.1</x:v>
      </x:c>
      <x:c r="V89" s="4" t="str">
        <x:v>design.branch.branch.flex_binder.out</x:v>
      </x:c>
    </x:row>
    <x:row r="90" ht="105" customHeight="1">
      <x:c r="A90" s="4" t="str">
        <x:f>IFERROR(INDEX('Material routes'!$E$6:$E$1005,MATCH(U90,'Material routes'!$A$6:$A$1005,0)),"MISSING ID")</x:f>
        <x:v>Digestive etchant</x:v>
      </x:c>
      <x:c r="B90" s="4" t="str">
        <x:f>IFERROR(INDEX('Material routes'!$F$6:$F$1005,MATCH(U90,'Material routes'!$A$6:$A$1005,0)),"MISSING ID")</x:f>
        <x:v>T0</x:v>
      </x:c>
      <x:c r="C90" s="4" t="str">
        <x:f>IFERROR(INDEX('Material routes'!$H$6:$H$1005,MATCH(U90,'Material routes'!$A$6:$A$1005,0)),"MISSING ID")</x:f>
        <x:v>Chemical material</x:v>
      </x:c>
      <x:c r="D90" s="4" t="str">
        <x:f>IFERROR(INDEX('Material routes'!$G$6:$G$1005,MATCH(U90,'Material routes'!$A$6:$A$1005,0)),"MISSING ID")</x:f>
        <x:v>Resources</x:v>
      </x:c>
      <x:c r="E90" s="4" t="str">
        <x:f>IFERROR(INDEX('Material routes'!$C$6:$C$1005,MATCH(U90,'Material routes'!$A$6:$A$1005,0)),"MISSING ID")</x:f>
        <x:v>Ingredient candidate</x:v>
      </x:c>
      <x:c r="F90" s="4" t="str">
        <x:f>IFERROR(INDEX('Material routes'!$E$6:$E$1005,MATCH(V90,'Material routes'!$A$6:$A$1005,0)),"MISSING ID")</x:f>
        <x:v>Conditioned faunal etchant</x:v>
      </x:c>
      <x:c r="G90" s="4" t="str">
        <x:f>IFERROR(INDEX('Material routes'!$F$6:$F$1005,MATCH(V90,'Material routes'!$A$6:$A$1005,0)),"MISSING ID")</x:f>
        <x:v>T1</x:v>
      </x:c>
      <x:c r="H90" s="4" t="str">
        <x:f>IFERROR(INDEX('Material routes'!$H$6:$H$1005,MATCH(V90,'Material routes'!$A$6:$A$1005,0)),"MISSING ID")</x:f>
        <x:v>Chemical material</x:v>
      </x:c>
      <x:c r="I90" s="4" t="str">
        <x:f>IFERROR(INDEX('Material routes'!$G$6:$G$1005,MATCH(V90,'Material routes'!$A$6:$A$1005,0)),"MISSING ID")</x:f>
        <x:v>Resources</x:v>
      </x:c>
      <x:c r="J90" s="4" t="str">
        <x:f>IFERROR(INDEX('Material routes'!$B$6:$B$1005,MATCH(U90,'Material routes'!$A$6:$A$1005,0)),"MISSING ID")</x:f>
        <x:v>design.branch.branch.etchant</x:v>
      </x:c>
      <x:c r="K90" s="4" t="str">
        <x:f>IFERROR(INDEX('Crafting recipes'!$C$6:$C$1005,MATCH(J90,'Crafting recipes'!$A$6:$A$1005,0)),"MISSING ID")</x:f>
        <x:v>Material refinement</x:v>
      </x:c>
      <x:c r="L90" s="4" t="str">
        <x:f>IFERROR(INDEX('Material routes'!$K$6:$K$1005,MATCH(U90,'Material routes'!$A$6:$A$1005,0)),"MISSING ID")</x:f>
        <x:v>Proposal</x:v>
      </x:c>
      <x:c r="M90" s="4" t="str">
        <x:f>IFERROR(INDEX('Material routes'!$M$6:$M$1005,MATCH(U90,'Material routes'!$A$6:$A$1005,0)),"MISSING ID")</x:f>
        <x:v>Partial proposal</x:v>
      </x:c>
      <x:c r="N90" s="4" t="str">
        <x:f>IF(IFERROR(INDEX('Material routes'!$I$6:$I$1005,MATCH(U90,'Material routes'!$A$6:$A$1005,0)),"MISSING ID")=0,"",IFERROR(INDEX('Material routes'!$I$6:$I$1005,MATCH(U90,'Material routes'!$A$6:$A$1005,0)),"MISSING ID"))</x:f>
      </x:c>
      <x:c r="O90" s="4" t="str">
        <x:f>IFERROR(INDEX('Material routes'!$J$6:$J$1005,MATCH(U90,'Material routes'!$A$6:$A$1005,0)),"MISSING ID")</x:f>
        <x:v>Unspecified</x:v>
      </x:c>
      <x:c r="P90" s="4" t="str">
        <x:f>IF(IFERROR(INDEX('Material routes'!$I$6:$I$1005,MATCH(V90,'Material routes'!$A$6:$A$1005,0)),"MISSING ID")=0,"",IFERROR(INDEX('Material routes'!$I$6:$I$1005,MATCH(V90,'Material routes'!$A$6:$A$1005,0)),"MISSING ID"))</x:f>
      </x:c>
      <x:c r="Q90" s="4" t="str">
        <x:f>IFERROR(INDEX('Material routes'!$J$6:$J$1005,MATCH(V90,'Material routes'!$A$6:$A$1005,0)),"MISSING ID")</x:f>
        <x:v>Unspecified</x:v>
      </x:c>
      <x:c r="R90" s="4" t="str">
        <x:f>IF(L90="Withheld","Withheld premise",IF(E90="Tool candidate","Reusable prerequisite",IF(K90="Raw entry preparation","Entry-resource preparation",IF(G90="Not applicable","Finished endpoint",IF(OR(IFERROR(INDEX('Crafting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routes'!$D$6:$D$1005,MATCH(U90,'Material routes'!$A$6:$A$1005,0)),"MISSING ID")</x:f>
        <x:v>proposal.chemical.digestive_etchant</x:v>
      </x:c>
      <x:c r="T90" s="4" t="str">
        <x:f>IFERROR(INDEX('Material routes'!$D$6:$D$1005,MATCH(V90,'Material routes'!$A$6:$A$1005,0)),"MISSING ID")</x:f>
        <x:v>proposal.branch.etchant</x:v>
      </x:c>
      <x:c r="U90" s="4" t="str">
        <x:v>design.branch.branch.etchant.in.1</x:v>
      </x:c>
      <x:c r="V90" s="4" t="str">
        <x:v>design.branch.branch.etchant.out</x:v>
      </x:c>
    </x:row>
    <x:row r="91" ht="105" customHeight="1">
      <x:c r="A91" s="4" t="str">
        <x:f>IFERROR(INDEX('Material routes'!$E$6:$E$1005,MATCH(U91,'Material routes'!$A$6:$A$1005,0)),"MISSING ID")</x:f>
        <x:v>Smelted iron bloom</x:v>
      </x:c>
      <x:c r="B91" s="4" t="str">
        <x:f>IFERROR(INDEX('Material routes'!$F$6:$F$1005,MATCH(U91,'Material routes'!$A$6:$A$1005,0)),"MISSING ID")</x:f>
        <x:v>T1</x:v>
      </x:c>
      <x:c r="C91" s="4" t="str">
        <x:f>IFERROR(INDEX('Material routes'!$H$6:$H$1005,MATCH(U91,'Material routes'!$A$6:$A$1005,0)),"MISSING ID")</x:f>
        <x:v>Processed material</x:v>
      </x:c>
      <x:c r="D91" s="4" t="str">
        <x:f>IFERROR(INDEX('Material routes'!$G$6:$G$1005,MATCH(U91,'Material routes'!$A$6:$A$1005,0)),"MISSING ID")</x:f>
        <x:v>Resources</x:v>
      </x:c>
      <x:c r="E91" s="4" t="str">
        <x:f>IFERROR(INDEX('Material routes'!$C$6:$C$1005,MATCH(U91,'Material routes'!$A$6:$A$1005,0)),"MISSING ID")</x:f>
        <x:v>Ingredient candidate</x:v>
      </x:c>
      <x:c r="F91" s="4" t="str">
        <x:f>IFERROR(INDEX('Material routes'!$E$6:$E$1005,MATCH(V91,'Material routes'!$A$6:$A$1005,0)),"MISSING ID")</x:f>
        <x:v>Steel stock</x:v>
      </x:c>
      <x:c r="G91" s="4" t="str">
        <x:f>IFERROR(INDEX('Material routes'!$F$6:$F$1005,MATCH(V91,'Material routes'!$A$6:$A$1005,0)),"MISSING ID")</x:f>
        <x:v>T2</x:v>
      </x:c>
      <x:c r="H91" s="4" t="str">
        <x:f>IFERROR(INDEX('Material routes'!$H$6:$H$1005,MATCH(V91,'Material routes'!$A$6:$A$1005,0)),"MISSING ID")</x:f>
        <x:v>Processed material</x:v>
      </x:c>
      <x:c r="I91" s="4" t="str">
        <x:f>IFERROR(INDEX('Material routes'!$G$6:$G$1005,MATCH(V91,'Material routes'!$A$6:$A$1005,0)),"MISSING ID")</x:f>
        <x:v>Resources</x:v>
      </x:c>
      <x:c r="J91" s="4" t="str">
        <x:f>IFERROR(INDEX('Material routes'!$B$6:$B$1005,MATCH(U91,'Material routes'!$A$6:$A$1005,0)),"MISSING ID")</x:f>
        <x:v>design.branch.metallurgy.steel_stock</x:v>
      </x:c>
      <x:c r="K91" s="4" t="str">
        <x:f>IFERROR(INDEX('Crafting recipes'!$C$6:$C$1005,MATCH(J91,'Crafting recipes'!$A$6:$A$1005,0)),"MISSING ID")</x:f>
        <x:v>Material refinement</x:v>
      </x:c>
      <x:c r="L91" s="4" t="str">
        <x:f>IFERROR(INDEX('Material routes'!$K$6:$K$1005,MATCH(U91,'Material routes'!$A$6:$A$1005,0)),"MISSING ID")</x:f>
        <x:v>Proposal</x:v>
      </x:c>
      <x:c r="M91" s="4" t="str">
        <x:f>IFERROR(INDEX('Material routes'!$M$6:$M$1005,MATCH(U91,'Material routes'!$A$6:$A$1005,0)),"MISSING ID")</x:f>
        <x:v>Partial proposal</x:v>
      </x:c>
      <x:c r="N91" s="4" t="str">
        <x:f>IF(IFERROR(INDEX('Material routes'!$I$6:$I$1005,MATCH(U91,'Material routes'!$A$6:$A$1005,0)),"MISSING ID")=0,"",IFERROR(INDEX('Material routes'!$I$6:$I$1005,MATCH(U91,'Material routes'!$A$6:$A$1005,0)),"MISSING ID"))</x:f>
      </x:c>
      <x:c r="O91" s="4" t="str">
        <x:f>IFERROR(INDEX('Material routes'!$J$6:$J$1005,MATCH(U91,'Material routes'!$A$6:$A$1005,0)),"MISSING ID")</x:f>
        <x:v>Unspecified</x:v>
      </x:c>
      <x:c r="P91" s="4" t="str">
        <x:f>IF(IFERROR(INDEX('Material routes'!$I$6:$I$1005,MATCH(V91,'Material routes'!$A$6:$A$1005,0)),"MISSING ID")=0,"",IFERROR(INDEX('Material routes'!$I$6:$I$1005,MATCH(V91,'Material routes'!$A$6:$A$1005,0)),"MISSING ID"))</x:f>
      </x:c>
      <x:c r="Q91" s="4" t="str">
        <x:f>IFERROR(INDEX('Material routes'!$J$6:$J$1005,MATCH(V91,'Material routes'!$A$6:$A$1005,0)),"MISSING ID")</x:f>
        <x:v>Unspecified</x:v>
      </x:c>
      <x:c r="R91" s="4" t="str">
        <x:f>IF(L91="Withheld","Withheld premise",IF(E91="Tool candidate","Reusable prerequisite",IF(K91="Raw entry preparation","Entry-resource preparation",IF(G91="Not applicable","Finished endpoint",IF(OR(IFERROR(INDEX('Crafting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routes'!$D$6:$D$1005,MATCH(U91,'Material routes'!$A$6:$A$1005,0)),"MISSING ID")</x:f>
        <x:v>proposal.t1.iron_bloom</x:v>
      </x:c>
      <x:c r="T91" s="4" t="str">
        <x:f>IFERROR(INDEX('Material routes'!$D$6:$D$1005,MATCH(V91,'Material routes'!$A$6:$A$1005,0)),"MISSING ID")</x:f>
        <x:v>author.metallurgy.steel_stock</x:v>
      </x:c>
      <x:c r="U91" s="4" t="str">
        <x:v>design.branch.metallurgy.steel_stock.in.1</x:v>
      </x:c>
      <x:c r="V91" s="4" t="str">
        <x:v>design.branch.metallurgy.steel_stock.out</x:v>
      </x:c>
    </x:row>
    <x:row r="92" ht="105" customHeight="1">
      <x:c r="A92" s="4" t="str">
        <x:f>IFERROR(INDEX('Material routes'!$E$6:$E$1005,MATCH(U92,'Material routes'!$A$6:$A$1005,0)),"MISSING ID")</x:f>
        <x:v>Graded graphite flakes</x:v>
      </x:c>
      <x:c r="B92" s="4" t="str">
        <x:f>IFERROR(INDEX('Material routes'!$F$6:$F$1005,MATCH(U92,'Material routes'!$A$6:$A$1005,0)),"MISSING ID")</x:f>
        <x:v>T1</x:v>
      </x:c>
      <x:c r="C92" s="4" t="str">
        <x:f>IFERROR(INDEX('Material routes'!$H$6:$H$1005,MATCH(U92,'Material routes'!$A$6:$A$1005,0)),"MISSING ID")</x:f>
        <x:v>Processed material</x:v>
      </x:c>
      <x:c r="D92" s="4" t="str">
        <x:f>IFERROR(INDEX('Material routes'!$G$6:$G$1005,MATCH(U92,'Material routes'!$A$6:$A$1005,0)),"MISSING ID")</x:f>
        <x:v>Resources</x:v>
      </x:c>
      <x:c r="E92" s="4" t="str">
        <x:f>IFERROR(INDEX('Material routes'!$C$6:$C$1005,MATCH(U92,'Material routes'!$A$6:$A$1005,0)),"MISSING ID")</x:f>
        <x:v>Ingredient candidate</x:v>
      </x:c>
      <x:c r="F92" s="4" t="str">
        <x:f>IFERROR(INDEX('Material routes'!$E$6:$E$1005,MATCH(V92,'Material routes'!$A$6:$A$1005,0)),"MISSING ID")</x:f>
        <x:v>Steel stock</x:v>
      </x:c>
      <x:c r="G92" s="4" t="str">
        <x:f>IFERROR(INDEX('Material routes'!$F$6:$F$1005,MATCH(V92,'Material routes'!$A$6:$A$1005,0)),"MISSING ID")</x:f>
        <x:v>T2</x:v>
      </x:c>
      <x:c r="H92" s="4" t="str">
        <x:f>IFERROR(INDEX('Material routes'!$H$6:$H$1005,MATCH(V92,'Material routes'!$A$6:$A$1005,0)),"MISSING ID")</x:f>
        <x:v>Processed material</x:v>
      </x:c>
      <x:c r="I92" s="4" t="str">
        <x:f>IFERROR(INDEX('Material routes'!$G$6:$G$1005,MATCH(V92,'Material routes'!$A$6:$A$1005,0)),"MISSING ID")</x:f>
        <x:v>Resources</x:v>
      </x:c>
      <x:c r="J92" s="4" t="str">
        <x:f>IFERROR(INDEX('Material routes'!$B$6:$B$1005,MATCH(U92,'Material routes'!$A$6:$A$1005,0)),"MISSING ID")</x:f>
        <x:v>design.branch.metallurgy.steel_stock</x:v>
      </x:c>
      <x:c r="K92" s="4" t="str">
        <x:f>IFERROR(INDEX('Crafting recipes'!$C$6:$C$1005,MATCH(J92,'Crafting recipes'!$A$6:$A$1005,0)),"MISSING ID")</x:f>
        <x:v>Material refinement</x:v>
      </x:c>
      <x:c r="L92" s="4" t="str">
        <x:f>IFERROR(INDEX('Material routes'!$K$6:$K$1005,MATCH(U92,'Material routes'!$A$6:$A$1005,0)),"MISSING ID")</x:f>
        <x:v>Proposal</x:v>
      </x:c>
      <x:c r="M92" s="4" t="str">
        <x:f>IFERROR(INDEX('Material routes'!$M$6:$M$1005,MATCH(U92,'Material routes'!$A$6:$A$1005,0)),"MISSING ID")</x:f>
        <x:v>Partial proposal</x:v>
      </x:c>
      <x:c r="N92" s="4" t="str">
        <x:f>IF(IFERROR(INDEX('Material routes'!$I$6:$I$1005,MATCH(U92,'Material routes'!$A$6:$A$1005,0)),"MISSING ID")=0,"",IFERROR(INDEX('Material routes'!$I$6:$I$1005,MATCH(U92,'Material routes'!$A$6:$A$1005,0)),"MISSING ID"))</x:f>
      </x:c>
      <x:c r="O92" s="4" t="str">
        <x:f>IFERROR(INDEX('Material routes'!$J$6:$J$1005,MATCH(U92,'Material routes'!$A$6:$A$1005,0)),"MISSING ID")</x:f>
        <x:v>Unspecified</x:v>
      </x:c>
      <x:c r="P92" s="4" t="str">
        <x:f>IF(IFERROR(INDEX('Material routes'!$I$6:$I$1005,MATCH(V92,'Material routes'!$A$6:$A$1005,0)),"MISSING ID")=0,"",IFERROR(INDEX('Material routes'!$I$6:$I$1005,MATCH(V92,'Material routes'!$A$6:$A$1005,0)),"MISSING ID"))</x:f>
      </x:c>
      <x:c r="Q92" s="4" t="str">
        <x:f>IFERROR(INDEX('Material routes'!$J$6:$J$1005,MATCH(V92,'Material routes'!$A$6:$A$1005,0)),"MISSING ID")</x:f>
        <x:v>Unspecified</x:v>
      </x:c>
      <x:c r="R92" s="4" t="str">
        <x:f>IF(L92="Withheld","Withheld premise",IF(E92="Tool candidate","Reusable prerequisite",IF(K92="Raw entry preparation","Entry-resource preparation",IF(G92="Not applicable","Finished endpoint",IF(OR(IFERROR(INDEX('Crafting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routes'!$D$6:$D$1005,MATCH(U92,'Material routes'!$A$6:$A$1005,0)),"MISSING ID")</x:f>
        <x:v>proposal.natural.carbon</x:v>
      </x:c>
      <x:c r="T92" s="4" t="str">
        <x:f>IFERROR(INDEX('Material routes'!$D$6:$D$1005,MATCH(V92,'Material routes'!$A$6:$A$1005,0)),"MISSING ID")</x:f>
        <x:v>author.metallurgy.steel_stock</x:v>
      </x:c>
      <x:c r="U92" s="4" t="str">
        <x:v>design.branch.metallurgy.steel_stock.in.2</x:v>
      </x:c>
      <x:c r="V92" s="4" t="str">
        <x:v>design.branch.metallurgy.steel_stock.out</x:v>
      </x:c>
    </x:row>
    <x:row r="93" ht="105" customHeight="1">
      <x:c r="A93" s="4" t="str">
        <x:f>IFERROR(INDEX('Material routes'!$E$6:$E$1005,MATCH(U93,'Material routes'!$A$6:$A$1005,0)),"MISSING ID")</x:f>
        <x:v>Prepared metallurgical flux</x:v>
      </x:c>
      <x:c r="B93" s="4" t="str">
        <x:f>IFERROR(INDEX('Material routes'!$F$6:$F$1005,MATCH(U93,'Material routes'!$A$6:$A$1005,0)),"MISSING ID")</x:f>
        <x:v>T1</x:v>
      </x:c>
      <x:c r="C93" s="4" t="str">
        <x:f>IFERROR(INDEX('Material routes'!$H$6:$H$1005,MATCH(U93,'Material routes'!$A$6:$A$1005,0)),"MISSING ID")</x:f>
        <x:v>Processed material</x:v>
      </x:c>
      <x:c r="D93" s="4" t="str">
        <x:f>IFERROR(INDEX('Material routes'!$G$6:$G$1005,MATCH(U93,'Material routes'!$A$6:$A$1005,0)),"MISSING ID")</x:f>
        <x:v>Resources</x:v>
      </x:c>
      <x:c r="E93" s="4" t="str">
        <x:f>IFERROR(INDEX('Material routes'!$C$6:$C$1005,MATCH(U93,'Material routes'!$A$6:$A$1005,0)),"MISSING ID")</x:f>
        <x:v>Ingredient candidate</x:v>
      </x:c>
      <x:c r="F93" s="4" t="str">
        <x:f>IFERROR(INDEX('Material routes'!$E$6:$E$1005,MATCH(V93,'Material routes'!$A$6:$A$1005,0)),"MISSING ID")</x:f>
        <x:v>Steel stock</x:v>
      </x:c>
      <x:c r="G93" s="4" t="str">
        <x:f>IFERROR(INDEX('Material routes'!$F$6:$F$1005,MATCH(V93,'Material routes'!$A$6:$A$1005,0)),"MISSING ID")</x:f>
        <x:v>T2</x:v>
      </x:c>
      <x:c r="H93" s="4" t="str">
        <x:f>IFERROR(INDEX('Material routes'!$H$6:$H$1005,MATCH(V93,'Material routes'!$A$6:$A$1005,0)),"MISSING ID")</x:f>
        <x:v>Processed material</x:v>
      </x:c>
      <x:c r="I93" s="4" t="str">
        <x:f>IFERROR(INDEX('Material routes'!$G$6:$G$1005,MATCH(V93,'Material routes'!$A$6:$A$1005,0)),"MISSING ID")</x:f>
        <x:v>Resources</x:v>
      </x:c>
      <x:c r="J93" s="4" t="str">
        <x:f>IFERROR(INDEX('Material routes'!$B$6:$B$1005,MATCH(U93,'Material routes'!$A$6:$A$1005,0)),"MISSING ID")</x:f>
        <x:v>design.branch.metallurgy.steel_stock</x:v>
      </x:c>
      <x:c r="K93" s="4" t="str">
        <x:f>IFERROR(INDEX('Crafting recipes'!$C$6:$C$1005,MATCH(J93,'Crafting recipes'!$A$6:$A$1005,0)),"MISSING ID")</x:f>
        <x:v>Material refinement</x:v>
      </x:c>
      <x:c r="L93" s="4" t="str">
        <x:f>IFERROR(INDEX('Material routes'!$K$6:$K$1005,MATCH(U93,'Material routes'!$A$6:$A$1005,0)),"MISSING ID")</x:f>
        <x:v>Proposal</x:v>
      </x:c>
      <x:c r="M93" s="4" t="str">
        <x:f>IFERROR(INDEX('Material routes'!$M$6:$M$1005,MATCH(U93,'Material routes'!$A$6:$A$1005,0)),"MISSING ID")</x:f>
        <x:v>Partial proposal</x:v>
      </x:c>
      <x:c r="N93" s="4" t="str">
        <x:f>IF(IFERROR(INDEX('Material routes'!$I$6:$I$1005,MATCH(U93,'Material routes'!$A$6:$A$1005,0)),"MISSING ID")=0,"",IFERROR(INDEX('Material routes'!$I$6:$I$1005,MATCH(U93,'Material routes'!$A$6:$A$1005,0)),"MISSING ID"))</x:f>
      </x:c>
      <x:c r="O93" s="4" t="str">
        <x:f>IFERROR(INDEX('Material routes'!$J$6:$J$1005,MATCH(U93,'Material routes'!$A$6:$A$1005,0)),"MISSING ID")</x:f>
        <x:v>Unspecified</x:v>
      </x:c>
      <x:c r="P93" s="4" t="str">
        <x:f>IF(IFERROR(INDEX('Material routes'!$I$6:$I$1005,MATCH(V93,'Material routes'!$A$6:$A$1005,0)),"MISSING ID")=0,"",IFERROR(INDEX('Material routes'!$I$6:$I$1005,MATCH(V93,'Material routes'!$A$6:$A$1005,0)),"MISSING ID"))</x:f>
      </x:c>
      <x:c r="Q93" s="4" t="str">
        <x:f>IFERROR(INDEX('Material routes'!$J$6:$J$1005,MATCH(V93,'Material routes'!$A$6:$A$1005,0)),"MISSING ID")</x:f>
        <x:v>Unspecified</x:v>
      </x:c>
      <x:c r="R93" s="4" t="str">
        <x:f>IF(L93="Withheld","Withheld premise",IF(E93="Tool candidate","Reusable prerequisite",IF(K93="Raw entry preparation","Entry-resource preparation",IF(G93="Not applicable","Finished endpoint",IF(OR(IFERROR(INDEX('Crafting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routes'!$D$6:$D$1005,MATCH(U93,'Material routes'!$A$6:$A$1005,0)),"MISSING ID")</x:f>
        <x:v>proposal.branch.flux</x:v>
      </x:c>
      <x:c r="T93" s="4" t="str">
        <x:f>IFERROR(INDEX('Material routes'!$D$6:$D$1005,MATCH(V93,'Material routes'!$A$6:$A$1005,0)),"MISSING ID")</x:f>
        <x:v>author.metallurgy.steel_stock</x:v>
      </x:c>
      <x:c r="U93" s="4" t="str">
        <x:v>design.branch.metallurgy.steel_stock.in.3</x:v>
      </x:c>
      <x:c r="V93" s="4" t="str">
        <x:v>design.branch.metallurgy.steel_stock.out</x:v>
      </x:c>
    </x:row>
    <x:row r="94" ht="105" customHeight="1">
      <x:c r="A94" s="4" t="str">
        <x:f>IFERROR(INDEX('Material routes'!$E$6:$E$1005,MATCH(U94,'Material routes'!$A$6:$A$1005,0)),"MISSING ID")</x:f>
        <x:v>Manganese-bearing alloy feed</x:v>
      </x:c>
      <x:c r="B94" s="4" t="str">
        <x:f>IFERROR(INDEX('Material routes'!$F$6:$F$1005,MATCH(U94,'Material routes'!$A$6:$A$1005,0)),"MISSING ID")</x:f>
        <x:v>T1</x:v>
      </x:c>
      <x:c r="C94" s="4" t="str">
        <x:f>IFERROR(INDEX('Material routes'!$H$6:$H$1005,MATCH(U94,'Material routes'!$A$6:$A$1005,0)),"MISSING ID")</x:f>
        <x:v>Processed material</x:v>
      </x:c>
      <x:c r="D94" s="4" t="str">
        <x:f>IFERROR(INDEX('Material routes'!$G$6:$G$1005,MATCH(U94,'Material routes'!$A$6:$A$1005,0)),"MISSING ID")</x:f>
        <x:v>Resources</x:v>
      </x:c>
      <x:c r="E94" s="4" t="str">
        <x:f>IFERROR(INDEX('Material routes'!$C$6:$C$1005,MATCH(U94,'Material routes'!$A$6:$A$1005,0)),"MISSING ID")</x:f>
        <x:v>Ingredient candidate</x:v>
      </x:c>
      <x:c r="F94" s="4" t="str">
        <x:f>IFERROR(INDEX('Material routes'!$E$6:$E$1005,MATCH(V94,'Material routes'!$A$6:$A$1005,0)),"MISSING ID")</x:f>
        <x:v>Prepared manganese alloying stock</x:v>
      </x:c>
      <x:c r="G94" s="4" t="str">
        <x:f>IFERROR(INDEX('Material routes'!$F$6:$F$1005,MATCH(V94,'Material routes'!$A$6:$A$1005,0)),"MISSING ID")</x:f>
        <x:v>T2</x:v>
      </x:c>
      <x:c r="H94" s="4" t="str">
        <x:f>IFERROR(INDEX('Material routes'!$H$6:$H$1005,MATCH(V94,'Material routes'!$A$6:$A$1005,0)),"MISSING ID")</x:f>
        <x:v>Processed material</x:v>
      </x:c>
      <x:c r="I94" s="4" t="str">
        <x:f>IFERROR(INDEX('Material routes'!$G$6:$G$1005,MATCH(V94,'Material routes'!$A$6:$A$1005,0)),"MISSING ID")</x:f>
        <x:v>Resources</x:v>
      </x:c>
      <x:c r="J94" s="4" t="str">
        <x:f>IFERROR(INDEX('Material routes'!$B$6:$B$1005,MATCH(U94,'Material routes'!$A$6:$A$1005,0)),"MISSING ID")</x:f>
        <x:v>design.branch.branch.alloy_addition</x:v>
      </x:c>
      <x:c r="K94" s="4" t="str">
        <x:f>IFERROR(INDEX('Crafting recipes'!$C$6:$C$1005,MATCH(J94,'Crafting recipes'!$A$6:$A$1005,0)),"MISSING ID")</x:f>
        <x:v>Material refinement</x:v>
      </x:c>
      <x:c r="L94" s="4" t="str">
        <x:f>IFERROR(INDEX('Material routes'!$K$6:$K$1005,MATCH(U94,'Material routes'!$A$6:$A$1005,0)),"MISSING ID")</x:f>
        <x:v>Proposal</x:v>
      </x:c>
      <x:c r="M94" s="4" t="str">
        <x:f>IFERROR(INDEX('Material routes'!$M$6:$M$1005,MATCH(U94,'Material routes'!$A$6:$A$1005,0)),"MISSING ID")</x:f>
        <x:v>Partial proposal</x:v>
      </x:c>
      <x:c r="N94" s="4" t="str">
        <x:f>IF(IFERROR(INDEX('Material routes'!$I$6:$I$1005,MATCH(U94,'Material routes'!$A$6:$A$1005,0)),"MISSING ID")=0,"",IFERROR(INDEX('Material routes'!$I$6:$I$1005,MATCH(U94,'Material routes'!$A$6:$A$1005,0)),"MISSING ID"))</x:f>
      </x:c>
      <x:c r="O94" s="4" t="str">
        <x:f>IFERROR(INDEX('Material routes'!$J$6:$J$1005,MATCH(U94,'Material routes'!$A$6:$A$1005,0)),"MISSING ID")</x:f>
        <x:v>Unspecified</x:v>
      </x:c>
      <x:c r="P94" s="4" t="str">
        <x:f>IF(IFERROR(INDEX('Material routes'!$I$6:$I$1005,MATCH(V94,'Material routes'!$A$6:$A$1005,0)),"MISSING ID")=0,"",IFERROR(INDEX('Material routes'!$I$6:$I$1005,MATCH(V94,'Material routes'!$A$6:$A$1005,0)),"MISSING ID"))</x:f>
      </x:c>
      <x:c r="Q94" s="4" t="str">
        <x:f>IFERROR(INDEX('Material routes'!$J$6:$J$1005,MATCH(V94,'Material routes'!$A$6:$A$1005,0)),"MISSING ID")</x:f>
        <x:v>Unspecified</x:v>
      </x:c>
      <x:c r="R94" s="4" t="str">
        <x:f>IF(L94="Withheld","Withheld premise",IF(E94="Tool candidate","Reusable prerequisite",IF(K94="Raw entry preparation","Entry-resource preparation",IF(G94="Not applicable","Finished endpoint",IF(OR(IFERROR(INDEX('Crafting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routes'!$D$6:$D$1005,MATCH(U94,'Material routes'!$A$6:$A$1005,0)),"MISSING ID")</x:f>
        <x:v>proposal.branch.manganese_feed</x:v>
      </x:c>
      <x:c r="T94" s="4" t="str">
        <x:f>IFERROR(INDEX('Material routes'!$D$6:$D$1005,MATCH(V94,'Material routes'!$A$6:$A$1005,0)),"MISSING ID")</x:f>
        <x:v>proposal.branch.alloy_addition</x:v>
      </x:c>
      <x:c r="U94" s="4" t="str">
        <x:v>design.branch.branch.alloy_addition.in.1</x:v>
      </x:c>
      <x:c r="V94" s="4" t="str">
        <x:v>design.branch.branch.alloy_addition.out</x:v>
      </x:c>
    </x:row>
    <x:row r="95" ht="105" customHeight="1">
      <x:c r="A95" s="4" t="str">
        <x:f>IFERROR(INDEX('Material routes'!$E$6:$E$1005,MATCH(U95,'Material routes'!$A$6:$A$1005,0)),"MISSING ID")</x:f>
        <x:v>Graded graphite flakes</x:v>
      </x:c>
      <x:c r="B95" s="4" t="str">
        <x:f>IFERROR(INDEX('Material routes'!$F$6:$F$1005,MATCH(U95,'Material routes'!$A$6:$A$1005,0)),"MISSING ID")</x:f>
        <x:v>T1</x:v>
      </x:c>
      <x:c r="C95" s="4" t="str">
        <x:f>IFERROR(INDEX('Material routes'!$H$6:$H$1005,MATCH(U95,'Material routes'!$A$6:$A$1005,0)),"MISSING ID")</x:f>
        <x:v>Processed material</x:v>
      </x:c>
      <x:c r="D95" s="4" t="str">
        <x:f>IFERROR(INDEX('Material routes'!$G$6:$G$1005,MATCH(U95,'Material routes'!$A$6:$A$1005,0)),"MISSING ID")</x:f>
        <x:v>Resources</x:v>
      </x:c>
      <x:c r="E95" s="4" t="str">
        <x:f>IFERROR(INDEX('Material routes'!$C$6:$C$1005,MATCH(U95,'Material routes'!$A$6:$A$1005,0)),"MISSING ID")</x:f>
        <x:v>Ingredient candidate</x:v>
      </x:c>
      <x:c r="F95" s="4" t="str">
        <x:f>IFERROR(INDEX('Material routes'!$E$6:$E$1005,MATCH(V95,'Material routes'!$A$6:$A$1005,0)),"MISSING ID")</x:f>
        <x:v>Prepared manganese alloying stock</x:v>
      </x:c>
      <x:c r="G95" s="4" t="str">
        <x:f>IFERROR(INDEX('Material routes'!$F$6:$F$1005,MATCH(V95,'Material routes'!$A$6:$A$1005,0)),"MISSING ID")</x:f>
        <x:v>T2</x:v>
      </x:c>
      <x:c r="H95" s="4" t="str">
        <x:f>IFERROR(INDEX('Material routes'!$H$6:$H$1005,MATCH(V95,'Material routes'!$A$6:$A$1005,0)),"MISSING ID")</x:f>
        <x:v>Processed material</x:v>
      </x:c>
      <x:c r="I95" s="4" t="str">
        <x:f>IFERROR(INDEX('Material routes'!$G$6:$G$1005,MATCH(V95,'Material routes'!$A$6:$A$1005,0)),"MISSING ID")</x:f>
        <x:v>Resources</x:v>
      </x:c>
      <x:c r="J95" s="4" t="str">
        <x:f>IFERROR(INDEX('Material routes'!$B$6:$B$1005,MATCH(U95,'Material routes'!$A$6:$A$1005,0)),"MISSING ID")</x:f>
        <x:v>design.branch.branch.alloy_addition</x:v>
      </x:c>
      <x:c r="K95" s="4" t="str">
        <x:f>IFERROR(INDEX('Crafting recipes'!$C$6:$C$1005,MATCH(J95,'Crafting recipes'!$A$6:$A$1005,0)),"MISSING ID")</x:f>
        <x:v>Material refinement</x:v>
      </x:c>
      <x:c r="L95" s="4" t="str">
        <x:f>IFERROR(INDEX('Material routes'!$K$6:$K$1005,MATCH(U95,'Material routes'!$A$6:$A$1005,0)),"MISSING ID")</x:f>
        <x:v>Proposal</x:v>
      </x:c>
      <x:c r="M95" s="4" t="str">
        <x:f>IFERROR(INDEX('Material routes'!$M$6:$M$1005,MATCH(U95,'Material routes'!$A$6:$A$1005,0)),"MISSING ID")</x:f>
        <x:v>Partial proposal</x:v>
      </x:c>
      <x:c r="N95" s="4" t="str">
        <x:f>IF(IFERROR(INDEX('Material routes'!$I$6:$I$1005,MATCH(U95,'Material routes'!$A$6:$A$1005,0)),"MISSING ID")=0,"",IFERROR(INDEX('Material routes'!$I$6:$I$1005,MATCH(U95,'Material routes'!$A$6:$A$1005,0)),"MISSING ID"))</x:f>
      </x:c>
      <x:c r="O95" s="4" t="str">
        <x:f>IFERROR(INDEX('Material routes'!$J$6:$J$1005,MATCH(U95,'Material routes'!$A$6:$A$1005,0)),"MISSING ID")</x:f>
        <x:v>Unspecified</x:v>
      </x:c>
      <x:c r="P95" s="4" t="str">
        <x:f>IF(IFERROR(INDEX('Material routes'!$I$6:$I$1005,MATCH(V95,'Material routes'!$A$6:$A$1005,0)),"MISSING ID")=0,"",IFERROR(INDEX('Material routes'!$I$6:$I$1005,MATCH(V95,'Material routes'!$A$6:$A$1005,0)),"MISSING ID"))</x:f>
      </x:c>
      <x:c r="Q95" s="4" t="str">
        <x:f>IFERROR(INDEX('Material routes'!$J$6:$J$1005,MATCH(V95,'Material routes'!$A$6:$A$1005,0)),"MISSING ID")</x:f>
        <x:v>Unspecified</x:v>
      </x:c>
      <x:c r="R95" s="4" t="str">
        <x:f>IF(L95="Withheld","Withheld premise",IF(E95="Tool candidate","Reusable prerequisite",IF(K95="Raw entry preparation","Entry-resource preparation",IF(G95="Not applicable","Finished endpoint",IF(OR(IFERROR(INDEX('Crafting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routes'!$D$6:$D$1005,MATCH(U95,'Material routes'!$A$6:$A$1005,0)),"MISSING ID")</x:f>
        <x:v>proposal.natural.carbon</x:v>
      </x:c>
      <x:c r="T95" s="4" t="str">
        <x:f>IFERROR(INDEX('Material routes'!$D$6:$D$1005,MATCH(V95,'Material routes'!$A$6:$A$1005,0)),"MISSING ID")</x:f>
        <x:v>proposal.branch.alloy_addition</x:v>
      </x:c>
      <x:c r="U95" s="4" t="str">
        <x:v>design.branch.branch.alloy_addition.in.2</x:v>
      </x:c>
      <x:c r="V95" s="4" t="str">
        <x:v>design.branch.branch.alloy_addition.out</x:v>
      </x:c>
    </x:row>
    <x:row r="96" ht="105" customHeight="1">
      <x:c r="A96" s="4" t="str">
        <x:f>IFERROR(INDEX('Material routes'!$E$6:$E$1005,MATCH(U96,'Material routes'!$A$6:$A$1005,0)),"MISSING ID")</x:f>
        <x:v>Prepared metallurgical flux</x:v>
      </x:c>
      <x:c r="B96" s="4" t="str">
        <x:f>IFERROR(INDEX('Material routes'!$F$6:$F$1005,MATCH(U96,'Material routes'!$A$6:$A$1005,0)),"MISSING ID")</x:f>
        <x:v>T1</x:v>
      </x:c>
      <x:c r="C96" s="4" t="str">
        <x:f>IFERROR(INDEX('Material routes'!$H$6:$H$1005,MATCH(U96,'Material routes'!$A$6:$A$1005,0)),"MISSING ID")</x:f>
        <x:v>Processed material</x:v>
      </x:c>
      <x:c r="D96" s="4" t="str">
        <x:f>IFERROR(INDEX('Material routes'!$G$6:$G$1005,MATCH(U96,'Material routes'!$A$6:$A$1005,0)),"MISSING ID")</x:f>
        <x:v>Resources</x:v>
      </x:c>
      <x:c r="E96" s="4" t="str">
        <x:f>IFERROR(INDEX('Material routes'!$C$6:$C$1005,MATCH(U96,'Material routes'!$A$6:$A$1005,0)),"MISSING ID")</x:f>
        <x:v>Ingredient candidate</x:v>
      </x:c>
      <x:c r="F96" s="4" t="str">
        <x:f>IFERROR(INDEX('Material routes'!$E$6:$E$1005,MATCH(V96,'Material routes'!$A$6:$A$1005,0)),"MISSING ID")</x:f>
        <x:v>Prepared manganese alloying stock</x:v>
      </x:c>
      <x:c r="G96" s="4" t="str">
        <x:f>IFERROR(INDEX('Material routes'!$F$6:$F$1005,MATCH(V96,'Material routes'!$A$6:$A$1005,0)),"MISSING ID")</x:f>
        <x:v>T2</x:v>
      </x:c>
      <x:c r="H96" s="4" t="str">
        <x:f>IFERROR(INDEX('Material routes'!$H$6:$H$1005,MATCH(V96,'Material routes'!$A$6:$A$1005,0)),"MISSING ID")</x:f>
        <x:v>Processed material</x:v>
      </x:c>
      <x:c r="I96" s="4" t="str">
        <x:f>IFERROR(INDEX('Material routes'!$G$6:$G$1005,MATCH(V96,'Material routes'!$A$6:$A$1005,0)),"MISSING ID")</x:f>
        <x:v>Resources</x:v>
      </x:c>
      <x:c r="J96" s="4" t="str">
        <x:f>IFERROR(INDEX('Material routes'!$B$6:$B$1005,MATCH(U96,'Material routes'!$A$6:$A$1005,0)),"MISSING ID")</x:f>
        <x:v>design.branch.branch.alloy_addition</x:v>
      </x:c>
      <x:c r="K96" s="4" t="str">
        <x:f>IFERROR(INDEX('Crafting recipes'!$C$6:$C$1005,MATCH(J96,'Crafting recipes'!$A$6:$A$1005,0)),"MISSING ID")</x:f>
        <x:v>Material refinement</x:v>
      </x:c>
      <x:c r="L96" s="4" t="str">
        <x:f>IFERROR(INDEX('Material routes'!$K$6:$K$1005,MATCH(U96,'Material routes'!$A$6:$A$1005,0)),"MISSING ID")</x:f>
        <x:v>Proposal</x:v>
      </x:c>
      <x:c r="M96" s="4" t="str">
        <x:f>IFERROR(INDEX('Material routes'!$M$6:$M$1005,MATCH(U96,'Material routes'!$A$6:$A$1005,0)),"MISSING ID")</x:f>
        <x:v>Partial proposal</x:v>
      </x:c>
      <x:c r="N96" s="4" t="str">
        <x:f>IF(IFERROR(INDEX('Material routes'!$I$6:$I$1005,MATCH(U96,'Material routes'!$A$6:$A$1005,0)),"MISSING ID")=0,"",IFERROR(INDEX('Material routes'!$I$6:$I$1005,MATCH(U96,'Material routes'!$A$6:$A$1005,0)),"MISSING ID"))</x:f>
      </x:c>
      <x:c r="O96" s="4" t="str">
        <x:f>IFERROR(INDEX('Material routes'!$J$6:$J$1005,MATCH(U96,'Material routes'!$A$6:$A$1005,0)),"MISSING ID")</x:f>
        <x:v>Unspecified</x:v>
      </x:c>
      <x:c r="P96" s="4" t="str">
        <x:f>IF(IFERROR(INDEX('Material routes'!$I$6:$I$1005,MATCH(V96,'Material routes'!$A$6:$A$1005,0)),"MISSING ID")=0,"",IFERROR(INDEX('Material routes'!$I$6:$I$1005,MATCH(V96,'Material routes'!$A$6:$A$1005,0)),"MISSING ID"))</x:f>
      </x:c>
      <x:c r="Q96" s="4" t="str">
        <x:f>IFERROR(INDEX('Material routes'!$J$6:$J$1005,MATCH(V96,'Material routes'!$A$6:$A$1005,0)),"MISSING ID")</x:f>
        <x:v>Unspecified</x:v>
      </x:c>
      <x:c r="R96" s="4" t="str">
        <x:f>IF(L96="Withheld","Withheld premise",IF(E96="Tool candidate","Reusable prerequisite",IF(K96="Raw entry preparation","Entry-resource preparation",IF(G96="Not applicable","Finished endpoint",IF(OR(IFERROR(INDEX('Crafting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routes'!$D$6:$D$1005,MATCH(U96,'Material routes'!$A$6:$A$1005,0)),"MISSING ID")</x:f>
        <x:v>proposal.branch.flux</x:v>
      </x:c>
      <x:c r="T96" s="4" t="str">
        <x:f>IFERROR(INDEX('Material routes'!$D$6:$D$1005,MATCH(V96,'Material routes'!$A$6:$A$1005,0)),"MISSING ID")</x:f>
        <x:v>proposal.branch.alloy_addition</x:v>
      </x:c>
      <x:c r="U96" s="4" t="str">
        <x:v>design.branch.branch.alloy_addition.in.3</x:v>
      </x:c>
      <x:c r="V96" s="4" t="str">
        <x:v>design.branch.branch.alloy_addition.out</x:v>
      </x:c>
    </x:row>
    <x:row r="97" ht="105" customHeight="1">
      <x:c r="A97" s="4" t="str">
        <x:f>IFERROR(INDEX('Material routes'!$E$6:$E$1005,MATCH(U97,'Material routes'!$A$6:$A$1005,0)),"MISSING ID")</x:f>
        <x:v>Refined copper cake</x:v>
      </x:c>
      <x:c r="B97" s="4" t="str">
        <x:f>IFERROR(INDEX('Material routes'!$F$6:$F$1005,MATCH(U97,'Material routes'!$A$6:$A$1005,0)),"MISSING ID")</x:f>
        <x:v>T1</x:v>
      </x:c>
      <x:c r="C97" s="4" t="str">
        <x:f>IFERROR(INDEX('Material routes'!$H$6:$H$1005,MATCH(U97,'Material routes'!$A$6:$A$1005,0)),"MISSING ID")</x:f>
        <x:v>Processed material</x:v>
      </x:c>
      <x:c r="D97" s="4" t="str">
        <x:f>IFERROR(INDEX('Material routes'!$G$6:$G$1005,MATCH(U97,'Material routes'!$A$6:$A$1005,0)),"MISSING ID")</x:f>
        <x:v>Resources</x:v>
      </x:c>
      <x:c r="E97" s="4" t="str">
        <x:f>IFERROR(INDEX('Material routes'!$C$6:$C$1005,MATCH(U97,'Material routes'!$A$6:$A$1005,0)),"MISSING ID")</x:f>
        <x:v>Ingredient candidate</x:v>
      </x:c>
      <x:c r="F97" s="4" t="str">
        <x:f>IFERROR(INDEX('Material routes'!$E$6:$E$1005,MATCH(V97,'Material routes'!$A$6:$A$1005,0)),"MISSING ID")</x:f>
        <x:v>Drawn copper stock</x:v>
      </x:c>
      <x:c r="G97" s="4" t="str">
        <x:f>IFERROR(INDEX('Material routes'!$F$6:$F$1005,MATCH(V97,'Material routes'!$A$6:$A$1005,0)),"MISSING ID")</x:f>
        <x:v>T2</x:v>
      </x:c>
      <x:c r="H97" s="4" t="str">
        <x:f>IFERROR(INDEX('Material routes'!$H$6:$H$1005,MATCH(V97,'Material routes'!$A$6:$A$1005,0)),"MISSING ID")</x:f>
        <x:v>Processed material</x:v>
      </x:c>
      <x:c r="I97" s="4" t="str">
        <x:f>IFERROR(INDEX('Material routes'!$G$6:$G$1005,MATCH(V97,'Material routes'!$A$6:$A$1005,0)),"MISSING ID")</x:f>
        <x:v>Resources</x:v>
      </x:c>
      <x:c r="J97" s="4" t="str">
        <x:f>IFERROR(INDEX('Material routes'!$B$6:$B$1005,MATCH(U97,'Material routes'!$A$6:$A$1005,0)),"MISSING ID")</x:f>
        <x:v>design.branch.branch.drawn_copper</x:v>
      </x:c>
      <x:c r="K97" s="4" t="str">
        <x:f>IFERROR(INDEX('Crafting recipes'!$C$6:$C$1005,MATCH(J97,'Crafting recipes'!$A$6:$A$1005,0)),"MISSING ID")</x:f>
        <x:v>Material refinement</x:v>
      </x:c>
      <x:c r="L97" s="4" t="str">
        <x:f>IFERROR(INDEX('Material routes'!$K$6:$K$1005,MATCH(U97,'Material routes'!$A$6:$A$1005,0)),"MISSING ID")</x:f>
        <x:v>Proposal</x:v>
      </x:c>
      <x:c r="M97" s="4" t="str">
        <x:f>IFERROR(INDEX('Material routes'!$M$6:$M$1005,MATCH(U97,'Material routes'!$A$6:$A$1005,0)),"MISSING ID")</x:f>
        <x:v>Partial proposal</x:v>
      </x:c>
      <x:c r="N97" s="4" t="str">
        <x:f>IF(IFERROR(INDEX('Material routes'!$I$6:$I$1005,MATCH(U97,'Material routes'!$A$6:$A$1005,0)),"MISSING ID")=0,"",IFERROR(INDEX('Material routes'!$I$6:$I$1005,MATCH(U97,'Material routes'!$A$6:$A$1005,0)),"MISSING ID"))</x:f>
      </x:c>
      <x:c r="O97" s="4" t="str">
        <x:f>IFERROR(INDEX('Material routes'!$J$6:$J$1005,MATCH(U97,'Material routes'!$A$6:$A$1005,0)),"MISSING ID")</x:f>
        <x:v>Unspecified</x:v>
      </x:c>
      <x:c r="P97" s="4" t="str">
        <x:f>IF(IFERROR(INDEX('Material routes'!$I$6:$I$1005,MATCH(V97,'Material routes'!$A$6:$A$1005,0)),"MISSING ID")=0,"",IFERROR(INDEX('Material routes'!$I$6:$I$1005,MATCH(V97,'Material routes'!$A$6:$A$1005,0)),"MISSING ID"))</x:f>
      </x:c>
      <x:c r="Q97" s="4" t="str">
        <x:f>IFERROR(INDEX('Material routes'!$J$6:$J$1005,MATCH(V97,'Material routes'!$A$6:$A$1005,0)),"MISSING ID")</x:f>
        <x:v>Unspecified</x:v>
      </x:c>
      <x:c r="R97" s="4" t="str">
        <x:f>IF(L97="Withheld","Withheld premise",IF(E97="Tool candidate","Reusable prerequisite",IF(K97="Raw entry preparation","Entry-resource preparation",IF(G97="Not applicable","Finished endpoint",IF(OR(IFERROR(INDEX('Crafting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routes'!$D$6:$D$1005,MATCH(U97,'Material routes'!$A$6:$A$1005,0)),"MISSING ID")</x:f>
        <x:v>proposal.t1.copper_cake</x:v>
      </x:c>
      <x:c r="T97" s="4" t="str">
        <x:f>IFERROR(INDEX('Material routes'!$D$6:$D$1005,MATCH(V97,'Material routes'!$A$6:$A$1005,0)),"MISSING ID")</x:f>
        <x:v>proposal.branch.drawn_copper</x:v>
      </x:c>
      <x:c r="U97" s="4" t="str">
        <x:v>design.branch.branch.drawn_copper.in.1</x:v>
      </x:c>
      <x:c r="V97" s="4" t="str">
        <x:v>design.branch.branch.drawn_copper.out</x:v>
      </x:c>
    </x:row>
    <x:row r="98" ht="105" customHeight="1">
      <x:c r="A98" s="4" t="str">
        <x:f>IFERROR(INDEX('Material routes'!$E$6:$E$1005,MATCH(U98,'Material routes'!$A$6:$A$1005,0)),"MISSING ID")</x:f>
        <x:v>Reclaimed bronze billet</x:v>
      </x:c>
      <x:c r="B98" s="4" t="str">
        <x:f>IFERROR(INDEX('Material routes'!$F$6:$F$1005,MATCH(U98,'Material routes'!$A$6:$A$1005,0)),"MISSING ID")</x:f>
        <x:v>T1</x:v>
      </x:c>
      <x:c r="C98" s="4" t="str">
        <x:f>IFERROR(INDEX('Material routes'!$H$6:$H$1005,MATCH(U98,'Material routes'!$A$6:$A$1005,0)),"MISSING ID")</x:f>
        <x:v>Processed material</x:v>
      </x:c>
      <x:c r="D98" s="4" t="str">
        <x:f>IFERROR(INDEX('Material routes'!$G$6:$G$1005,MATCH(U98,'Material routes'!$A$6:$A$1005,0)),"MISSING ID")</x:f>
        <x:v>Resources</x:v>
      </x:c>
      <x:c r="E98" s="4" t="str">
        <x:f>IFERROR(INDEX('Material routes'!$C$6:$C$1005,MATCH(U98,'Material routes'!$A$6:$A$1005,0)),"MISSING ID")</x:f>
        <x:v>Ingredient candidate</x:v>
      </x:c>
      <x:c r="F98" s="4" t="str">
        <x:f>IFERROR(INDEX('Material routes'!$E$6:$E$1005,MATCH(V98,'Material routes'!$A$6:$A$1005,0)),"MISSING ID")</x:f>
        <x:v>Prepared bronze bearing stock</x:v>
      </x:c>
      <x:c r="G98" s="4" t="str">
        <x:f>IFERROR(INDEX('Material routes'!$F$6:$F$1005,MATCH(V98,'Material routes'!$A$6:$A$1005,0)),"MISSING ID")</x:f>
        <x:v>T2</x:v>
      </x:c>
      <x:c r="H98" s="4" t="str">
        <x:f>IFERROR(INDEX('Material routes'!$H$6:$H$1005,MATCH(V98,'Material routes'!$A$6:$A$1005,0)),"MISSING ID")</x:f>
        <x:v>Processed material</x:v>
      </x:c>
      <x:c r="I98" s="4" t="str">
        <x:f>IFERROR(INDEX('Material routes'!$G$6:$G$1005,MATCH(V98,'Material routes'!$A$6:$A$1005,0)),"MISSING ID")</x:f>
        <x:v>Resources</x:v>
      </x:c>
      <x:c r="J98" s="4" t="str">
        <x:f>IFERROR(INDEX('Material routes'!$B$6:$B$1005,MATCH(U98,'Material routes'!$A$6:$A$1005,0)),"MISSING ID")</x:f>
        <x:v>design.branch.branch.bearing_bronze</x:v>
      </x:c>
      <x:c r="K98" s="4" t="str">
        <x:f>IFERROR(INDEX('Crafting recipes'!$C$6:$C$1005,MATCH(J98,'Crafting recipes'!$A$6:$A$1005,0)),"MISSING ID")</x:f>
        <x:v>Material refinement</x:v>
      </x:c>
      <x:c r="L98" s="4" t="str">
        <x:f>IFERROR(INDEX('Material routes'!$K$6:$K$1005,MATCH(U98,'Material routes'!$A$6:$A$1005,0)),"MISSING ID")</x:f>
        <x:v>Proposal</x:v>
      </x:c>
      <x:c r="M98" s="4" t="str">
        <x:f>IFERROR(INDEX('Material routes'!$M$6:$M$1005,MATCH(U98,'Material routes'!$A$6:$A$1005,0)),"MISSING ID")</x:f>
        <x:v>Partial proposal</x:v>
      </x:c>
      <x:c r="N98" s="4" t="str">
        <x:f>IF(IFERROR(INDEX('Material routes'!$I$6:$I$1005,MATCH(U98,'Material routes'!$A$6:$A$1005,0)),"MISSING ID")=0,"",IFERROR(INDEX('Material routes'!$I$6:$I$1005,MATCH(U98,'Material routes'!$A$6:$A$1005,0)),"MISSING ID"))</x:f>
      </x:c>
      <x:c r="O98" s="4" t="str">
        <x:f>IFERROR(INDEX('Material routes'!$J$6:$J$1005,MATCH(U98,'Material routes'!$A$6:$A$1005,0)),"MISSING ID")</x:f>
        <x:v>Unspecified</x:v>
      </x:c>
      <x:c r="P98" s="4" t="str">
        <x:f>IF(IFERROR(INDEX('Material routes'!$I$6:$I$1005,MATCH(V98,'Material routes'!$A$6:$A$1005,0)),"MISSING ID")=0,"",IFERROR(INDEX('Material routes'!$I$6:$I$1005,MATCH(V98,'Material routes'!$A$6:$A$1005,0)),"MISSING ID"))</x:f>
      </x:c>
      <x:c r="Q98" s="4" t="str">
        <x:f>IFERROR(INDEX('Material routes'!$J$6:$J$1005,MATCH(V98,'Material routes'!$A$6:$A$1005,0)),"MISSING ID")</x:f>
        <x:v>Unspecified</x:v>
      </x:c>
      <x:c r="R98" s="4" t="str">
        <x:f>IF(L98="Withheld","Withheld premise",IF(E98="Tool candidate","Reusable prerequisite",IF(K98="Raw entry preparation","Entry-resource preparation",IF(G98="Not applicable","Finished endpoint",IF(OR(IFERROR(INDEX('Crafting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routes'!$D$6:$D$1005,MATCH(U98,'Material routes'!$A$6:$A$1005,0)),"MISSING ID")</x:f>
        <x:v>proposal.t1.bronze_billet</x:v>
      </x:c>
      <x:c r="T98" s="4" t="str">
        <x:f>IFERROR(INDEX('Material routes'!$D$6:$D$1005,MATCH(V98,'Material routes'!$A$6:$A$1005,0)),"MISSING ID")</x:f>
        <x:v>proposal.branch.bearing_bronze</x:v>
      </x:c>
      <x:c r="U98" s="4" t="str">
        <x:v>design.branch.branch.bearing_bronze.in.1</x:v>
      </x:c>
      <x:c r="V98" s="4" t="str">
        <x:v>design.branch.branch.bearing_bronze.out</x:v>
      </x:c>
    </x:row>
    <x:row r="99" ht="105" customHeight="1">
      <x:c r="A99" s="4" t="str">
        <x:f>IFERROR(INDEX('Material routes'!$E$6:$E$1005,MATCH(U99,'Material routes'!$A$6:$A$1005,0)),"MISSING ID")</x:f>
        <x:v>Prepared ceramic body feed</x:v>
      </x:c>
      <x:c r="B99" s="4" t="str">
        <x:f>IFERROR(INDEX('Material routes'!$F$6:$F$1005,MATCH(U99,'Material routes'!$A$6:$A$1005,0)),"MISSING ID")</x:f>
        <x:v>T1</x:v>
      </x:c>
      <x:c r="C99" s="4" t="str">
        <x:f>IFERROR(INDEX('Material routes'!$H$6:$H$1005,MATCH(U99,'Material routes'!$A$6:$A$1005,0)),"MISSING ID")</x:f>
        <x:v>Processed material</x:v>
      </x:c>
      <x:c r="D99" s="4" t="str">
        <x:f>IFERROR(INDEX('Material routes'!$G$6:$G$1005,MATCH(U99,'Material routes'!$A$6:$A$1005,0)),"MISSING ID")</x:f>
        <x:v>Resources</x:v>
      </x:c>
      <x:c r="E99" s="4" t="str">
        <x:f>IFERROR(INDEX('Material routes'!$C$6:$C$1005,MATCH(U99,'Material routes'!$A$6:$A$1005,0)),"MISSING ID")</x:f>
        <x:v>Ingredient candidate</x:v>
      </x:c>
      <x:c r="F99" s="4" t="str">
        <x:f>IFERROR(INDEX('Material routes'!$E$6:$E$1005,MATCH(V99,'Material routes'!$A$6:$A$1005,0)),"MISSING ID")</x:f>
        <x:v>Insulating ceramic blanks</x:v>
      </x:c>
      <x:c r="G99" s="4" t="str">
        <x:f>IFERROR(INDEX('Material routes'!$F$6:$F$1005,MATCH(V99,'Material routes'!$A$6:$A$1005,0)),"MISSING ID")</x:f>
        <x:v>T2</x:v>
      </x:c>
      <x:c r="H99" s="4" t="str">
        <x:f>IFERROR(INDEX('Material routes'!$H$6:$H$1005,MATCH(V99,'Material routes'!$A$6:$A$1005,0)),"MISSING ID")</x:f>
        <x:v>Processed material</x:v>
      </x:c>
      <x:c r="I99" s="4" t="str">
        <x:f>IFERROR(INDEX('Material routes'!$G$6:$G$1005,MATCH(V99,'Material routes'!$A$6:$A$1005,0)),"MISSING ID")</x:f>
        <x:v>Resources</x:v>
      </x:c>
      <x:c r="J99" s="4" t="str">
        <x:f>IFERROR(INDEX('Material routes'!$B$6:$B$1005,MATCH(U99,'Material routes'!$A$6:$A$1005,0)),"MISSING ID")</x:f>
        <x:v>design.branch.natural.ceramic</x:v>
      </x:c>
      <x:c r="K99" s="4" t="str">
        <x:f>IFERROR(INDEX('Crafting recipes'!$C$6:$C$1005,MATCH(J99,'Crafting recipes'!$A$6:$A$1005,0)),"MISSING ID")</x:f>
        <x:v>Material refinement</x:v>
      </x:c>
      <x:c r="L99" s="4" t="str">
        <x:f>IFERROR(INDEX('Material routes'!$K$6:$K$1005,MATCH(U99,'Material routes'!$A$6:$A$1005,0)),"MISSING ID")</x:f>
        <x:v>Proposal</x:v>
      </x:c>
      <x:c r="M99" s="4" t="str">
        <x:f>IFERROR(INDEX('Material routes'!$M$6:$M$1005,MATCH(U99,'Material routes'!$A$6:$A$1005,0)),"MISSING ID")</x:f>
        <x:v>Partial proposal</x:v>
      </x:c>
      <x:c r="N99" s="4" t="str">
        <x:f>IF(IFERROR(INDEX('Material routes'!$I$6:$I$1005,MATCH(U99,'Material routes'!$A$6:$A$1005,0)),"MISSING ID")=0,"",IFERROR(INDEX('Material routes'!$I$6:$I$1005,MATCH(U99,'Material routes'!$A$6:$A$1005,0)),"MISSING ID"))</x:f>
      </x:c>
      <x:c r="O99" s="4" t="str">
        <x:f>IFERROR(INDEX('Material routes'!$J$6:$J$1005,MATCH(U99,'Material routes'!$A$6:$A$1005,0)),"MISSING ID")</x:f>
        <x:v>Unspecified</x:v>
      </x:c>
      <x:c r="P99" s="4" t="str">
        <x:f>IF(IFERROR(INDEX('Material routes'!$I$6:$I$1005,MATCH(V99,'Material routes'!$A$6:$A$1005,0)),"MISSING ID")=0,"",IFERROR(INDEX('Material routes'!$I$6:$I$1005,MATCH(V99,'Material routes'!$A$6:$A$1005,0)),"MISSING ID"))</x:f>
      </x:c>
      <x:c r="Q99" s="4" t="str">
        <x:f>IFERROR(INDEX('Material routes'!$J$6:$J$1005,MATCH(V99,'Material routes'!$A$6:$A$1005,0)),"MISSING ID")</x:f>
        <x:v>Unspecified</x:v>
      </x:c>
      <x:c r="R99" s="4" t="str">
        <x:f>IF(L99="Withheld","Withheld premise",IF(E99="Tool candidate","Reusable prerequisite",IF(K99="Raw entry preparation","Entry-resource preparation",IF(G99="Not applicable","Finished endpoint",IF(OR(IFERROR(INDEX('Crafting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routes'!$D$6:$D$1005,MATCH(U99,'Material routes'!$A$6:$A$1005,0)),"MISSING ID")</x:f>
        <x:v>proposal.ceramic.body_feed</x:v>
      </x:c>
      <x:c r="T99" s="4" t="str">
        <x:f>IFERROR(INDEX('Material routes'!$D$6:$D$1005,MATCH(V99,'Material routes'!$A$6:$A$1005,0)),"MISSING ID")</x:f>
        <x:v>proposal.natural.ceramic</x:v>
      </x:c>
      <x:c r="U99" s="4" t="str">
        <x:v>design.branch.natural.ceramic.in.1</x:v>
      </x:c>
      <x:c r="V99" s="4" t="str">
        <x:v>design.branch.natural.ceramic.out</x:v>
      </x:c>
    </x:row>
    <x:row r="100" ht="105" customHeight="1">
      <x:c r="A100" s="4" t="str">
        <x:f>IFERROR(INDEX('Material routes'!$E$6:$E$1005,MATCH(U100,'Material routes'!$A$6:$A$1005,0)),"MISSING ID")</x:f>
        <x:v>Prepared glaze feed</x:v>
      </x:c>
      <x:c r="B100" s="4" t="str">
        <x:f>IFERROR(INDEX('Material routes'!$F$6:$F$1005,MATCH(U100,'Material routes'!$A$6:$A$1005,0)),"MISSING ID")</x:f>
        <x:v>T1</x:v>
      </x:c>
      <x:c r="C100" s="4" t="str">
        <x:f>IFERROR(INDEX('Material routes'!$H$6:$H$1005,MATCH(U100,'Material routes'!$A$6:$A$1005,0)),"MISSING ID")</x:f>
        <x:v>Processed material</x:v>
      </x:c>
      <x:c r="D100" s="4" t="str">
        <x:f>IFERROR(INDEX('Material routes'!$G$6:$G$1005,MATCH(U100,'Material routes'!$A$6:$A$1005,0)),"MISSING ID")</x:f>
        <x:v>Resources</x:v>
      </x:c>
      <x:c r="E100" s="4" t="str">
        <x:f>IFERROR(INDEX('Material routes'!$C$6:$C$1005,MATCH(U100,'Material routes'!$A$6:$A$1005,0)),"MISSING ID")</x:f>
        <x:v>Ingredient candidate</x:v>
      </x:c>
      <x:c r="F100" s="4" t="str">
        <x:f>IFERROR(INDEX('Material routes'!$E$6:$E$1005,MATCH(V100,'Material routes'!$A$6:$A$1005,0)),"MISSING ID")</x:f>
        <x:v>Insulating ceramic blanks</x:v>
      </x:c>
      <x:c r="G100" s="4" t="str">
        <x:f>IFERROR(INDEX('Material routes'!$F$6:$F$1005,MATCH(V100,'Material routes'!$A$6:$A$1005,0)),"MISSING ID")</x:f>
        <x:v>T2</x:v>
      </x:c>
      <x:c r="H100" s="4" t="str">
        <x:f>IFERROR(INDEX('Material routes'!$H$6:$H$1005,MATCH(V100,'Material routes'!$A$6:$A$1005,0)),"MISSING ID")</x:f>
        <x:v>Processed material</x:v>
      </x:c>
      <x:c r="I100" s="4" t="str">
        <x:f>IFERROR(INDEX('Material routes'!$G$6:$G$1005,MATCH(V100,'Material routes'!$A$6:$A$1005,0)),"MISSING ID")</x:f>
        <x:v>Resources</x:v>
      </x:c>
      <x:c r="J100" s="4" t="str">
        <x:f>IFERROR(INDEX('Material routes'!$B$6:$B$1005,MATCH(U100,'Material routes'!$A$6:$A$1005,0)),"MISSING ID")</x:f>
        <x:v>design.branch.natural.ceramic</x:v>
      </x:c>
      <x:c r="K100" s="4" t="str">
        <x:f>IFERROR(INDEX('Crafting recipes'!$C$6:$C$1005,MATCH(J100,'Crafting recipes'!$A$6:$A$1005,0)),"MISSING ID")</x:f>
        <x:v>Material refinement</x:v>
      </x:c>
      <x:c r="L100" s="4" t="str">
        <x:f>IFERROR(INDEX('Material routes'!$K$6:$K$1005,MATCH(U100,'Material routes'!$A$6:$A$1005,0)),"MISSING ID")</x:f>
        <x:v>Proposal</x:v>
      </x:c>
      <x:c r="M100" s="4" t="str">
        <x:f>IFERROR(INDEX('Material routes'!$M$6:$M$1005,MATCH(U100,'Material routes'!$A$6:$A$1005,0)),"MISSING ID")</x:f>
        <x:v>Partial proposal</x:v>
      </x:c>
      <x:c r="N100" s="4" t="str">
        <x:f>IF(IFERROR(INDEX('Material routes'!$I$6:$I$1005,MATCH(U100,'Material routes'!$A$6:$A$1005,0)),"MISSING ID")=0,"",IFERROR(INDEX('Material routes'!$I$6:$I$1005,MATCH(U100,'Material routes'!$A$6:$A$1005,0)),"MISSING ID"))</x:f>
      </x:c>
      <x:c r="O100" s="4" t="str">
        <x:f>IFERROR(INDEX('Material routes'!$J$6:$J$1005,MATCH(U100,'Material routes'!$A$6:$A$1005,0)),"MISSING ID")</x:f>
        <x:v>Unspecified</x:v>
      </x:c>
      <x:c r="P100" s="4" t="str">
        <x:f>IF(IFERROR(INDEX('Material routes'!$I$6:$I$1005,MATCH(V100,'Material routes'!$A$6:$A$1005,0)),"MISSING ID")=0,"",IFERROR(INDEX('Material routes'!$I$6:$I$1005,MATCH(V100,'Material routes'!$A$6:$A$1005,0)),"MISSING ID"))</x:f>
      </x:c>
      <x:c r="Q100" s="4" t="str">
        <x:f>IFERROR(INDEX('Material routes'!$J$6:$J$1005,MATCH(V100,'Material routes'!$A$6:$A$1005,0)),"MISSING ID")</x:f>
        <x:v>Unspecified</x:v>
      </x:c>
      <x:c r="R100" s="4" t="str">
        <x:f>IF(L100="Withheld","Withheld premise",IF(E100="Tool candidate","Reusable prerequisite",IF(K100="Raw entry preparation","Entry-resource preparation",IF(G100="Not applicable","Finished endpoint",IF(OR(IFERROR(INDEX('Crafting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routes'!$D$6:$D$1005,MATCH(U100,'Material routes'!$A$6:$A$1005,0)),"MISSING ID")</x:f>
        <x:v>proposal.ceramic.glaze_feed</x:v>
      </x:c>
      <x:c r="T100" s="4" t="str">
        <x:f>IFERROR(INDEX('Material routes'!$D$6:$D$1005,MATCH(V100,'Material routes'!$A$6:$A$1005,0)),"MISSING ID")</x:f>
        <x:v>proposal.natural.ceramic</x:v>
      </x:c>
      <x:c r="U100" s="4" t="str">
        <x:v>design.branch.natural.ceramic.in.2</x:v>
      </x:c>
      <x:c r="V100" s="4" t="str">
        <x:v>design.branch.natural.ceramic.out</x:v>
      </x:c>
    </x:row>
    <x:row r="101" ht="105" customHeight="1">
      <x:c r="A101" s="4" t="str">
        <x:f>IFERROR(INDEX('Material routes'!$E$6:$E$1005,MATCH(U101,'Material routes'!$A$6:$A$1005,0)),"MISSING ID")</x:f>
        <x:v>Graded refractory mineral feed</x:v>
      </x:c>
      <x:c r="B101" s="4" t="str">
        <x:f>IFERROR(INDEX('Material routes'!$F$6:$F$1005,MATCH(U101,'Material routes'!$A$6:$A$1005,0)),"MISSING ID")</x:f>
        <x:v>T1</x:v>
      </x:c>
      <x:c r="C101" s="4" t="str">
        <x:f>IFERROR(INDEX('Material routes'!$H$6:$H$1005,MATCH(U101,'Material routes'!$A$6:$A$1005,0)),"MISSING ID")</x:f>
        <x:v>Processed material</x:v>
      </x:c>
      <x:c r="D101" s="4" t="str">
        <x:f>IFERROR(INDEX('Material routes'!$G$6:$G$1005,MATCH(U101,'Material routes'!$A$6:$A$1005,0)),"MISSING ID")</x:f>
        <x:v>Resources</x:v>
      </x:c>
      <x:c r="E101" s="4" t="str">
        <x:f>IFERROR(INDEX('Material routes'!$C$6:$C$1005,MATCH(U101,'Material routes'!$A$6:$A$1005,0)),"MISSING ID")</x:f>
        <x:v>Ingredient candidate</x:v>
      </x:c>
      <x:c r="F101" s="4" t="str">
        <x:f>IFERROR(INDEX('Material routes'!$E$6:$E$1005,MATCH(V101,'Material routes'!$A$6:$A$1005,0)),"MISSING ID")</x:f>
        <x:v>Refractory ceramic stock</x:v>
      </x:c>
      <x:c r="G101" s="4" t="str">
        <x:f>IFERROR(INDEX('Material routes'!$F$6:$F$1005,MATCH(V101,'Material routes'!$A$6:$A$1005,0)),"MISSING ID")</x:f>
        <x:v>T2</x:v>
      </x:c>
      <x:c r="H101" s="4" t="str">
        <x:f>IFERROR(INDEX('Material routes'!$H$6:$H$1005,MATCH(V101,'Material routes'!$A$6:$A$1005,0)),"MISSING ID")</x:f>
        <x:v>Processed material</x:v>
      </x:c>
      <x:c r="I101" s="4" t="str">
        <x:f>IFERROR(INDEX('Material routes'!$G$6:$G$1005,MATCH(V101,'Material routes'!$A$6:$A$1005,0)),"MISSING ID")</x:f>
        <x:v>Resources</x:v>
      </x:c>
      <x:c r="J101" s="4" t="str">
        <x:f>IFERROR(INDEX('Material routes'!$B$6:$B$1005,MATCH(U101,'Material routes'!$A$6:$A$1005,0)),"MISSING ID")</x:f>
        <x:v>design.branch.branch.refractory_ceramic</x:v>
      </x:c>
      <x:c r="K101" s="4" t="str">
        <x:f>IFERROR(INDEX('Crafting recipes'!$C$6:$C$1005,MATCH(J101,'Crafting recipes'!$A$6:$A$1005,0)),"MISSING ID")</x:f>
        <x:v>Material refinement</x:v>
      </x:c>
      <x:c r="L101" s="4" t="str">
        <x:f>IFERROR(INDEX('Material routes'!$K$6:$K$1005,MATCH(U101,'Material routes'!$A$6:$A$1005,0)),"MISSING ID")</x:f>
        <x:v>Proposal</x:v>
      </x:c>
      <x:c r="M101" s="4" t="str">
        <x:f>IFERROR(INDEX('Material routes'!$M$6:$M$1005,MATCH(U101,'Material routes'!$A$6:$A$1005,0)),"MISSING ID")</x:f>
        <x:v>Partial proposal</x:v>
      </x:c>
      <x:c r="N101" s="4" t="str">
        <x:f>IF(IFERROR(INDEX('Material routes'!$I$6:$I$1005,MATCH(U101,'Material routes'!$A$6:$A$1005,0)),"MISSING ID")=0,"",IFERROR(INDEX('Material routes'!$I$6:$I$1005,MATCH(U101,'Material routes'!$A$6:$A$1005,0)),"MISSING ID"))</x:f>
      </x:c>
      <x:c r="O101" s="4" t="str">
        <x:f>IFERROR(INDEX('Material routes'!$J$6:$J$1005,MATCH(U101,'Material routes'!$A$6:$A$1005,0)),"MISSING ID")</x:f>
        <x:v>Unspecified</x:v>
      </x:c>
      <x:c r="P101" s="4" t="str">
        <x:f>IF(IFERROR(INDEX('Material routes'!$I$6:$I$1005,MATCH(V101,'Material routes'!$A$6:$A$1005,0)),"MISSING ID")=0,"",IFERROR(INDEX('Material routes'!$I$6:$I$1005,MATCH(V101,'Material routes'!$A$6:$A$1005,0)),"MISSING ID"))</x:f>
      </x:c>
      <x:c r="Q101" s="4" t="str">
        <x:f>IFERROR(INDEX('Material routes'!$J$6:$J$1005,MATCH(V101,'Material routes'!$A$6:$A$1005,0)),"MISSING ID")</x:f>
        <x:v>Unspecified</x:v>
      </x:c>
      <x:c r="R101" s="4" t="str">
        <x:f>IF(L101="Withheld","Withheld premise",IF(E101="Tool candidate","Reusable prerequisite",IF(K101="Raw entry preparation","Entry-resource preparation",IF(G101="Not applicable","Finished endpoint",IF(OR(IFERROR(INDEX('Crafting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routes'!$D$6:$D$1005,MATCH(U101,'Material routes'!$A$6:$A$1005,0)),"MISSING ID")</x:f>
        <x:v>proposal.branch.refractory_feed</x:v>
      </x:c>
      <x:c r="T101" s="4" t="str">
        <x:f>IFERROR(INDEX('Material routes'!$D$6:$D$1005,MATCH(V101,'Material routes'!$A$6:$A$1005,0)),"MISSING ID")</x:f>
        <x:v>proposal.branch.refractory_ceramic</x:v>
      </x:c>
      <x:c r="U101" s="4" t="str">
        <x:v>design.branch.branch.refractory_ceramic.in.1</x:v>
      </x:c>
      <x:c r="V101" s="4" t="str">
        <x:v>design.branch.branch.refractory_ceramic.out</x:v>
      </x:c>
    </x:row>
    <x:row r="102" ht="105" customHeight="1">
      <x:c r="A102" s="4" t="str">
        <x:f>IFERROR(INDEX('Material routes'!$E$6:$E$1005,MATCH(U102,'Material routes'!$A$6:$A$1005,0)),"MISSING ID")</x:f>
        <x:v>Crushed fired ceramic grit</x:v>
      </x:c>
      <x:c r="B102" s="4" t="str">
        <x:f>IFERROR(INDEX('Material routes'!$F$6:$F$1005,MATCH(U102,'Material routes'!$A$6:$A$1005,0)),"MISSING ID")</x:f>
        <x:v>T1</x:v>
      </x:c>
      <x:c r="C102" s="4" t="str">
        <x:f>IFERROR(INDEX('Material routes'!$H$6:$H$1005,MATCH(U102,'Material routes'!$A$6:$A$1005,0)),"MISSING ID")</x:f>
        <x:v>Processed material</x:v>
      </x:c>
      <x:c r="D102" s="4" t="str">
        <x:f>IFERROR(INDEX('Material routes'!$G$6:$G$1005,MATCH(U102,'Material routes'!$A$6:$A$1005,0)),"MISSING ID")</x:f>
        <x:v>Resources</x:v>
      </x:c>
      <x:c r="E102" s="4" t="str">
        <x:f>IFERROR(INDEX('Material routes'!$C$6:$C$1005,MATCH(U102,'Material routes'!$A$6:$A$1005,0)),"MISSING ID")</x:f>
        <x:v>Ingredient candidate</x:v>
      </x:c>
      <x:c r="F102" s="4" t="str">
        <x:f>IFERROR(INDEX('Material routes'!$E$6:$E$1005,MATCH(V102,'Material routes'!$A$6:$A$1005,0)),"MISSING ID")</x:f>
        <x:v>Refractory ceramic stock</x:v>
      </x:c>
      <x:c r="G102" s="4" t="str">
        <x:f>IFERROR(INDEX('Material routes'!$F$6:$F$1005,MATCH(V102,'Material routes'!$A$6:$A$1005,0)),"MISSING ID")</x:f>
        <x:v>T2</x:v>
      </x:c>
      <x:c r="H102" s="4" t="str">
        <x:f>IFERROR(INDEX('Material routes'!$H$6:$H$1005,MATCH(V102,'Material routes'!$A$6:$A$1005,0)),"MISSING ID")</x:f>
        <x:v>Processed material</x:v>
      </x:c>
      <x:c r="I102" s="4" t="str">
        <x:f>IFERROR(INDEX('Material routes'!$G$6:$G$1005,MATCH(V102,'Material routes'!$A$6:$A$1005,0)),"MISSING ID")</x:f>
        <x:v>Resources</x:v>
      </x:c>
      <x:c r="J102" s="4" t="str">
        <x:f>IFERROR(INDEX('Material routes'!$B$6:$B$1005,MATCH(U102,'Material routes'!$A$6:$A$1005,0)),"MISSING ID")</x:f>
        <x:v>design.branch.branch.refractory_ceramic</x:v>
      </x:c>
      <x:c r="K102" s="4" t="str">
        <x:f>IFERROR(INDEX('Crafting recipes'!$C$6:$C$1005,MATCH(J102,'Crafting recipes'!$A$6:$A$1005,0)),"MISSING ID")</x:f>
        <x:v>Material refinement</x:v>
      </x:c>
      <x:c r="L102" s="4" t="str">
        <x:f>IFERROR(INDEX('Material routes'!$K$6:$K$1005,MATCH(U102,'Material routes'!$A$6:$A$1005,0)),"MISSING ID")</x:f>
        <x:v>Proposal</x:v>
      </x:c>
      <x:c r="M102" s="4" t="str">
        <x:f>IFERROR(INDEX('Material routes'!$M$6:$M$1005,MATCH(U102,'Material routes'!$A$6:$A$1005,0)),"MISSING ID")</x:f>
        <x:v>Partial proposal</x:v>
      </x:c>
      <x:c r="N102" s="4" t="str">
        <x:f>IF(IFERROR(INDEX('Material routes'!$I$6:$I$1005,MATCH(U102,'Material routes'!$A$6:$A$1005,0)),"MISSING ID")=0,"",IFERROR(INDEX('Material routes'!$I$6:$I$1005,MATCH(U102,'Material routes'!$A$6:$A$1005,0)),"MISSING ID"))</x:f>
      </x:c>
      <x:c r="O102" s="4" t="str">
        <x:f>IFERROR(INDEX('Material routes'!$J$6:$J$1005,MATCH(U102,'Material routes'!$A$6:$A$1005,0)),"MISSING ID")</x:f>
        <x:v>Unspecified</x:v>
      </x:c>
      <x:c r="P102" s="4" t="str">
        <x:f>IF(IFERROR(INDEX('Material routes'!$I$6:$I$1005,MATCH(V102,'Material routes'!$A$6:$A$1005,0)),"MISSING ID")=0,"",IFERROR(INDEX('Material routes'!$I$6:$I$1005,MATCH(V102,'Material routes'!$A$6:$A$1005,0)),"MISSING ID"))</x:f>
      </x:c>
      <x:c r="Q102" s="4" t="str">
        <x:f>IFERROR(INDEX('Material routes'!$J$6:$J$1005,MATCH(V102,'Material routes'!$A$6:$A$1005,0)),"MISSING ID")</x:f>
        <x:v>Unspecified</x:v>
      </x:c>
      <x:c r="R102" s="4" t="str">
        <x:f>IF(L102="Withheld","Withheld premise",IF(E102="Tool candidate","Reusable prerequisite",IF(K102="Raw entry preparation","Entry-resource preparation",IF(G102="Not applicable","Finished endpoint",IF(OR(IFERROR(INDEX('Crafting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routes'!$D$6:$D$1005,MATCH(U102,'Material routes'!$A$6:$A$1005,0)),"MISSING ID")</x:f>
        <x:v>proposal.ceramic.grog</x:v>
      </x:c>
      <x:c r="T102" s="4" t="str">
        <x:f>IFERROR(INDEX('Material routes'!$D$6:$D$1005,MATCH(V102,'Material routes'!$A$6:$A$1005,0)),"MISSING ID")</x:f>
        <x:v>proposal.branch.refractory_ceramic</x:v>
      </x:c>
      <x:c r="U102" s="4" t="str">
        <x:v>design.branch.branch.refractory_ceramic.in.2</x:v>
      </x:c>
      <x:c r="V102" s="4" t="str">
        <x:v>design.branch.branch.refractory_ceramic.out</x:v>
      </x:c>
    </x:row>
    <x:row r="103" ht="105" customHeight="1">
      <x:c r="A103" s="4" t="str">
        <x:f>IFERROR(INDEX('Material routes'!$E$6:$E$1005,MATCH(U103,'Material routes'!$A$6:$A$1005,0)),"MISSING ID")</x:f>
        <x:v>Calcined mineral binder</x:v>
      </x:c>
      <x:c r="B103" s="4" t="str">
        <x:f>IFERROR(INDEX('Material routes'!$F$6:$F$1005,MATCH(U103,'Material routes'!$A$6:$A$1005,0)),"MISSING ID")</x:f>
        <x:v>T1</x:v>
      </x:c>
      <x:c r="C103" s="4" t="str">
        <x:f>IFERROR(INDEX('Material routes'!$H$6:$H$1005,MATCH(U103,'Material routes'!$A$6:$A$1005,0)),"MISSING ID")</x:f>
        <x:v>Processed material</x:v>
      </x:c>
      <x:c r="D103" s="4" t="str">
        <x:f>IFERROR(INDEX('Material routes'!$G$6:$G$1005,MATCH(U103,'Material routes'!$A$6:$A$1005,0)),"MISSING ID")</x:f>
        <x:v>Resources</x:v>
      </x:c>
      <x:c r="E103" s="4" t="str">
        <x:f>IFERROR(INDEX('Material routes'!$C$6:$C$1005,MATCH(U103,'Material routes'!$A$6:$A$1005,0)),"MISSING ID")</x:f>
        <x:v>Ingredient candidate</x:v>
      </x:c>
      <x:c r="F103" s="4" t="str">
        <x:f>IFERROR(INDEX('Material routes'!$E$6:$E$1005,MATCH(V103,'Material routes'!$A$6:$A$1005,0)),"MISSING ID")</x:f>
        <x:v>Refractory ceramic stock</x:v>
      </x:c>
      <x:c r="G103" s="4" t="str">
        <x:f>IFERROR(INDEX('Material routes'!$F$6:$F$1005,MATCH(V103,'Material routes'!$A$6:$A$1005,0)),"MISSING ID")</x:f>
        <x:v>T2</x:v>
      </x:c>
      <x:c r="H103" s="4" t="str">
        <x:f>IFERROR(INDEX('Material routes'!$H$6:$H$1005,MATCH(V103,'Material routes'!$A$6:$A$1005,0)),"MISSING ID")</x:f>
        <x:v>Processed material</x:v>
      </x:c>
      <x:c r="I103" s="4" t="str">
        <x:f>IFERROR(INDEX('Material routes'!$G$6:$G$1005,MATCH(V103,'Material routes'!$A$6:$A$1005,0)),"MISSING ID")</x:f>
        <x:v>Resources</x:v>
      </x:c>
      <x:c r="J103" s="4" t="str">
        <x:f>IFERROR(INDEX('Material routes'!$B$6:$B$1005,MATCH(U103,'Material routes'!$A$6:$A$1005,0)),"MISSING ID")</x:f>
        <x:v>design.branch.branch.refractory_ceramic</x:v>
      </x:c>
      <x:c r="K103" s="4" t="str">
        <x:f>IFERROR(INDEX('Crafting recipes'!$C$6:$C$1005,MATCH(J103,'Crafting recipes'!$A$6:$A$1005,0)),"MISSING ID")</x:f>
        <x:v>Material refinement</x:v>
      </x:c>
      <x:c r="L103" s="4" t="str">
        <x:f>IFERROR(INDEX('Material routes'!$K$6:$K$1005,MATCH(U103,'Material routes'!$A$6:$A$1005,0)),"MISSING ID")</x:f>
        <x:v>Proposal</x:v>
      </x:c>
      <x:c r="M103" s="4" t="str">
        <x:f>IFERROR(INDEX('Material routes'!$M$6:$M$1005,MATCH(U103,'Material routes'!$A$6:$A$1005,0)),"MISSING ID")</x:f>
        <x:v>Partial proposal</x:v>
      </x:c>
      <x:c r="N103" s="4" t="str">
        <x:f>IF(IFERROR(INDEX('Material routes'!$I$6:$I$1005,MATCH(U103,'Material routes'!$A$6:$A$1005,0)),"MISSING ID")=0,"",IFERROR(INDEX('Material routes'!$I$6:$I$1005,MATCH(U103,'Material routes'!$A$6:$A$1005,0)),"MISSING ID"))</x:f>
      </x:c>
      <x:c r="O103" s="4" t="str">
        <x:f>IFERROR(INDEX('Material routes'!$J$6:$J$1005,MATCH(U103,'Material routes'!$A$6:$A$1005,0)),"MISSING ID")</x:f>
        <x:v>Unspecified</x:v>
      </x:c>
      <x:c r="P103" s="4" t="str">
        <x:f>IF(IFERROR(INDEX('Material routes'!$I$6:$I$1005,MATCH(V103,'Material routes'!$A$6:$A$1005,0)),"MISSING ID")=0,"",IFERROR(INDEX('Material routes'!$I$6:$I$1005,MATCH(V103,'Material routes'!$A$6:$A$1005,0)),"MISSING ID"))</x:f>
      </x:c>
      <x:c r="Q103" s="4" t="str">
        <x:f>IFERROR(INDEX('Material routes'!$J$6:$J$1005,MATCH(V103,'Material routes'!$A$6:$A$1005,0)),"MISSING ID")</x:f>
        <x:v>Unspecified</x:v>
      </x:c>
      <x:c r="R103" s="4" t="str">
        <x:f>IF(L103="Withheld","Withheld premise",IF(E103="Tool candidate","Reusable prerequisite",IF(K103="Raw entry preparation","Entry-resource preparation",IF(G103="Not applicable","Finished endpoint",IF(OR(IFERROR(INDEX('Crafting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routes'!$D$6:$D$1005,MATCH(U103,'Material routes'!$A$6:$A$1005,0)),"MISSING ID")</x:f>
        <x:v>proposal.natural.lime</x:v>
      </x:c>
      <x:c r="T103" s="4" t="str">
        <x:f>IFERROR(INDEX('Material routes'!$D$6:$D$1005,MATCH(V103,'Material routes'!$A$6:$A$1005,0)),"MISSING ID")</x:f>
        <x:v>proposal.branch.refractory_ceramic</x:v>
      </x:c>
      <x:c r="U103" s="4" t="str">
        <x:v>design.branch.branch.refractory_ceramic.in.3</x:v>
      </x:c>
      <x:c r="V103" s="4" t="str">
        <x:v>design.branch.branch.refractory_ceramic.out</x:v>
      </x:c>
    </x:row>
    <x:row r="104" ht="105" customHeight="1">
      <x:c r="A104" s="4" t="str">
        <x:f>IFERROR(INDEX('Material routes'!$E$6:$E$1005,MATCH(U104,'Material routes'!$A$6:$A$1005,0)),"MISSING ID")</x:f>
        <x:v>Opaque mineral-glass stock</x:v>
      </x:c>
      <x:c r="B104" s="4" t="str">
        <x:f>IFERROR(INDEX('Material routes'!$F$6:$F$1005,MATCH(U104,'Material routes'!$A$6:$A$1005,0)),"MISSING ID")</x:f>
        <x:v>T1</x:v>
      </x:c>
      <x:c r="C104" s="4" t="str">
        <x:f>IFERROR(INDEX('Material routes'!$H$6:$H$1005,MATCH(U104,'Material routes'!$A$6:$A$1005,0)),"MISSING ID")</x:f>
        <x:v>Processed material</x:v>
      </x:c>
      <x:c r="D104" s="4" t="str">
        <x:f>IFERROR(INDEX('Material routes'!$G$6:$G$1005,MATCH(U104,'Material routes'!$A$6:$A$1005,0)),"MISSING ID")</x:f>
        <x:v>Resources</x:v>
      </x:c>
      <x:c r="E104" s="4" t="str">
        <x:f>IFERROR(INDEX('Material routes'!$C$6:$C$1005,MATCH(U104,'Material routes'!$A$6:$A$1005,0)),"MISSING ID")</x:f>
        <x:v>Ingredient candidate</x:v>
      </x:c>
      <x:c r="F104" s="4" t="str">
        <x:f>IFERROR(INDEX('Material routes'!$E$6:$E$1005,MATCH(V104,'Material routes'!$A$6:$A$1005,0)),"MISSING ID")</x:f>
        <x:v>Formed opaque glass sheet</x:v>
      </x:c>
      <x:c r="G104" s="4" t="str">
        <x:f>IFERROR(INDEX('Material routes'!$F$6:$F$1005,MATCH(V104,'Material routes'!$A$6:$A$1005,0)),"MISSING ID")</x:f>
        <x:v>T2</x:v>
      </x:c>
      <x:c r="H104" s="4" t="str">
        <x:f>IFERROR(INDEX('Material routes'!$H$6:$H$1005,MATCH(V104,'Material routes'!$A$6:$A$1005,0)),"MISSING ID")</x:f>
        <x:v>Processed material</x:v>
      </x:c>
      <x:c r="I104" s="4" t="str">
        <x:f>IFERROR(INDEX('Material routes'!$G$6:$G$1005,MATCH(V104,'Material routes'!$A$6:$A$1005,0)),"MISSING ID")</x:f>
        <x:v>Resources</x:v>
      </x:c>
      <x:c r="J104" s="4" t="str">
        <x:f>IFERROR(INDEX('Material routes'!$B$6:$B$1005,MATCH(U104,'Material routes'!$A$6:$A$1005,0)),"MISSING ID")</x:f>
        <x:v>design.branch.branch.opaque_sheet</x:v>
      </x:c>
      <x:c r="K104" s="4" t="str">
        <x:f>IFERROR(INDEX('Crafting recipes'!$C$6:$C$1005,MATCH(J104,'Crafting recipes'!$A$6:$A$1005,0)),"MISSING ID")</x:f>
        <x:v>Material refinement</x:v>
      </x:c>
      <x:c r="L104" s="4" t="str">
        <x:f>IFERROR(INDEX('Material routes'!$K$6:$K$1005,MATCH(U104,'Material routes'!$A$6:$A$1005,0)),"MISSING ID")</x:f>
        <x:v>Proposal</x:v>
      </x:c>
      <x:c r="M104" s="4" t="str">
        <x:f>IFERROR(INDEX('Material routes'!$M$6:$M$1005,MATCH(U104,'Material routes'!$A$6:$A$1005,0)),"MISSING ID")</x:f>
        <x:v>Partial proposal</x:v>
      </x:c>
      <x:c r="N104" s="4" t="str">
        <x:f>IF(IFERROR(INDEX('Material routes'!$I$6:$I$1005,MATCH(U104,'Material routes'!$A$6:$A$1005,0)),"MISSING ID")=0,"",IFERROR(INDEX('Material routes'!$I$6:$I$1005,MATCH(U104,'Material routes'!$A$6:$A$1005,0)),"MISSING ID"))</x:f>
      </x:c>
      <x:c r="O104" s="4" t="str">
        <x:f>IFERROR(INDEX('Material routes'!$J$6:$J$1005,MATCH(U104,'Material routes'!$A$6:$A$1005,0)),"MISSING ID")</x:f>
        <x:v>Unspecified</x:v>
      </x:c>
      <x:c r="P104" s="4" t="str">
        <x:f>IF(IFERROR(INDEX('Material routes'!$I$6:$I$1005,MATCH(V104,'Material routes'!$A$6:$A$1005,0)),"MISSING ID")=0,"",IFERROR(INDEX('Material routes'!$I$6:$I$1005,MATCH(V104,'Material routes'!$A$6:$A$1005,0)),"MISSING ID"))</x:f>
      </x:c>
      <x:c r="Q104" s="4" t="str">
        <x:f>IFERROR(INDEX('Material routes'!$J$6:$J$1005,MATCH(V104,'Material routes'!$A$6:$A$1005,0)),"MISSING ID")</x:f>
        <x:v>Unspecified</x:v>
      </x:c>
      <x:c r="R104" s="4" t="str">
        <x:f>IF(L104="Withheld","Withheld premise",IF(E104="Tool candidate","Reusable prerequisite",IF(K104="Raw entry preparation","Entry-resource preparation",IF(G104="Not applicable","Finished endpoint",IF(OR(IFERROR(INDEX('Crafting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routes'!$D$6:$D$1005,MATCH(U104,'Material routes'!$A$6:$A$1005,0)),"MISSING ID")</x:f>
        <x:v>proposal.t1.opaque_glass</x:v>
      </x:c>
      <x:c r="T104" s="4" t="str">
        <x:f>IFERROR(INDEX('Material routes'!$D$6:$D$1005,MATCH(V104,'Material routes'!$A$6:$A$1005,0)),"MISSING ID")</x:f>
        <x:v>proposal.branch.opaque_sheet</x:v>
      </x:c>
      <x:c r="U104" s="4" t="str">
        <x:v>design.branch.branch.opaque_sheet.in.1</x:v>
      </x:c>
      <x:c r="V104" s="4" t="str">
        <x:v>design.branch.branch.opaque_sheet.out</x:v>
      </x:c>
    </x:row>
    <x:row r="105" ht="105" customHeight="1">
      <x:c r="A105" s="4" t="str">
        <x:f>IFERROR(INDEX('Material routes'!$E$6:$E$1005,MATCH(U105,'Material routes'!$A$6:$A$1005,0)),"MISSING ID")</x:f>
        <x:v>Rough clear-glass blank</x:v>
      </x:c>
      <x:c r="B105" s="4" t="str">
        <x:f>IFERROR(INDEX('Material routes'!$F$6:$F$1005,MATCH(U105,'Material routes'!$A$6:$A$1005,0)),"MISSING ID")</x:f>
        <x:v>T1</x:v>
      </x:c>
      <x:c r="C105" s="4" t="str">
        <x:f>IFERROR(INDEX('Material routes'!$H$6:$H$1005,MATCH(U105,'Material routes'!$A$6:$A$1005,0)),"MISSING ID")</x:f>
        <x:v>Processed material</x:v>
      </x:c>
      <x:c r="D105" s="4" t="str">
        <x:f>IFERROR(INDEX('Material routes'!$G$6:$G$1005,MATCH(U105,'Material routes'!$A$6:$A$1005,0)),"MISSING ID")</x:f>
        <x:v>Resources</x:v>
      </x:c>
      <x:c r="E105" s="4" t="str">
        <x:f>IFERROR(INDEX('Material routes'!$C$6:$C$1005,MATCH(U105,'Material routes'!$A$6:$A$1005,0)),"MISSING ID")</x:f>
        <x:v>Ingredient candidate</x:v>
      </x:c>
      <x:c r="F105" s="4" t="str">
        <x:f>IFERROR(INDEX('Material routes'!$E$6:$E$1005,MATCH(V105,'Material routes'!$A$6:$A$1005,0)),"MISSING ID")</x:f>
        <x:v>Selected viewing-glass stock</x:v>
      </x:c>
      <x:c r="G105" s="4" t="str">
        <x:f>IFERROR(INDEX('Material routes'!$F$6:$F$1005,MATCH(V105,'Material routes'!$A$6:$A$1005,0)),"MISSING ID")</x:f>
        <x:v>T2</x:v>
      </x:c>
      <x:c r="H105" s="4" t="str">
        <x:f>IFERROR(INDEX('Material routes'!$H$6:$H$1005,MATCH(V105,'Material routes'!$A$6:$A$1005,0)),"MISSING ID")</x:f>
        <x:v>Processed material</x:v>
      </x:c>
      <x:c r="I105" s="4" t="str">
        <x:f>IFERROR(INDEX('Material routes'!$G$6:$G$1005,MATCH(V105,'Material routes'!$A$6:$A$1005,0)),"MISSING ID")</x:f>
        <x:v>Resources</x:v>
      </x:c>
      <x:c r="J105" s="4" t="str">
        <x:f>IFERROR(INDEX('Material routes'!$B$6:$B$1005,MATCH(U105,'Material routes'!$A$6:$A$1005,0)),"MISSING ID")</x:f>
        <x:v>design.branch.branch.viewing_glass</x:v>
      </x:c>
      <x:c r="K105" s="4" t="str">
        <x:f>IFERROR(INDEX('Crafting recipes'!$C$6:$C$1005,MATCH(J105,'Crafting recipes'!$A$6:$A$1005,0)),"MISSING ID")</x:f>
        <x:v>Material refinement</x:v>
      </x:c>
      <x:c r="L105" s="4" t="str">
        <x:f>IFERROR(INDEX('Material routes'!$K$6:$K$1005,MATCH(U105,'Material routes'!$A$6:$A$1005,0)),"MISSING ID")</x:f>
        <x:v>Proposal</x:v>
      </x:c>
      <x:c r="M105" s="4" t="str">
        <x:f>IFERROR(INDEX('Material routes'!$M$6:$M$1005,MATCH(U105,'Material routes'!$A$6:$A$1005,0)),"MISSING ID")</x:f>
        <x:v>Partial proposal</x:v>
      </x:c>
      <x:c r="N105" s="4" t="str">
        <x:f>IF(IFERROR(INDEX('Material routes'!$I$6:$I$1005,MATCH(U105,'Material routes'!$A$6:$A$1005,0)),"MISSING ID")=0,"",IFERROR(INDEX('Material routes'!$I$6:$I$1005,MATCH(U105,'Material routes'!$A$6:$A$1005,0)),"MISSING ID"))</x:f>
      </x:c>
      <x:c r="O105" s="4" t="str">
        <x:f>IFERROR(INDEX('Material routes'!$J$6:$J$1005,MATCH(U105,'Material routes'!$A$6:$A$1005,0)),"MISSING ID")</x:f>
        <x:v>Unspecified</x:v>
      </x:c>
      <x:c r="P105" s="4" t="str">
        <x:f>IF(IFERROR(INDEX('Material routes'!$I$6:$I$1005,MATCH(V105,'Material routes'!$A$6:$A$1005,0)),"MISSING ID")=0,"",IFERROR(INDEX('Material routes'!$I$6:$I$1005,MATCH(V105,'Material routes'!$A$6:$A$1005,0)),"MISSING ID"))</x:f>
      </x:c>
      <x:c r="Q105" s="4" t="str">
        <x:f>IFERROR(INDEX('Material routes'!$J$6:$J$1005,MATCH(V105,'Material routes'!$A$6:$A$1005,0)),"MISSING ID")</x:f>
        <x:v>Unspecified</x:v>
      </x:c>
      <x:c r="R105" s="4" t="str">
        <x:f>IF(L105="Withheld","Withheld premise",IF(E105="Tool candidate","Reusable prerequisite",IF(K105="Raw entry preparation","Entry-resource preparation",IF(G105="Not applicable","Finished endpoint",IF(OR(IFERROR(INDEX('Crafting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routes'!$D$6:$D$1005,MATCH(U105,'Material routes'!$A$6:$A$1005,0)),"MISSING ID")</x:f>
        <x:v>proposal.t1.clear_glass_blank</x:v>
      </x:c>
      <x:c r="T105" s="4" t="str">
        <x:f>IFERROR(INDEX('Material routes'!$D$6:$D$1005,MATCH(V105,'Material routes'!$A$6:$A$1005,0)),"MISSING ID")</x:f>
        <x:v>proposal.branch.viewing_glass</x:v>
      </x:c>
      <x:c r="U105" s="4" t="str">
        <x:v>design.branch.branch.viewing_glass.in.1</x:v>
      </x:c>
      <x:c r="V105" s="4" t="str">
        <x:v>design.branch.branch.viewing_glass.out</x:v>
      </x:c>
    </x:row>
    <x:row r="106" ht="105" customHeight="1">
      <x:c r="A106" s="4" t="str">
        <x:f>IFERROR(INDEX('Material routes'!$E$6:$E$1005,MATCH(U106,'Material routes'!$A$6:$A$1005,0)),"MISSING ID")</x:f>
        <x:v>Pressed husk-fiber textile material</x:v>
      </x:c>
      <x:c r="B106" s="4" t="str">
        <x:f>IFERROR(INDEX('Material routes'!$F$6:$F$1005,MATCH(U106,'Material routes'!$A$6:$A$1005,0)),"MISSING ID")</x:f>
        <x:v>T1</x:v>
      </x:c>
      <x:c r="C106" s="4" t="str">
        <x:f>IFERROR(INDEX('Material routes'!$H$6:$H$1005,MATCH(U106,'Material routes'!$A$6:$A$1005,0)),"MISSING ID")</x:f>
        <x:v>Processed material</x:v>
      </x:c>
      <x:c r="D106" s="4" t="str">
        <x:f>IFERROR(INDEX('Material routes'!$G$6:$G$1005,MATCH(U106,'Material routes'!$A$6:$A$1005,0)),"MISSING ID")</x:f>
        <x:v>Crafting components</x:v>
      </x:c>
      <x:c r="E106" s="4" t="str">
        <x:f>IFERROR(INDEX('Material routes'!$C$6:$C$1005,MATCH(U106,'Material routes'!$A$6:$A$1005,0)),"MISSING ID")</x:f>
        <x:v>Ingredient candidate</x:v>
      </x:c>
      <x:c r="F106" s="4" t="str">
        <x:f>IFERROR(INDEX('Material routes'!$E$6:$E$1005,MATCH(V106,'Material routes'!$A$6:$A$1005,0)),"MISSING ID")</x:f>
        <x:v>Bonded husk sheet</x:v>
      </x:c>
      <x:c r="G106" s="4" t="str">
        <x:f>IFERROR(INDEX('Material routes'!$F$6:$F$1005,MATCH(V106,'Material routes'!$A$6:$A$1005,0)),"MISSING ID")</x:f>
        <x:v>T2</x:v>
      </x:c>
      <x:c r="H106" s="4" t="str">
        <x:f>IFERROR(INDEX('Material routes'!$H$6:$H$1005,MATCH(V106,'Material routes'!$A$6:$A$1005,0)),"MISSING ID")</x:f>
        <x:v>Processed material</x:v>
      </x:c>
      <x:c r="I106" s="4" t="str">
        <x:f>IFERROR(INDEX('Material routes'!$G$6:$G$1005,MATCH(V106,'Material routes'!$A$6:$A$1005,0)),"MISSING ID")</x:f>
        <x:v>Resources</x:v>
      </x:c>
      <x:c r="J106" s="4" t="str">
        <x:f>IFERROR(INDEX('Material routes'!$B$6:$B$1005,MATCH(U106,'Material routes'!$A$6:$A$1005,0)),"MISSING ID")</x:f>
        <x:v>design.branch.branch.husk_sheet</x:v>
      </x:c>
      <x:c r="K106" s="4" t="str">
        <x:f>IFERROR(INDEX('Crafting recipes'!$C$6:$C$1005,MATCH(J106,'Crafting recipes'!$A$6:$A$1005,0)),"MISSING ID")</x:f>
        <x:v>Material refinement</x:v>
      </x:c>
      <x:c r="L106" s="4" t="str">
        <x:f>IFERROR(INDEX('Material routes'!$K$6:$K$1005,MATCH(U106,'Material routes'!$A$6:$A$1005,0)),"MISSING ID")</x:f>
        <x:v>Proposal</x:v>
      </x:c>
      <x:c r="M106" s="4" t="str">
        <x:f>IFERROR(INDEX('Material routes'!$M$6:$M$1005,MATCH(U106,'Material routes'!$A$6:$A$1005,0)),"MISSING ID")</x:f>
        <x:v>Partial proposal</x:v>
      </x:c>
      <x:c r="N106" s="4" t="str">
        <x:f>IF(IFERROR(INDEX('Material routes'!$I$6:$I$1005,MATCH(U106,'Material routes'!$A$6:$A$1005,0)),"MISSING ID")=0,"",IFERROR(INDEX('Material routes'!$I$6:$I$1005,MATCH(U106,'Material routes'!$A$6:$A$1005,0)),"MISSING ID"))</x:f>
      </x:c>
      <x:c r="O106" s="4" t="str">
        <x:f>IFERROR(INDEX('Material routes'!$J$6:$J$1005,MATCH(U106,'Material routes'!$A$6:$A$1005,0)),"MISSING ID")</x:f>
        <x:v>Unspecified</x:v>
      </x:c>
      <x:c r="P106" s="4" t="str">
        <x:f>IF(IFERROR(INDEX('Material routes'!$I$6:$I$1005,MATCH(V106,'Material routes'!$A$6:$A$1005,0)),"MISSING ID")=0,"",IFERROR(INDEX('Material routes'!$I$6:$I$1005,MATCH(V106,'Material routes'!$A$6:$A$1005,0)),"MISSING ID"))</x:f>
      </x:c>
      <x:c r="Q106" s="4" t="str">
        <x:f>IFERROR(INDEX('Material routes'!$J$6:$J$1005,MATCH(V106,'Material routes'!$A$6:$A$1005,0)),"MISSING ID")</x:f>
        <x:v>Unspecified</x:v>
      </x:c>
      <x:c r="R106" s="4" t="str">
        <x:f>IF(L106="Withheld","Withheld premise",IF(E106="Tool candidate","Reusable prerequisite",IF(K106="Raw entry preparation","Entry-resource preparation",IF(G106="Not applicable","Finished endpoint",IF(OR(IFERROR(INDEX('Crafting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routes'!$D$6:$D$1005,MATCH(U106,'Material routes'!$A$6:$A$1005,0)),"MISSING ID")</x:f>
        <x:v>proposal.bio.pressed_husk</x:v>
      </x:c>
      <x:c r="T106" s="4" t="str">
        <x:f>IFERROR(INDEX('Material routes'!$D$6:$D$1005,MATCH(V106,'Material routes'!$A$6:$A$1005,0)),"MISSING ID")</x:f>
        <x:v>proposal.branch.husk_sheet</x:v>
      </x:c>
      <x:c r="U106" s="4" t="str">
        <x:v>design.branch.branch.husk_sheet.in.1</x:v>
      </x:c>
      <x:c r="V106" s="4" t="str">
        <x:v>design.branch.branch.husk_sheet.out</x:v>
      </x:c>
    </x:row>
    <x:row r="107" ht="105" customHeight="1">
      <x:c r="A107" s="4" t="str">
        <x:f>IFERROR(INDEX('Material routes'!$E$6:$E$1005,MATCH(U107,'Material routes'!$A$6:$A$1005,0)),"MISSING ID")</x:f>
        <x:v>Prepared shell-binding adhesive</x:v>
      </x:c>
      <x:c r="B107" s="4" t="str">
        <x:f>IFERROR(INDEX('Material routes'!$F$6:$F$1005,MATCH(U107,'Material routes'!$A$6:$A$1005,0)),"MISSING ID")</x:f>
        <x:v>T1</x:v>
      </x:c>
      <x:c r="C107" s="4" t="str">
        <x:f>IFERROR(INDEX('Material routes'!$H$6:$H$1005,MATCH(U107,'Material routes'!$A$6:$A$1005,0)),"MISSING ID")</x:f>
        <x:v>Chemical material</x:v>
      </x:c>
      <x:c r="D107" s="4" t="str">
        <x:f>IFERROR(INDEX('Material routes'!$G$6:$G$1005,MATCH(U107,'Material routes'!$A$6:$A$1005,0)),"MISSING ID")</x:f>
        <x:v>Resources</x:v>
      </x:c>
      <x:c r="E107" s="4" t="str">
        <x:f>IFERROR(INDEX('Material routes'!$C$6:$C$1005,MATCH(U107,'Material routes'!$A$6:$A$1005,0)),"MISSING ID")</x:f>
        <x:v>Ingredient candidate</x:v>
      </x:c>
      <x:c r="F107" s="4" t="str">
        <x:f>IFERROR(INDEX('Material routes'!$E$6:$E$1005,MATCH(V107,'Material routes'!$A$6:$A$1005,0)),"MISSING ID")</x:f>
        <x:v>Bonded husk sheet</x:v>
      </x:c>
      <x:c r="G107" s="4" t="str">
        <x:f>IFERROR(INDEX('Material routes'!$F$6:$F$1005,MATCH(V107,'Material routes'!$A$6:$A$1005,0)),"MISSING ID")</x:f>
        <x:v>T2</x:v>
      </x:c>
      <x:c r="H107" s="4" t="str">
        <x:f>IFERROR(INDEX('Material routes'!$H$6:$H$1005,MATCH(V107,'Material routes'!$A$6:$A$1005,0)),"MISSING ID")</x:f>
        <x:v>Processed material</x:v>
      </x:c>
      <x:c r="I107" s="4" t="str">
        <x:f>IFERROR(INDEX('Material routes'!$G$6:$G$1005,MATCH(V107,'Material routes'!$A$6:$A$1005,0)),"MISSING ID")</x:f>
        <x:v>Resources</x:v>
      </x:c>
      <x:c r="J107" s="4" t="str">
        <x:f>IFERROR(INDEX('Material routes'!$B$6:$B$1005,MATCH(U107,'Material routes'!$A$6:$A$1005,0)),"MISSING ID")</x:f>
        <x:v>design.branch.branch.husk_sheet</x:v>
      </x:c>
      <x:c r="K107" s="4" t="str">
        <x:f>IFERROR(INDEX('Crafting recipes'!$C$6:$C$1005,MATCH(J107,'Crafting recipes'!$A$6:$A$1005,0)),"MISSING ID")</x:f>
        <x:v>Material refinement</x:v>
      </x:c>
      <x:c r="L107" s="4" t="str">
        <x:f>IFERROR(INDEX('Material routes'!$K$6:$K$1005,MATCH(U107,'Material routes'!$A$6:$A$1005,0)),"MISSING ID")</x:f>
        <x:v>Proposal</x:v>
      </x:c>
      <x:c r="M107" s="4" t="str">
        <x:f>IFERROR(INDEX('Material routes'!$M$6:$M$1005,MATCH(U107,'Material routes'!$A$6:$A$1005,0)),"MISSING ID")</x:f>
        <x:v>Partial proposal</x:v>
      </x:c>
      <x:c r="N107" s="4" t="str">
        <x:f>IF(IFERROR(INDEX('Material routes'!$I$6:$I$1005,MATCH(U107,'Material routes'!$A$6:$A$1005,0)),"MISSING ID")=0,"",IFERROR(INDEX('Material routes'!$I$6:$I$1005,MATCH(U107,'Material routes'!$A$6:$A$1005,0)),"MISSING ID"))</x:f>
      </x:c>
      <x:c r="O107" s="4" t="str">
        <x:f>IFERROR(INDEX('Material routes'!$J$6:$J$1005,MATCH(U107,'Material routes'!$A$6:$A$1005,0)),"MISSING ID")</x:f>
        <x:v>Unspecified</x:v>
      </x:c>
      <x:c r="P107" s="4" t="str">
        <x:f>IF(IFERROR(INDEX('Material routes'!$I$6:$I$1005,MATCH(V107,'Material routes'!$A$6:$A$1005,0)),"MISSING ID")=0,"",IFERROR(INDEX('Material routes'!$I$6:$I$1005,MATCH(V107,'Material routes'!$A$6:$A$1005,0)),"MISSING ID"))</x:f>
      </x:c>
      <x:c r="Q107" s="4" t="str">
        <x:f>IFERROR(INDEX('Material routes'!$J$6:$J$1005,MATCH(V107,'Material routes'!$A$6:$A$1005,0)),"MISSING ID")</x:f>
        <x:v>Unspecified</x:v>
      </x:c>
      <x:c r="R107" s="4" t="str">
        <x:f>IF(L107="Withheld","Withheld premise",IF(E107="Tool candidate","Reusable prerequisite",IF(K107="Raw entry preparation","Entry-resource preparation",IF(G107="Not applicable","Finished endpoint",IF(OR(IFERROR(INDEX('Crafting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routes'!$D$6:$D$1005,MATCH(U107,'Material routes'!$A$6:$A$1005,0)),"MISSING ID")</x:f>
        <x:v>proposal.t1.shell_adhesive</x:v>
      </x:c>
      <x:c r="T107" s="4" t="str">
        <x:f>IFERROR(INDEX('Material routes'!$D$6:$D$1005,MATCH(V107,'Material routes'!$A$6:$A$1005,0)),"MISSING ID")</x:f>
        <x:v>proposal.branch.husk_sheet</x:v>
      </x:c>
      <x:c r="U107" s="4" t="str">
        <x:v>design.branch.branch.husk_sheet.in.2</x:v>
      </x:c>
      <x:c r="V107" s="4" t="str">
        <x:v>design.branch.branch.husk_sheet.out</x:v>
      </x:c>
    </x:row>
    <x:row r="108" ht="105" customHeight="1">
      <x:c r="A108" s="4" t="str">
        <x:f>IFERROR(INDEX('Material routes'!$E$6:$E$1005,MATCH(U108,'Material routes'!$A$6:$A$1005,0)),"MISSING ID")</x:f>
        <x:v>Prepared insect-wing sail panel</x:v>
      </x:c>
      <x:c r="B108" s="4" t="str">
        <x:f>IFERROR(INDEX('Material routes'!$F$6:$F$1005,MATCH(U108,'Material routes'!$A$6:$A$1005,0)),"MISSING ID")</x:f>
        <x:v>T1</x:v>
      </x:c>
      <x:c r="C108" s="4" t="str">
        <x:f>IFERROR(INDEX('Material routes'!$H$6:$H$1005,MATCH(U108,'Material routes'!$A$6:$A$1005,0)),"MISSING ID")</x:f>
        <x:v>Crafting component</x:v>
      </x:c>
      <x:c r="D108" s="4" t="str">
        <x:f>IFERROR(INDEX('Material routes'!$G$6:$G$1005,MATCH(U108,'Material routes'!$A$6:$A$1005,0)),"MISSING ID")</x:f>
        <x:v>Crafting components</x:v>
      </x:c>
      <x:c r="E108" s="4" t="str">
        <x:f>IFERROR(INDEX('Material routes'!$C$6:$C$1005,MATCH(U108,'Material routes'!$A$6:$A$1005,0)),"MISSING ID")</x:f>
        <x:v>Ingredient candidate</x:v>
      </x:c>
      <x:c r="F108" s="4" t="str">
        <x:f>IFERROR(INDEX('Material routes'!$E$6:$E$1005,MATCH(V108,'Material routes'!$A$6:$A$1005,0)),"MISSING ID")</x:f>
        <x:v>Reinforced wing membrane</x:v>
      </x:c>
      <x:c r="G108" s="4" t="str">
        <x:f>IFERROR(INDEX('Material routes'!$F$6:$F$1005,MATCH(V108,'Material routes'!$A$6:$A$1005,0)),"MISSING ID")</x:f>
        <x:v>T2</x:v>
      </x:c>
      <x:c r="H108" s="4" t="str">
        <x:f>IFERROR(INDEX('Material routes'!$H$6:$H$1005,MATCH(V108,'Material routes'!$A$6:$A$1005,0)),"MISSING ID")</x:f>
        <x:v>Processed material</x:v>
      </x:c>
      <x:c r="I108" s="4" t="str">
        <x:f>IFERROR(INDEX('Material routes'!$G$6:$G$1005,MATCH(V108,'Material routes'!$A$6:$A$1005,0)),"MISSING ID")</x:f>
        <x:v>Resources</x:v>
      </x:c>
      <x:c r="J108" s="4" t="str">
        <x:f>IFERROR(INDEX('Material routes'!$B$6:$B$1005,MATCH(U108,'Material routes'!$A$6:$A$1005,0)),"MISSING ID")</x:f>
        <x:v>design.branch.branch.wing_membrane</x:v>
      </x:c>
      <x:c r="K108" s="4" t="str">
        <x:f>IFERROR(INDEX('Crafting recipes'!$C$6:$C$1005,MATCH(J108,'Crafting recipes'!$A$6:$A$1005,0)),"MISSING ID")</x:f>
        <x:v>Material refinement</x:v>
      </x:c>
      <x:c r="L108" s="4" t="str">
        <x:f>IFERROR(INDEX('Material routes'!$K$6:$K$1005,MATCH(U108,'Material routes'!$A$6:$A$1005,0)),"MISSING ID")</x:f>
        <x:v>Proposal</x:v>
      </x:c>
      <x:c r="M108" s="4" t="str">
        <x:f>IFERROR(INDEX('Material routes'!$M$6:$M$1005,MATCH(U108,'Material routes'!$A$6:$A$1005,0)),"MISSING ID")</x:f>
        <x:v>Partial proposal</x:v>
      </x:c>
      <x:c r="N108" s="4" t="str">
        <x:f>IF(IFERROR(INDEX('Material routes'!$I$6:$I$1005,MATCH(U108,'Material routes'!$A$6:$A$1005,0)),"MISSING ID")=0,"",IFERROR(INDEX('Material routes'!$I$6:$I$1005,MATCH(U108,'Material routes'!$A$6:$A$1005,0)),"MISSING ID"))</x:f>
      </x:c>
      <x:c r="O108" s="4" t="str">
        <x:f>IFERROR(INDEX('Material routes'!$J$6:$J$1005,MATCH(U108,'Material routes'!$A$6:$A$1005,0)),"MISSING ID")</x:f>
        <x:v>Unspecified</x:v>
      </x:c>
      <x:c r="P108" s="4" t="str">
        <x:f>IF(IFERROR(INDEX('Material routes'!$I$6:$I$1005,MATCH(V108,'Material routes'!$A$6:$A$1005,0)),"MISSING ID")=0,"",IFERROR(INDEX('Material routes'!$I$6:$I$1005,MATCH(V108,'Material routes'!$A$6:$A$1005,0)),"MISSING ID"))</x:f>
      </x:c>
      <x:c r="Q108" s="4" t="str">
        <x:f>IFERROR(INDEX('Material routes'!$J$6:$J$1005,MATCH(V108,'Material routes'!$A$6:$A$1005,0)),"MISSING ID")</x:f>
        <x:v>Unspecified</x:v>
      </x:c>
      <x:c r="R108" s="4" t="str">
        <x:f>IF(L108="Withheld","Withheld premise",IF(E108="Tool candidate","Reusable prerequisite",IF(K108="Raw entry preparation","Entry-resource preparation",IF(G108="Not applicable","Finished endpoint",IF(OR(IFERROR(INDEX('Crafting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routes'!$D$6:$D$1005,MATCH(U108,'Material routes'!$A$6:$A$1005,0)),"MISSING ID")</x:f>
        <x:v>proposal.wind.sail_panel</x:v>
      </x:c>
      <x:c r="T108" s="4" t="str">
        <x:f>IFERROR(INDEX('Material routes'!$D$6:$D$1005,MATCH(V108,'Material routes'!$A$6:$A$1005,0)),"MISSING ID")</x:f>
        <x:v>proposal.branch.wing_membrane</x:v>
      </x:c>
      <x:c r="U108" s="4" t="str">
        <x:v>design.branch.branch.wing_membrane.in.1</x:v>
      </x:c>
      <x:c r="V108" s="4" t="str">
        <x:v>design.branch.branch.wing_membrane.out</x:v>
      </x:c>
    </x:row>
    <x:row r="109" ht="105" customHeight="1">
      <x:c r="A109" s="4" t="str">
        <x:f>IFERROR(INDEX('Material routes'!$E$6:$E$1005,MATCH(U109,'Material routes'!$A$6:$A$1005,0)),"MISSING ID")</x:f>
        <x:v>Tendon cord</x:v>
      </x:c>
      <x:c r="B109" s="4" t="str">
        <x:f>IFERROR(INDEX('Material routes'!$F$6:$F$1005,MATCH(U109,'Material routes'!$A$6:$A$1005,0)),"MISSING ID")</x:f>
        <x:v>T1</x:v>
      </x:c>
      <x:c r="C109" s="4" t="str">
        <x:f>IFERROR(INDEX('Material routes'!$H$6:$H$1005,MATCH(U109,'Material routes'!$A$6:$A$1005,0)),"MISSING ID")</x:f>
        <x:v>Crafting component</x:v>
      </x:c>
      <x:c r="D109" s="4" t="str">
        <x:f>IFERROR(INDEX('Material routes'!$G$6:$G$1005,MATCH(U109,'Material routes'!$A$6:$A$1005,0)),"MISSING ID")</x:f>
        <x:v>Crafting components</x:v>
      </x:c>
      <x:c r="E109" s="4" t="str">
        <x:f>IFERROR(INDEX('Material routes'!$C$6:$C$1005,MATCH(U109,'Material routes'!$A$6:$A$1005,0)),"MISSING ID")</x:f>
        <x:v>Ingredient candidate</x:v>
      </x:c>
      <x:c r="F109" s="4" t="str">
        <x:f>IFERROR(INDEX('Material routes'!$E$6:$E$1005,MATCH(V109,'Material routes'!$A$6:$A$1005,0)),"MISSING ID")</x:f>
        <x:v>Reinforced wing membrane</x:v>
      </x:c>
      <x:c r="G109" s="4" t="str">
        <x:f>IFERROR(INDEX('Material routes'!$F$6:$F$1005,MATCH(V109,'Material routes'!$A$6:$A$1005,0)),"MISSING ID")</x:f>
        <x:v>T2</x:v>
      </x:c>
      <x:c r="H109" s="4" t="str">
        <x:f>IFERROR(INDEX('Material routes'!$H$6:$H$1005,MATCH(V109,'Material routes'!$A$6:$A$1005,0)),"MISSING ID")</x:f>
        <x:v>Processed material</x:v>
      </x:c>
      <x:c r="I109" s="4" t="str">
        <x:f>IFERROR(INDEX('Material routes'!$G$6:$G$1005,MATCH(V109,'Material routes'!$A$6:$A$1005,0)),"MISSING ID")</x:f>
        <x:v>Resources</x:v>
      </x:c>
      <x:c r="J109" s="4" t="str">
        <x:f>IFERROR(INDEX('Material routes'!$B$6:$B$1005,MATCH(U109,'Material routes'!$A$6:$A$1005,0)),"MISSING ID")</x:f>
        <x:v>design.branch.branch.wing_membrane</x:v>
      </x:c>
      <x:c r="K109" s="4" t="str">
        <x:f>IFERROR(INDEX('Crafting recipes'!$C$6:$C$1005,MATCH(J109,'Crafting recipes'!$A$6:$A$1005,0)),"MISSING ID")</x:f>
        <x:v>Material refinement</x:v>
      </x:c>
      <x:c r="L109" s="4" t="str">
        <x:f>IFERROR(INDEX('Material routes'!$K$6:$K$1005,MATCH(U109,'Material routes'!$A$6:$A$1005,0)),"MISSING ID")</x:f>
        <x:v>Proposal</x:v>
      </x:c>
      <x:c r="M109" s="4" t="str">
        <x:f>IFERROR(INDEX('Material routes'!$M$6:$M$1005,MATCH(U109,'Material routes'!$A$6:$A$1005,0)),"MISSING ID")</x:f>
        <x:v>Partial proposal</x:v>
      </x:c>
      <x:c r="N109" s="4" t="str">
        <x:f>IF(IFERROR(INDEX('Material routes'!$I$6:$I$1005,MATCH(U109,'Material routes'!$A$6:$A$1005,0)),"MISSING ID")=0,"",IFERROR(INDEX('Material routes'!$I$6:$I$1005,MATCH(U109,'Material routes'!$A$6:$A$1005,0)),"MISSING ID"))</x:f>
      </x:c>
      <x:c r="O109" s="4" t="str">
        <x:f>IFERROR(INDEX('Material routes'!$J$6:$J$1005,MATCH(U109,'Material routes'!$A$6:$A$1005,0)),"MISSING ID")</x:f>
        <x:v>Unspecified</x:v>
      </x:c>
      <x:c r="P109" s="4" t="str">
        <x:f>IF(IFERROR(INDEX('Material routes'!$I$6:$I$1005,MATCH(V109,'Material routes'!$A$6:$A$1005,0)),"MISSING ID")=0,"",IFERROR(INDEX('Material routes'!$I$6:$I$1005,MATCH(V109,'Material routes'!$A$6:$A$1005,0)),"MISSING ID"))</x:f>
      </x:c>
      <x:c r="Q109" s="4" t="str">
        <x:f>IFERROR(INDEX('Material routes'!$J$6:$J$1005,MATCH(V109,'Material routes'!$A$6:$A$1005,0)),"MISSING ID")</x:f>
        <x:v>Unspecified</x:v>
      </x:c>
      <x:c r="R109" s="4" t="str">
        <x:f>IF(L109="Withheld","Withheld premise",IF(E109="Tool candidate","Reusable prerequisite",IF(K109="Raw entry preparation","Entry-resource preparation",IF(G109="Not applicable","Finished endpoint",IF(OR(IFERROR(INDEX('Crafting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routes'!$D$6:$D$1005,MATCH(U109,'Material routes'!$A$6:$A$1005,0)),"MISSING ID")</x:f>
        <x:v>proposal.bio.cord</x:v>
      </x:c>
      <x:c r="T109" s="4" t="str">
        <x:f>IFERROR(INDEX('Material routes'!$D$6:$D$1005,MATCH(V109,'Material routes'!$A$6:$A$1005,0)),"MISSING ID")</x:f>
        <x:v>proposal.branch.wing_membrane</x:v>
      </x:c>
      <x:c r="U109" s="4" t="str">
        <x:v>design.branch.branch.wing_membrane.in.2</x:v>
      </x:c>
      <x:c r="V109" s="4" t="str">
        <x:v>design.branch.branch.wing_membrane.out</x:v>
      </x:c>
    </x:row>
    <x:row r="110" ht="105" customHeight="1">
      <x:c r="A110" s="4" t="str">
        <x:f>IFERROR(INDEX('Material routes'!$E$6:$E$1005,MATCH(U110,'Material routes'!$A$6:$A$1005,0)),"MISSING ID")</x:f>
        <x:v>Prepared flexible faunal binder</x:v>
      </x:c>
      <x:c r="B110" s="4" t="str">
        <x:f>IFERROR(INDEX('Material routes'!$F$6:$F$1005,MATCH(U110,'Material routes'!$A$6:$A$1005,0)),"MISSING ID")</x:f>
        <x:v>T1</x:v>
      </x:c>
      <x:c r="C110" s="4" t="str">
        <x:f>IFERROR(INDEX('Material routes'!$H$6:$H$1005,MATCH(U110,'Material routes'!$A$6:$A$1005,0)),"MISSING ID")</x:f>
        <x:v>Chemical material</x:v>
      </x:c>
      <x:c r="D110" s="4" t="str">
        <x:f>IFERROR(INDEX('Material routes'!$G$6:$G$1005,MATCH(U110,'Material routes'!$A$6:$A$1005,0)),"MISSING ID")</x:f>
        <x:v>Resources</x:v>
      </x:c>
      <x:c r="E110" s="4" t="str">
        <x:f>IFERROR(INDEX('Material routes'!$C$6:$C$1005,MATCH(U110,'Material routes'!$A$6:$A$1005,0)),"MISSING ID")</x:f>
        <x:v>Ingredient candidate</x:v>
      </x:c>
      <x:c r="F110" s="4" t="str">
        <x:f>IFERROR(INDEX('Material routes'!$E$6:$E$1005,MATCH(V110,'Material routes'!$A$6:$A$1005,0)),"MISSING ID")</x:f>
        <x:v>Reinforced wing membrane</x:v>
      </x:c>
      <x:c r="G110" s="4" t="str">
        <x:f>IFERROR(INDEX('Material routes'!$F$6:$F$1005,MATCH(V110,'Material routes'!$A$6:$A$1005,0)),"MISSING ID")</x:f>
        <x:v>T2</x:v>
      </x:c>
      <x:c r="H110" s="4" t="str">
        <x:f>IFERROR(INDEX('Material routes'!$H$6:$H$1005,MATCH(V110,'Material routes'!$A$6:$A$1005,0)),"MISSING ID")</x:f>
        <x:v>Processed material</x:v>
      </x:c>
      <x:c r="I110" s="4" t="str">
        <x:f>IFERROR(INDEX('Material routes'!$G$6:$G$1005,MATCH(V110,'Material routes'!$A$6:$A$1005,0)),"MISSING ID")</x:f>
        <x:v>Resources</x:v>
      </x:c>
      <x:c r="J110" s="4" t="str">
        <x:f>IFERROR(INDEX('Material routes'!$B$6:$B$1005,MATCH(U110,'Material routes'!$A$6:$A$1005,0)),"MISSING ID")</x:f>
        <x:v>design.branch.branch.wing_membrane</x:v>
      </x:c>
      <x:c r="K110" s="4" t="str">
        <x:f>IFERROR(INDEX('Crafting recipes'!$C$6:$C$1005,MATCH(J110,'Crafting recipes'!$A$6:$A$1005,0)),"MISSING ID")</x:f>
        <x:v>Material refinement</x:v>
      </x:c>
      <x:c r="L110" s="4" t="str">
        <x:f>IFERROR(INDEX('Material routes'!$K$6:$K$1005,MATCH(U110,'Material routes'!$A$6:$A$1005,0)),"MISSING ID")</x:f>
        <x:v>Proposal</x:v>
      </x:c>
      <x:c r="M110" s="4" t="str">
        <x:f>IFERROR(INDEX('Material routes'!$M$6:$M$1005,MATCH(U110,'Material routes'!$A$6:$A$1005,0)),"MISSING ID")</x:f>
        <x:v>Partial proposal</x:v>
      </x:c>
      <x:c r="N110" s="4" t="str">
        <x:f>IF(IFERROR(INDEX('Material routes'!$I$6:$I$1005,MATCH(U110,'Material routes'!$A$6:$A$1005,0)),"MISSING ID")=0,"",IFERROR(INDEX('Material routes'!$I$6:$I$1005,MATCH(U110,'Material routes'!$A$6:$A$1005,0)),"MISSING ID"))</x:f>
      </x:c>
      <x:c r="O110" s="4" t="str">
        <x:f>IFERROR(INDEX('Material routes'!$J$6:$J$1005,MATCH(U110,'Material routes'!$A$6:$A$1005,0)),"MISSING ID")</x:f>
        <x:v>Unspecified</x:v>
      </x:c>
      <x:c r="P110" s="4" t="str">
        <x:f>IF(IFERROR(INDEX('Material routes'!$I$6:$I$1005,MATCH(V110,'Material routes'!$A$6:$A$1005,0)),"MISSING ID")=0,"",IFERROR(INDEX('Material routes'!$I$6:$I$1005,MATCH(V110,'Material routes'!$A$6:$A$1005,0)),"MISSING ID"))</x:f>
      </x:c>
      <x:c r="Q110" s="4" t="str">
        <x:f>IFERROR(INDEX('Material routes'!$J$6:$J$1005,MATCH(V110,'Material routes'!$A$6:$A$1005,0)),"MISSING ID")</x:f>
        <x:v>Unspecified</x:v>
      </x:c>
      <x:c r="R110" s="4" t="str">
        <x:f>IF(L110="Withheld","Withheld premise",IF(E110="Tool candidate","Reusable prerequisite",IF(K110="Raw entry preparation","Entry-resource preparation",IF(G110="Not applicable","Finished endpoint",IF(OR(IFERROR(INDEX('Crafting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routes'!$D$6:$D$1005,MATCH(U110,'Material routes'!$A$6:$A$1005,0)),"MISSING ID")</x:f>
        <x:v>proposal.branch.flex_binder</x:v>
      </x:c>
      <x:c r="T110" s="4" t="str">
        <x:f>IFERROR(INDEX('Material routes'!$D$6:$D$1005,MATCH(V110,'Material routes'!$A$6:$A$1005,0)),"MISSING ID")</x:f>
        <x:v>proposal.branch.wing_membrane</x:v>
      </x:c>
      <x:c r="U110" s="4" t="str">
        <x:v>design.branch.branch.wing_membrane.in.3</x:v>
      </x:c>
      <x:c r="V110" s="4" t="str">
        <x:v>design.branch.branch.wing_membrane.out</x:v>
      </x:c>
    </x:row>
    <x:row r="111" ht="105" customHeight="1">
      <x:c r="A111" s="4" t="str">
        <x:f>IFERROR(INDEX('Material routes'!$E$6:$E$1005,MATCH(U111,'Material routes'!$A$6:$A$1005,0)),"MISSING ID")</x:f>
        <x:v>Prepared clot-seal compound</x:v>
      </x:c>
      <x:c r="B111" s="4" t="str">
        <x:f>IFERROR(INDEX('Material routes'!$F$6:$F$1005,MATCH(U111,'Material routes'!$A$6:$A$1005,0)),"MISSING ID")</x:f>
        <x:v>T1</x:v>
      </x:c>
      <x:c r="C111" s="4" t="str">
        <x:f>IFERROR(INDEX('Material routes'!$H$6:$H$1005,MATCH(U111,'Material routes'!$A$6:$A$1005,0)),"MISSING ID")</x:f>
        <x:v>Chemical material</x:v>
      </x:c>
      <x:c r="D111" s="4" t="str">
        <x:f>IFERROR(INDEX('Material routes'!$G$6:$G$1005,MATCH(U111,'Material routes'!$A$6:$A$1005,0)),"MISSING ID")</x:f>
        <x:v>Resources</x:v>
      </x:c>
      <x:c r="E111" s="4" t="str">
        <x:f>IFERROR(INDEX('Material routes'!$C$6:$C$1005,MATCH(U111,'Material routes'!$A$6:$A$1005,0)),"MISSING ID")</x:f>
        <x:v>Ingredient candidate</x:v>
      </x:c>
      <x:c r="F111" s="4" t="str">
        <x:f>IFERROR(INDEX('Material routes'!$E$6:$E$1005,MATCH(V111,'Material routes'!$A$6:$A$1005,0)),"MISSING ID")</x:f>
        <x:v>Filled faunal seal compound</x:v>
      </x:c>
      <x:c r="G111" s="4" t="str">
        <x:f>IFERROR(INDEX('Material routes'!$F$6:$F$1005,MATCH(V111,'Material routes'!$A$6:$A$1005,0)),"MISSING ID")</x:f>
        <x:v>T2</x:v>
      </x:c>
      <x:c r="H111" s="4" t="str">
        <x:f>IFERROR(INDEX('Material routes'!$H$6:$H$1005,MATCH(V111,'Material routes'!$A$6:$A$1005,0)),"MISSING ID")</x:f>
        <x:v>Chemical material</x:v>
      </x:c>
      <x:c r="I111" s="4" t="str">
        <x:f>IFERROR(INDEX('Material routes'!$G$6:$G$1005,MATCH(V111,'Material routes'!$A$6:$A$1005,0)),"MISSING ID")</x:f>
        <x:v>Resources</x:v>
      </x:c>
      <x:c r="J111" s="4" t="str">
        <x:f>IFERROR(INDEX('Material routes'!$B$6:$B$1005,MATCH(U111,'Material routes'!$A$6:$A$1005,0)),"MISSING ID")</x:f>
        <x:v>design.branch.branch.filled_seal</x:v>
      </x:c>
      <x:c r="K111" s="4" t="str">
        <x:f>IFERROR(INDEX('Crafting recipes'!$C$6:$C$1005,MATCH(J111,'Crafting recipes'!$A$6:$A$1005,0)),"MISSING ID")</x:f>
        <x:v>Material refinement</x:v>
      </x:c>
      <x:c r="L111" s="4" t="str">
        <x:f>IFERROR(INDEX('Material routes'!$K$6:$K$1005,MATCH(U111,'Material routes'!$A$6:$A$1005,0)),"MISSING ID")</x:f>
        <x:v>Proposal</x:v>
      </x:c>
      <x:c r="M111" s="4" t="str">
        <x:f>IFERROR(INDEX('Material routes'!$M$6:$M$1005,MATCH(U111,'Material routes'!$A$6:$A$1005,0)),"MISSING ID")</x:f>
        <x:v>Partial proposal</x:v>
      </x:c>
      <x:c r="N111" s="4" t="str">
        <x:f>IF(IFERROR(INDEX('Material routes'!$I$6:$I$1005,MATCH(U111,'Material routes'!$A$6:$A$1005,0)),"MISSING ID")=0,"",IFERROR(INDEX('Material routes'!$I$6:$I$1005,MATCH(U111,'Material routes'!$A$6:$A$1005,0)),"MISSING ID"))</x:f>
      </x:c>
      <x:c r="O111" s="4" t="str">
        <x:f>IFERROR(INDEX('Material routes'!$J$6:$J$1005,MATCH(U111,'Material routes'!$A$6:$A$1005,0)),"MISSING ID")</x:f>
        <x:v>Unspecified</x:v>
      </x:c>
      <x:c r="P111" s="4" t="str">
        <x:f>IF(IFERROR(INDEX('Material routes'!$I$6:$I$1005,MATCH(V111,'Material routes'!$A$6:$A$1005,0)),"MISSING ID")=0,"",IFERROR(INDEX('Material routes'!$I$6:$I$1005,MATCH(V111,'Material routes'!$A$6:$A$1005,0)),"MISSING ID"))</x:f>
      </x:c>
      <x:c r="Q111" s="4" t="str">
        <x:f>IFERROR(INDEX('Material routes'!$J$6:$J$1005,MATCH(V111,'Material routes'!$A$6:$A$1005,0)),"MISSING ID")</x:f>
        <x:v>Unspecified</x:v>
      </x:c>
      <x:c r="R111" s="4" t="str">
        <x:f>IF(L111="Withheld","Withheld premise",IF(E111="Tool candidate","Reusable prerequisite",IF(K111="Raw entry preparation","Entry-resource preparation",IF(G111="Not applicable","Finished endpoint",IF(OR(IFERROR(INDEX('Crafting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routes'!$D$6:$D$1005,MATCH(U111,'Material routes'!$A$6:$A$1005,0)),"MISSING ID")</x:f>
        <x:v>proposal.t1.clot_seal</x:v>
      </x:c>
      <x:c r="T111" s="4" t="str">
        <x:f>IFERROR(INDEX('Material routes'!$D$6:$D$1005,MATCH(V111,'Material routes'!$A$6:$A$1005,0)),"MISSING ID")</x:f>
        <x:v>proposal.branch.filled_seal</x:v>
      </x:c>
      <x:c r="U111" s="4" t="str">
        <x:v>design.branch.branch.filled_seal.in.1</x:v>
      </x:c>
      <x:c r="V111" s="4" t="str">
        <x:v>design.branch.branch.filled_seal.out</x:v>
      </x:c>
    </x:row>
    <x:row r="112" ht="105" customHeight="1">
      <x:c r="A112" s="4" t="str">
        <x:f>IFERROR(INDEX('Material routes'!$E$6:$E$1005,MATCH(U112,'Material routes'!$A$6:$A$1005,0)),"MISSING ID")</x:f>
        <x:v>Graded mineral filler</x:v>
      </x:c>
      <x:c r="B112" s="4" t="str">
        <x:f>IFERROR(INDEX('Material routes'!$F$6:$F$1005,MATCH(U112,'Material routes'!$A$6:$A$1005,0)),"MISSING ID")</x:f>
        <x:v>T1</x:v>
      </x:c>
      <x:c r="C112" s="4" t="str">
        <x:f>IFERROR(INDEX('Material routes'!$H$6:$H$1005,MATCH(U112,'Material routes'!$A$6:$A$1005,0)),"MISSING ID")</x:f>
        <x:v>Processed material</x:v>
      </x:c>
      <x:c r="D112" s="4" t="str">
        <x:f>IFERROR(INDEX('Material routes'!$G$6:$G$1005,MATCH(U112,'Material routes'!$A$6:$A$1005,0)),"MISSING ID")</x:f>
        <x:v>Resources</x:v>
      </x:c>
      <x:c r="E112" s="4" t="str">
        <x:f>IFERROR(INDEX('Material routes'!$C$6:$C$1005,MATCH(U112,'Material routes'!$A$6:$A$1005,0)),"MISSING ID")</x:f>
        <x:v>Ingredient candidate</x:v>
      </x:c>
      <x:c r="F112" s="4" t="str">
        <x:f>IFERROR(INDEX('Material routes'!$E$6:$E$1005,MATCH(V112,'Material routes'!$A$6:$A$1005,0)),"MISSING ID")</x:f>
        <x:v>Filled faunal seal compound</x:v>
      </x:c>
      <x:c r="G112" s="4" t="str">
        <x:f>IFERROR(INDEX('Material routes'!$F$6:$F$1005,MATCH(V112,'Material routes'!$A$6:$A$1005,0)),"MISSING ID")</x:f>
        <x:v>T2</x:v>
      </x:c>
      <x:c r="H112" s="4" t="str">
        <x:f>IFERROR(INDEX('Material routes'!$H$6:$H$1005,MATCH(V112,'Material routes'!$A$6:$A$1005,0)),"MISSING ID")</x:f>
        <x:v>Chemical material</x:v>
      </x:c>
      <x:c r="I112" s="4" t="str">
        <x:f>IFERROR(INDEX('Material routes'!$G$6:$G$1005,MATCH(V112,'Material routes'!$A$6:$A$1005,0)),"MISSING ID")</x:f>
        <x:v>Resources</x:v>
      </x:c>
      <x:c r="J112" s="4" t="str">
        <x:f>IFERROR(INDEX('Material routes'!$B$6:$B$1005,MATCH(U112,'Material routes'!$A$6:$A$1005,0)),"MISSING ID")</x:f>
        <x:v>design.branch.branch.filled_seal</x:v>
      </x:c>
      <x:c r="K112" s="4" t="str">
        <x:f>IFERROR(INDEX('Crafting recipes'!$C$6:$C$1005,MATCH(J112,'Crafting recipes'!$A$6:$A$1005,0)),"MISSING ID")</x:f>
        <x:v>Material refinement</x:v>
      </x:c>
      <x:c r="L112" s="4" t="str">
        <x:f>IFERROR(INDEX('Material routes'!$K$6:$K$1005,MATCH(U112,'Material routes'!$A$6:$A$1005,0)),"MISSING ID")</x:f>
        <x:v>Proposal</x:v>
      </x:c>
      <x:c r="M112" s="4" t="str">
        <x:f>IFERROR(INDEX('Material routes'!$M$6:$M$1005,MATCH(U112,'Material routes'!$A$6:$A$1005,0)),"MISSING ID")</x:f>
        <x:v>Partial proposal</x:v>
      </x:c>
      <x:c r="N112" s="4" t="str">
        <x:f>IF(IFERROR(INDEX('Material routes'!$I$6:$I$1005,MATCH(U112,'Material routes'!$A$6:$A$1005,0)),"MISSING ID")=0,"",IFERROR(INDEX('Material routes'!$I$6:$I$1005,MATCH(U112,'Material routes'!$A$6:$A$1005,0)),"MISSING ID"))</x:f>
      </x:c>
      <x:c r="O112" s="4" t="str">
        <x:f>IFERROR(INDEX('Material routes'!$J$6:$J$1005,MATCH(U112,'Material routes'!$A$6:$A$1005,0)),"MISSING ID")</x:f>
        <x:v>Unspecified</x:v>
      </x:c>
      <x:c r="P112" s="4" t="str">
        <x:f>IF(IFERROR(INDEX('Material routes'!$I$6:$I$1005,MATCH(V112,'Material routes'!$A$6:$A$1005,0)),"MISSING ID")=0,"",IFERROR(INDEX('Material routes'!$I$6:$I$1005,MATCH(V112,'Material routes'!$A$6:$A$1005,0)),"MISSING ID"))</x:f>
      </x:c>
      <x:c r="Q112" s="4" t="str">
        <x:f>IFERROR(INDEX('Material routes'!$J$6:$J$1005,MATCH(V112,'Material routes'!$A$6:$A$1005,0)),"MISSING ID")</x:f>
        <x:v>Unspecified</x:v>
      </x:c>
      <x:c r="R112" s="4" t="str">
        <x:f>IF(L112="Withheld","Withheld premise",IF(E112="Tool candidate","Reusable prerequisite",IF(K112="Raw entry preparation","Entry-resource preparation",IF(G112="Not applicable","Finished endpoint",IF(OR(IFERROR(INDEX('Crafting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routes'!$D$6:$D$1005,MATCH(U112,'Material routes'!$A$6:$A$1005,0)),"MISSING ID")</x:f>
        <x:v>proposal.t1.mineral_filler</x:v>
      </x:c>
      <x:c r="T112" s="4" t="str">
        <x:f>IFERROR(INDEX('Material routes'!$D$6:$D$1005,MATCH(V112,'Material routes'!$A$6:$A$1005,0)),"MISSING ID")</x:f>
        <x:v>proposal.branch.filled_seal</x:v>
      </x:c>
      <x:c r="U112" s="4" t="str">
        <x:v>design.branch.branch.filled_seal.in.2</x:v>
      </x:c>
      <x:c r="V112" s="4" t="str">
        <x:v>design.branch.branch.filled_seal.out</x:v>
      </x:c>
    </x:row>
    <x:row r="113" ht="105" customHeight="1">
      <x:c r="A113" s="4" t="str">
        <x:f>IFERROR(INDEX('Material routes'!$E$6:$E$1005,MATCH(U113,'Material routes'!$A$6:$A$1005,0)),"MISSING ID")</x:f>
        <x:v>Prepared flexible faunal binder</x:v>
      </x:c>
      <x:c r="B113" s="4" t="str">
        <x:f>IFERROR(INDEX('Material routes'!$F$6:$F$1005,MATCH(U113,'Material routes'!$A$6:$A$1005,0)),"MISSING ID")</x:f>
        <x:v>T1</x:v>
      </x:c>
      <x:c r="C113" s="4" t="str">
        <x:f>IFERROR(INDEX('Material routes'!$H$6:$H$1005,MATCH(U113,'Material routes'!$A$6:$A$1005,0)),"MISSING ID")</x:f>
        <x:v>Chemical material</x:v>
      </x:c>
      <x:c r="D113" s="4" t="str">
        <x:f>IFERROR(INDEX('Material routes'!$G$6:$G$1005,MATCH(U113,'Material routes'!$A$6:$A$1005,0)),"MISSING ID")</x:f>
        <x:v>Resources</x:v>
      </x:c>
      <x:c r="E113" s="4" t="str">
        <x:f>IFERROR(INDEX('Material routes'!$C$6:$C$1005,MATCH(U113,'Material routes'!$A$6:$A$1005,0)),"MISSING ID")</x:f>
        <x:v>Ingredient candidate</x:v>
      </x:c>
      <x:c r="F113" s="4" t="str">
        <x:f>IFERROR(INDEX('Material routes'!$E$6:$E$1005,MATCH(V113,'Material routes'!$A$6:$A$1005,0)),"MISSING ID")</x:f>
        <x:v>Flexible membrane-bonding compound</x:v>
      </x:c>
      <x:c r="G113" s="4" t="str">
        <x:f>IFERROR(INDEX('Material routes'!$F$6:$F$1005,MATCH(V113,'Material routes'!$A$6:$A$1005,0)),"MISSING ID")</x:f>
        <x:v>T2</x:v>
      </x:c>
      <x:c r="H113" s="4" t="str">
        <x:f>IFERROR(INDEX('Material routes'!$H$6:$H$1005,MATCH(V113,'Material routes'!$A$6:$A$1005,0)),"MISSING ID")</x:f>
        <x:v>Chemical material</x:v>
      </x:c>
      <x:c r="I113" s="4" t="str">
        <x:f>IFERROR(INDEX('Material routes'!$G$6:$G$1005,MATCH(V113,'Material routes'!$A$6:$A$1005,0)),"MISSING ID")</x:f>
        <x:v>Resources</x:v>
      </x:c>
      <x:c r="J113" s="4" t="str">
        <x:f>IFERROR(INDEX('Material routes'!$B$6:$B$1005,MATCH(U113,'Material routes'!$A$6:$A$1005,0)),"MISSING ID")</x:f>
        <x:v>design.branch.branch.flex_bond</x:v>
      </x:c>
      <x:c r="K113" s="4" t="str">
        <x:f>IFERROR(INDEX('Crafting recipes'!$C$6:$C$1005,MATCH(J113,'Crafting recipes'!$A$6:$A$1005,0)),"MISSING ID")</x:f>
        <x:v>Material refinement</x:v>
      </x:c>
      <x:c r="L113" s="4" t="str">
        <x:f>IFERROR(INDEX('Material routes'!$K$6:$K$1005,MATCH(U113,'Material routes'!$A$6:$A$1005,0)),"MISSING ID")</x:f>
        <x:v>Proposal</x:v>
      </x:c>
      <x:c r="M113" s="4" t="str">
        <x:f>IFERROR(INDEX('Material routes'!$M$6:$M$1005,MATCH(U113,'Material routes'!$A$6:$A$1005,0)),"MISSING ID")</x:f>
        <x:v>Partial proposal</x:v>
      </x:c>
      <x:c r="N113" s="4" t="str">
        <x:f>IF(IFERROR(INDEX('Material routes'!$I$6:$I$1005,MATCH(U113,'Material routes'!$A$6:$A$1005,0)),"MISSING ID")=0,"",IFERROR(INDEX('Material routes'!$I$6:$I$1005,MATCH(U113,'Material routes'!$A$6:$A$1005,0)),"MISSING ID"))</x:f>
      </x:c>
      <x:c r="O113" s="4" t="str">
        <x:f>IFERROR(INDEX('Material routes'!$J$6:$J$1005,MATCH(U113,'Material routes'!$A$6:$A$1005,0)),"MISSING ID")</x:f>
        <x:v>Unspecified</x:v>
      </x:c>
      <x:c r="P113" s="4" t="str">
        <x:f>IF(IFERROR(INDEX('Material routes'!$I$6:$I$1005,MATCH(V113,'Material routes'!$A$6:$A$1005,0)),"MISSING ID")=0,"",IFERROR(INDEX('Material routes'!$I$6:$I$1005,MATCH(V113,'Material routes'!$A$6:$A$1005,0)),"MISSING ID"))</x:f>
      </x:c>
      <x:c r="Q113" s="4" t="str">
        <x:f>IFERROR(INDEX('Material routes'!$J$6:$J$1005,MATCH(V113,'Material routes'!$A$6:$A$1005,0)),"MISSING ID")</x:f>
        <x:v>Unspecified</x:v>
      </x:c>
      <x:c r="R113" s="4" t="str">
        <x:f>IF(L113="Withheld","Withheld premise",IF(E113="Tool candidate","Reusable prerequisite",IF(K113="Raw entry preparation","Entry-resource preparation",IF(G113="Not applicable","Finished endpoint",IF(OR(IFERROR(INDEX('Crafting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routes'!$D$6:$D$1005,MATCH(U113,'Material routes'!$A$6:$A$1005,0)),"MISSING ID")</x:f>
        <x:v>proposal.branch.flex_binder</x:v>
      </x:c>
      <x:c r="T113" s="4" t="str">
        <x:f>IFERROR(INDEX('Material routes'!$D$6:$D$1005,MATCH(V113,'Material routes'!$A$6:$A$1005,0)),"MISSING ID")</x:f>
        <x:v>proposal.branch.flex_bond</x:v>
      </x:c>
      <x:c r="U113" s="4" t="str">
        <x:v>design.branch.branch.flex_bond.in.1</x:v>
      </x:c>
      <x:c r="V113" s="4" t="str">
        <x:v>design.branch.branch.flex_bond.out</x:v>
      </x:c>
    </x:row>
    <x:row r="114" ht="105" customHeight="1">
      <x:c r="A114" s="4" t="str">
        <x:f>IFERROR(INDEX('Material routes'!$E$6:$E$1005,MATCH(U114,'Material routes'!$A$6:$A$1005,0)),"MISSING ID")</x:f>
        <x:v>Selected faunal carrier fraction</x:v>
      </x:c>
      <x:c r="B114" s="4" t="str">
        <x:f>IFERROR(INDEX('Material routes'!$F$6:$F$1005,MATCH(U114,'Material routes'!$A$6:$A$1005,0)),"MISSING ID")</x:f>
        <x:v>T1</x:v>
      </x:c>
      <x:c r="C114" s="4" t="str">
        <x:f>IFERROR(INDEX('Material routes'!$H$6:$H$1005,MATCH(U114,'Material routes'!$A$6:$A$1005,0)),"MISSING ID")</x:f>
        <x:v>Chemical material</x:v>
      </x:c>
      <x:c r="D114" s="4" t="str">
        <x:f>IFERROR(INDEX('Material routes'!$G$6:$G$1005,MATCH(U114,'Material routes'!$A$6:$A$1005,0)),"MISSING ID")</x:f>
        <x:v>Resources</x:v>
      </x:c>
      <x:c r="E114" s="4" t="str">
        <x:f>IFERROR(INDEX('Material routes'!$C$6:$C$1005,MATCH(U114,'Material routes'!$A$6:$A$1005,0)),"MISSING ID")</x:f>
        <x:v>Ingredient candidate</x:v>
      </x:c>
      <x:c r="F114" s="4" t="str">
        <x:f>IFERROR(INDEX('Material routes'!$E$6:$E$1005,MATCH(V114,'Material routes'!$A$6:$A$1005,0)),"MISSING ID")</x:f>
        <x:v>Flexible membrane-bonding compound</x:v>
      </x:c>
      <x:c r="G114" s="4" t="str">
        <x:f>IFERROR(INDEX('Material routes'!$F$6:$F$1005,MATCH(V114,'Material routes'!$A$6:$A$1005,0)),"MISSING ID")</x:f>
        <x:v>T2</x:v>
      </x:c>
      <x:c r="H114" s="4" t="str">
        <x:f>IFERROR(INDEX('Material routes'!$H$6:$H$1005,MATCH(V114,'Material routes'!$A$6:$A$1005,0)),"MISSING ID")</x:f>
        <x:v>Chemical material</x:v>
      </x:c>
      <x:c r="I114" s="4" t="str">
        <x:f>IFERROR(INDEX('Material routes'!$G$6:$G$1005,MATCH(V114,'Material routes'!$A$6:$A$1005,0)),"MISSING ID")</x:f>
        <x:v>Resources</x:v>
      </x:c>
      <x:c r="J114" s="4" t="str">
        <x:f>IFERROR(INDEX('Material routes'!$B$6:$B$1005,MATCH(U114,'Material routes'!$A$6:$A$1005,0)),"MISSING ID")</x:f>
        <x:v>design.branch.branch.flex_bond</x:v>
      </x:c>
      <x:c r="K114" s="4" t="str">
        <x:f>IFERROR(INDEX('Crafting recipes'!$C$6:$C$1005,MATCH(J114,'Crafting recipes'!$A$6:$A$1005,0)),"MISSING ID")</x:f>
        <x:v>Material refinement</x:v>
      </x:c>
      <x:c r="L114" s="4" t="str">
        <x:f>IFERROR(INDEX('Material routes'!$K$6:$K$1005,MATCH(U114,'Material routes'!$A$6:$A$1005,0)),"MISSING ID")</x:f>
        <x:v>Proposal</x:v>
      </x:c>
      <x:c r="M114" s="4" t="str">
        <x:f>IFERROR(INDEX('Material routes'!$M$6:$M$1005,MATCH(U114,'Material routes'!$A$6:$A$1005,0)),"MISSING ID")</x:f>
        <x:v>Partial proposal</x:v>
      </x:c>
      <x:c r="N114" s="4" t="str">
        <x:f>IF(IFERROR(INDEX('Material routes'!$I$6:$I$1005,MATCH(U114,'Material routes'!$A$6:$A$1005,0)),"MISSING ID")=0,"",IFERROR(INDEX('Material routes'!$I$6:$I$1005,MATCH(U114,'Material routes'!$A$6:$A$1005,0)),"MISSING ID"))</x:f>
      </x:c>
      <x:c r="O114" s="4" t="str">
        <x:f>IFERROR(INDEX('Material routes'!$J$6:$J$1005,MATCH(U114,'Material routes'!$A$6:$A$1005,0)),"MISSING ID")</x:f>
        <x:v>Unspecified</x:v>
      </x:c>
      <x:c r="P114" s="4" t="str">
        <x:f>IF(IFERROR(INDEX('Material routes'!$I$6:$I$1005,MATCH(V114,'Material routes'!$A$6:$A$1005,0)),"MISSING ID")=0,"",IFERROR(INDEX('Material routes'!$I$6:$I$1005,MATCH(V114,'Material routes'!$A$6:$A$1005,0)),"MISSING ID"))</x:f>
      </x:c>
      <x:c r="Q114" s="4" t="str">
        <x:f>IFERROR(INDEX('Material routes'!$J$6:$J$1005,MATCH(V114,'Material routes'!$A$6:$A$1005,0)),"MISSING ID")</x:f>
        <x:v>Unspecified</x:v>
      </x:c>
      <x:c r="R114" s="4" t="str">
        <x:f>IF(L114="Withheld","Withheld premise",IF(E114="Tool candidate","Reusable prerequisite",IF(K114="Raw entry preparation","Entry-resource preparation",IF(G114="Not applicable","Finished endpoint",IF(OR(IFERROR(INDEX('Crafting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routes'!$D$6:$D$1005,MATCH(U114,'Material routes'!$A$6:$A$1005,0)),"MISSING ID")</x:f>
        <x:v>proposal.t1.faunal_carrier</x:v>
      </x:c>
      <x:c r="T114" s="4" t="str">
        <x:f>IFERROR(INDEX('Material routes'!$D$6:$D$1005,MATCH(V114,'Material routes'!$A$6:$A$1005,0)),"MISSING ID")</x:f>
        <x:v>proposal.branch.flex_bond</x:v>
      </x:c>
      <x:c r="U114" s="4" t="str">
        <x:v>design.branch.branch.flex_bond.in.2</x:v>
      </x:c>
      <x:c r="V114" s="4" t="str">
        <x:v>design.branch.branch.flex_bond.out</x:v>
      </x:c>
    </x:row>
    <x:row r="115" ht="105" customHeight="1">
      <x:c r="A115" s="4" t="str">
        <x:f>IFERROR(INDEX('Material routes'!$E$6:$E$1005,MATCH(U115,'Material routes'!$A$6:$A$1005,0)),"MISSING ID")</x:f>
        <x:v>Prepared mineral pigment powder</x:v>
      </x:c>
      <x:c r="B115" s="4" t="str">
        <x:f>IFERROR(INDEX('Material routes'!$F$6:$F$1005,MATCH(U115,'Material routes'!$A$6:$A$1005,0)),"MISSING ID")</x:f>
        <x:v>T1</x:v>
      </x:c>
      <x:c r="C115" s="4" t="str">
        <x:f>IFERROR(INDEX('Material routes'!$H$6:$H$1005,MATCH(U115,'Material routes'!$A$6:$A$1005,0)),"MISSING ID")</x:f>
        <x:v>Processed material</x:v>
      </x:c>
      <x:c r="D115" s="4" t="str">
        <x:f>IFERROR(INDEX('Material routes'!$G$6:$G$1005,MATCH(U115,'Material routes'!$A$6:$A$1005,0)),"MISSING ID")</x:f>
        <x:v>Resources</x:v>
      </x:c>
      <x:c r="E115" s="4" t="str">
        <x:f>IFERROR(INDEX('Material routes'!$C$6:$C$1005,MATCH(U115,'Material routes'!$A$6:$A$1005,0)),"MISSING ID")</x:f>
        <x:v>Ingredient candidate</x:v>
      </x:c>
      <x:c r="F115" s="4" t="str">
        <x:f>IFERROR(INDEX('Material routes'!$E$6:$E$1005,MATCH(V115,'Material routes'!$A$6:$A$1005,0)),"MISSING ID")</x:f>
        <x:v>Mineral pigment coating</x:v>
      </x:c>
      <x:c r="G115" s="4" t="str">
        <x:f>IFERROR(INDEX('Material routes'!$F$6:$F$1005,MATCH(V115,'Material routes'!$A$6:$A$1005,0)),"MISSING ID")</x:f>
        <x:v>T2</x:v>
      </x:c>
      <x:c r="H115" s="4" t="str">
        <x:f>IFERROR(INDEX('Material routes'!$H$6:$H$1005,MATCH(V115,'Material routes'!$A$6:$A$1005,0)),"MISSING ID")</x:f>
        <x:v>Processed material</x:v>
      </x:c>
      <x:c r="I115" s="4" t="str">
        <x:f>IFERROR(INDEX('Material routes'!$G$6:$G$1005,MATCH(V115,'Material routes'!$A$6:$A$1005,0)),"MISSING ID")</x:f>
        <x:v>Resources</x:v>
      </x:c>
      <x:c r="J115" s="4" t="str">
        <x:f>IFERROR(INDEX('Material routes'!$B$6:$B$1005,MATCH(U115,'Material routes'!$A$6:$A$1005,0)),"MISSING ID")</x:f>
        <x:v>design.branch.branch.pigment_coating</x:v>
      </x:c>
      <x:c r="K115" s="4" t="str">
        <x:f>IFERROR(INDEX('Crafting recipes'!$C$6:$C$1005,MATCH(J115,'Crafting recipes'!$A$6:$A$1005,0)),"MISSING ID")</x:f>
        <x:v>Material refinement</x:v>
      </x:c>
      <x:c r="L115" s="4" t="str">
        <x:f>IFERROR(INDEX('Material routes'!$K$6:$K$1005,MATCH(U115,'Material routes'!$A$6:$A$1005,0)),"MISSING ID")</x:f>
        <x:v>Proposal</x:v>
      </x:c>
      <x:c r="M115" s="4" t="str">
        <x:f>IFERROR(INDEX('Material routes'!$M$6:$M$1005,MATCH(U115,'Material routes'!$A$6:$A$1005,0)),"MISSING ID")</x:f>
        <x:v>Partial proposal</x:v>
      </x:c>
      <x:c r="N115" s="4" t="str">
        <x:f>IF(IFERROR(INDEX('Material routes'!$I$6:$I$1005,MATCH(U115,'Material routes'!$A$6:$A$1005,0)),"MISSING ID")=0,"",IFERROR(INDEX('Material routes'!$I$6:$I$1005,MATCH(U115,'Material routes'!$A$6:$A$1005,0)),"MISSING ID"))</x:f>
      </x:c>
      <x:c r="O115" s="4" t="str">
        <x:f>IFERROR(INDEX('Material routes'!$J$6:$J$1005,MATCH(U115,'Material routes'!$A$6:$A$1005,0)),"MISSING ID")</x:f>
        <x:v>Unspecified</x:v>
      </x:c>
      <x:c r="P115" s="4" t="str">
        <x:f>IF(IFERROR(INDEX('Material routes'!$I$6:$I$1005,MATCH(V115,'Material routes'!$A$6:$A$1005,0)),"MISSING ID")=0,"",IFERROR(INDEX('Material routes'!$I$6:$I$1005,MATCH(V115,'Material routes'!$A$6:$A$1005,0)),"MISSING ID"))</x:f>
      </x:c>
      <x:c r="Q115" s="4" t="str">
        <x:f>IFERROR(INDEX('Material routes'!$J$6:$J$1005,MATCH(V115,'Material routes'!$A$6:$A$1005,0)),"MISSING ID")</x:f>
        <x:v>Unspecified</x:v>
      </x:c>
      <x:c r="R115" s="4" t="str">
        <x:f>IF(L115="Withheld","Withheld premise",IF(E115="Tool candidate","Reusable prerequisite",IF(K115="Raw entry preparation","Entry-resource preparation",IF(G115="Not applicable","Finished endpoint",IF(OR(IFERROR(INDEX('Crafting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routes'!$D$6:$D$1005,MATCH(U115,'Material routes'!$A$6:$A$1005,0)),"MISSING ID")</x:f>
        <x:v>proposal.t1.pigment_powder</x:v>
      </x:c>
      <x:c r="T115" s="4" t="str">
        <x:f>IFERROR(INDEX('Material routes'!$D$6:$D$1005,MATCH(V115,'Material routes'!$A$6:$A$1005,0)),"MISSING ID")</x:f>
        <x:v>proposal.branch.pigment_coating</x:v>
      </x:c>
      <x:c r="U115" s="4" t="str">
        <x:v>design.branch.branch.pigment_coating.in.1</x:v>
      </x:c>
      <x:c r="V115" s="4" t="str">
        <x:v>design.branch.branch.pigment_coating.out</x:v>
      </x:c>
    </x:row>
    <x:row r="116" ht="105" customHeight="1">
      <x:c r="A116" s="4" t="str">
        <x:f>IFERROR(INDEX('Material routes'!$E$6:$E$1005,MATCH(U116,'Material routes'!$A$6:$A$1005,0)),"MISSING ID")</x:f>
        <x:v>Selected faunal carrier fraction</x:v>
      </x:c>
      <x:c r="B116" s="4" t="str">
        <x:f>IFERROR(INDEX('Material routes'!$F$6:$F$1005,MATCH(U116,'Material routes'!$A$6:$A$1005,0)),"MISSING ID")</x:f>
        <x:v>T1</x:v>
      </x:c>
      <x:c r="C116" s="4" t="str">
        <x:f>IFERROR(INDEX('Material routes'!$H$6:$H$1005,MATCH(U116,'Material routes'!$A$6:$A$1005,0)),"MISSING ID")</x:f>
        <x:v>Chemical material</x:v>
      </x:c>
      <x:c r="D116" s="4" t="str">
        <x:f>IFERROR(INDEX('Material routes'!$G$6:$G$1005,MATCH(U116,'Material routes'!$A$6:$A$1005,0)),"MISSING ID")</x:f>
        <x:v>Resources</x:v>
      </x:c>
      <x:c r="E116" s="4" t="str">
        <x:f>IFERROR(INDEX('Material routes'!$C$6:$C$1005,MATCH(U116,'Material routes'!$A$6:$A$1005,0)),"MISSING ID")</x:f>
        <x:v>Ingredient candidate</x:v>
      </x:c>
      <x:c r="F116" s="4" t="str">
        <x:f>IFERROR(INDEX('Material routes'!$E$6:$E$1005,MATCH(V116,'Material routes'!$A$6:$A$1005,0)),"MISSING ID")</x:f>
        <x:v>Mineral pigment coating</x:v>
      </x:c>
      <x:c r="G116" s="4" t="str">
        <x:f>IFERROR(INDEX('Material routes'!$F$6:$F$1005,MATCH(V116,'Material routes'!$A$6:$A$1005,0)),"MISSING ID")</x:f>
        <x:v>T2</x:v>
      </x:c>
      <x:c r="H116" s="4" t="str">
        <x:f>IFERROR(INDEX('Material routes'!$H$6:$H$1005,MATCH(V116,'Material routes'!$A$6:$A$1005,0)),"MISSING ID")</x:f>
        <x:v>Processed material</x:v>
      </x:c>
      <x:c r="I116" s="4" t="str">
        <x:f>IFERROR(INDEX('Material routes'!$G$6:$G$1005,MATCH(V116,'Material routes'!$A$6:$A$1005,0)),"MISSING ID")</x:f>
        <x:v>Resources</x:v>
      </x:c>
      <x:c r="J116" s="4" t="str">
        <x:f>IFERROR(INDEX('Material routes'!$B$6:$B$1005,MATCH(U116,'Material routes'!$A$6:$A$1005,0)),"MISSING ID")</x:f>
        <x:v>design.branch.branch.pigment_coating</x:v>
      </x:c>
      <x:c r="K116" s="4" t="str">
        <x:f>IFERROR(INDEX('Crafting recipes'!$C$6:$C$1005,MATCH(J116,'Crafting recipes'!$A$6:$A$1005,0)),"MISSING ID")</x:f>
        <x:v>Material refinement</x:v>
      </x:c>
      <x:c r="L116" s="4" t="str">
        <x:f>IFERROR(INDEX('Material routes'!$K$6:$K$1005,MATCH(U116,'Material routes'!$A$6:$A$1005,0)),"MISSING ID")</x:f>
        <x:v>Proposal</x:v>
      </x:c>
      <x:c r="M116" s="4" t="str">
        <x:f>IFERROR(INDEX('Material routes'!$M$6:$M$1005,MATCH(U116,'Material routes'!$A$6:$A$1005,0)),"MISSING ID")</x:f>
        <x:v>Partial proposal</x:v>
      </x:c>
      <x:c r="N116" s="4" t="str">
        <x:f>IF(IFERROR(INDEX('Material routes'!$I$6:$I$1005,MATCH(U116,'Material routes'!$A$6:$A$1005,0)),"MISSING ID")=0,"",IFERROR(INDEX('Material routes'!$I$6:$I$1005,MATCH(U116,'Material routes'!$A$6:$A$1005,0)),"MISSING ID"))</x:f>
      </x:c>
      <x:c r="O116" s="4" t="str">
        <x:f>IFERROR(INDEX('Material routes'!$J$6:$J$1005,MATCH(U116,'Material routes'!$A$6:$A$1005,0)),"MISSING ID")</x:f>
        <x:v>Unspecified</x:v>
      </x:c>
      <x:c r="P116" s="4" t="str">
        <x:f>IF(IFERROR(INDEX('Material routes'!$I$6:$I$1005,MATCH(V116,'Material routes'!$A$6:$A$1005,0)),"MISSING ID")=0,"",IFERROR(INDEX('Material routes'!$I$6:$I$1005,MATCH(V116,'Material routes'!$A$6:$A$1005,0)),"MISSING ID"))</x:f>
      </x:c>
      <x:c r="Q116" s="4" t="str">
        <x:f>IFERROR(INDEX('Material routes'!$J$6:$J$1005,MATCH(V116,'Material routes'!$A$6:$A$1005,0)),"MISSING ID")</x:f>
        <x:v>Unspecified</x:v>
      </x:c>
      <x:c r="R116" s="4" t="str">
        <x:f>IF(L116="Withheld","Withheld premise",IF(E116="Tool candidate","Reusable prerequisite",IF(K116="Raw entry preparation","Entry-resource preparation",IF(G116="Not applicable","Finished endpoint",IF(OR(IFERROR(INDEX('Crafting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routes'!$D$6:$D$1005,MATCH(U116,'Material routes'!$A$6:$A$1005,0)),"MISSING ID")</x:f>
        <x:v>proposal.t1.faunal_carrier</x:v>
      </x:c>
      <x:c r="T116" s="4" t="str">
        <x:f>IFERROR(INDEX('Material routes'!$D$6:$D$1005,MATCH(V116,'Material routes'!$A$6:$A$1005,0)),"MISSING ID")</x:f>
        <x:v>proposal.branch.pigment_coating</x:v>
      </x:c>
      <x:c r="U116" s="4" t="str">
        <x:v>design.branch.branch.pigment_coating.in.2</x:v>
      </x:c>
      <x:c r="V116" s="4" t="str">
        <x:v>design.branch.branch.pigment_coating.out</x:v>
      </x:c>
    </x:row>
    <x:row r="117" ht="105" customHeight="1">
      <x:c r="A117" s="4" t="str">
        <x:f>IFERROR(INDEX('Material routes'!$E$6:$E$1005,MATCH(U117,'Material routes'!$A$6:$A$1005,0)),"MISSING ID")</x:f>
        <x:v>Prepared shell-binding adhesive</x:v>
      </x:c>
      <x:c r="B117" s="4" t="str">
        <x:f>IFERROR(INDEX('Material routes'!$F$6:$F$1005,MATCH(U117,'Material routes'!$A$6:$A$1005,0)),"MISSING ID")</x:f>
        <x:v>T1</x:v>
      </x:c>
      <x:c r="C117" s="4" t="str">
        <x:f>IFERROR(INDEX('Material routes'!$H$6:$H$1005,MATCH(U117,'Material routes'!$A$6:$A$1005,0)),"MISSING ID")</x:f>
        <x:v>Chemical material</x:v>
      </x:c>
      <x:c r="D117" s="4" t="str">
        <x:f>IFERROR(INDEX('Material routes'!$G$6:$G$1005,MATCH(U117,'Material routes'!$A$6:$A$1005,0)),"MISSING ID")</x:f>
        <x:v>Resources</x:v>
      </x:c>
      <x:c r="E117" s="4" t="str">
        <x:f>IFERROR(INDEX('Material routes'!$C$6:$C$1005,MATCH(U117,'Material routes'!$A$6:$A$1005,0)),"MISSING ID")</x:f>
        <x:v>Ingredient candidate</x:v>
      </x:c>
      <x:c r="F117" s="4" t="str">
        <x:f>IFERROR(INDEX('Material routes'!$E$6:$E$1005,MATCH(V117,'Material routes'!$A$6:$A$1005,0)),"MISSING ID")</x:f>
        <x:v>Filled shell-binding compound</x:v>
      </x:c>
      <x:c r="G117" s="4" t="str">
        <x:f>IFERROR(INDEX('Material routes'!$F$6:$F$1005,MATCH(V117,'Material routes'!$A$6:$A$1005,0)),"MISSING ID")</x:f>
        <x:v>T2</x:v>
      </x:c>
      <x:c r="H117" s="4" t="str">
        <x:f>IFERROR(INDEX('Material routes'!$H$6:$H$1005,MATCH(V117,'Material routes'!$A$6:$A$1005,0)),"MISSING ID")</x:f>
        <x:v>Chemical material</x:v>
      </x:c>
      <x:c r="I117" s="4" t="str">
        <x:f>IFERROR(INDEX('Material routes'!$G$6:$G$1005,MATCH(V117,'Material routes'!$A$6:$A$1005,0)),"MISSING ID")</x:f>
        <x:v>Resources</x:v>
      </x:c>
      <x:c r="J117" s="4" t="str">
        <x:f>IFERROR(INDEX('Material routes'!$B$6:$B$1005,MATCH(U117,'Material routes'!$A$6:$A$1005,0)),"MISSING ID")</x:f>
        <x:v>design.branch.branch.filled_binder</x:v>
      </x:c>
      <x:c r="K117" s="4" t="str">
        <x:f>IFERROR(INDEX('Crafting recipes'!$C$6:$C$1005,MATCH(J117,'Crafting recipes'!$A$6:$A$1005,0)),"MISSING ID")</x:f>
        <x:v>Material refinement</x:v>
      </x:c>
      <x:c r="L117" s="4" t="str">
        <x:f>IFERROR(INDEX('Material routes'!$K$6:$K$1005,MATCH(U117,'Material routes'!$A$6:$A$1005,0)),"MISSING ID")</x:f>
        <x:v>Proposal</x:v>
      </x:c>
      <x:c r="M117" s="4" t="str">
        <x:f>IFERROR(INDEX('Material routes'!$M$6:$M$1005,MATCH(U117,'Material routes'!$A$6:$A$1005,0)),"MISSING ID")</x:f>
        <x:v>Partial proposal</x:v>
      </x:c>
      <x:c r="N117" s="4" t="str">
        <x:f>IF(IFERROR(INDEX('Material routes'!$I$6:$I$1005,MATCH(U117,'Material routes'!$A$6:$A$1005,0)),"MISSING ID")=0,"",IFERROR(INDEX('Material routes'!$I$6:$I$1005,MATCH(U117,'Material routes'!$A$6:$A$1005,0)),"MISSING ID"))</x:f>
      </x:c>
      <x:c r="O117" s="4" t="str">
        <x:f>IFERROR(INDEX('Material routes'!$J$6:$J$1005,MATCH(U117,'Material routes'!$A$6:$A$1005,0)),"MISSING ID")</x:f>
        <x:v>Unspecified</x:v>
      </x:c>
      <x:c r="P117" s="4" t="str">
        <x:f>IF(IFERROR(INDEX('Material routes'!$I$6:$I$1005,MATCH(V117,'Material routes'!$A$6:$A$1005,0)),"MISSING ID")=0,"",IFERROR(INDEX('Material routes'!$I$6:$I$1005,MATCH(V117,'Material routes'!$A$6:$A$1005,0)),"MISSING ID"))</x:f>
      </x:c>
      <x:c r="Q117" s="4" t="str">
        <x:f>IFERROR(INDEX('Material routes'!$J$6:$J$1005,MATCH(V117,'Material routes'!$A$6:$A$1005,0)),"MISSING ID")</x:f>
        <x:v>Unspecified</x:v>
      </x:c>
      <x:c r="R117" s="4" t="str">
        <x:f>IF(L117="Withheld","Withheld premise",IF(E117="Tool candidate","Reusable prerequisite",IF(K117="Raw entry preparation","Entry-resource preparation",IF(G117="Not applicable","Finished endpoint",IF(OR(IFERROR(INDEX('Crafting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routes'!$D$6:$D$1005,MATCH(U117,'Material routes'!$A$6:$A$1005,0)),"MISSING ID")</x:f>
        <x:v>proposal.t1.shell_adhesive</x:v>
      </x:c>
      <x:c r="T117" s="4" t="str">
        <x:f>IFERROR(INDEX('Material routes'!$D$6:$D$1005,MATCH(V117,'Material routes'!$A$6:$A$1005,0)),"MISSING ID")</x:f>
        <x:v>proposal.branch.filled_binder</x:v>
      </x:c>
      <x:c r="U117" s="4" t="str">
        <x:v>design.branch.branch.filled_binder.in.1</x:v>
      </x:c>
      <x:c r="V117" s="4" t="str">
        <x:v>design.branch.branch.filled_binder.out</x:v>
      </x:c>
    </x:row>
    <x:row r="118" ht="105" customHeight="1">
      <x:c r="A118" s="4" t="str">
        <x:f>IFERROR(INDEX('Material routes'!$E$6:$E$1005,MATCH(U118,'Material routes'!$A$6:$A$1005,0)),"MISSING ID")</x:f>
        <x:v>Graded mineral filler</x:v>
      </x:c>
      <x:c r="B118" s="4" t="str">
        <x:f>IFERROR(INDEX('Material routes'!$F$6:$F$1005,MATCH(U118,'Material routes'!$A$6:$A$1005,0)),"MISSING ID")</x:f>
        <x:v>T1</x:v>
      </x:c>
      <x:c r="C118" s="4" t="str">
        <x:f>IFERROR(INDEX('Material routes'!$H$6:$H$1005,MATCH(U118,'Material routes'!$A$6:$A$1005,0)),"MISSING ID")</x:f>
        <x:v>Processed material</x:v>
      </x:c>
      <x:c r="D118" s="4" t="str">
        <x:f>IFERROR(INDEX('Material routes'!$G$6:$G$1005,MATCH(U118,'Material routes'!$A$6:$A$1005,0)),"MISSING ID")</x:f>
        <x:v>Resources</x:v>
      </x:c>
      <x:c r="E118" s="4" t="str">
        <x:f>IFERROR(INDEX('Material routes'!$C$6:$C$1005,MATCH(U118,'Material routes'!$A$6:$A$1005,0)),"MISSING ID")</x:f>
        <x:v>Ingredient candidate</x:v>
      </x:c>
      <x:c r="F118" s="4" t="str">
        <x:f>IFERROR(INDEX('Material routes'!$E$6:$E$1005,MATCH(V118,'Material routes'!$A$6:$A$1005,0)),"MISSING ID")</x:f>
        <x:v>Filled shell-binding compound</x:v>
      </x:c>
      <x:c r="G118" s="4" t="str">
        <x:f>IFERROR(INDEX('Material routes'!$F$6:$F$1005,MATCH(V118,'Material routes'!$A$6:$A$1005,0)),"MISSING ID")</x:f>
        <x:v>T2</x:v>
      </x:c>
      <x:c r="H118" s="4" t="str">
        <x:f>IFERROR(INDEX('Material routes'!$H$6:$H$1005,MATCH(V118,'Material routes'!$A$6:$A$1005,0)),"MISSING ID")</x:f>
        <x:v>Chemical material</x:v>
      </x:c>
      <x:c r="I118" s="4" t="str">
        <x:f>IFERROR(INDEX('Material routes'!$G$6:$G$1005,MATCH(V118,'Material routes'!$A$6:$A$1005,0)),"MISSING ID")</x:f>
        <x:v>Resources</x:v>
      </x:c>
      <x:c r="J118" s="4" t="str">
        <x:f>IFERROR(INDEX('Material routes'!$B$6:$B$1005,MATCH(U118,'Material routes'!$A$6:$A$1005,0)),"MISSING ID")</x:f>
        <x:v>design.branch.branch.filled_binder</x:v>
      </x:c>
      <x:c r="K118" s="4" t="str">
        <x:f>IFERROR(INDEX('Crafting recipes'!$C$6:$C$1005,MATCH(J118,'Crafting recipes'!$A$6:$A$1005,0)),"MISSING ID")</x:f>
        <x:v>Material refinement</x:v>
      </x:c>
      <x:c r="L118" s="4" t="str">
        <x:f>IFERROR(INDEX('Material routes'!$K$6:$K$1005,MATCH(U118,'Material routes'!$A$6:$A$1005,0)),"MISSING ID")</x:f>
        <x:v>Proposal</x:v>
      </x:c>
      <x:c r="M118" s="4" t="str">
        <x:f>IFERROR(INDEX('Material routes'!$M$6:$M$1005,MATCH(U118,'Material routes'!$A$6:$A$1005,0)),"MISSING ID")</x:f>
        <x:v>Partial proposal</x:v>
      </x:c>
      <x:c r="N118" s="4" t="str">
        <x:f>IF(IFERROR(INDEX('Material routes'!$I$6:$I$1005,MATCH(U118,'Material routes'!$A$6:$A$1005,0)),"MISSING ID")=0,"",IFERROR(INDEX('Material routes'!$I$6:$I$1005,MATCH(U118,'Material routes'!$A$6:$A$1005,0)),"MISSING ID"))</x:f>
      </x:c>
      <x:c r="O118" s="4" t="str">
        <x:f>IFERROR(INDEX('Material routes'!$J$6:$J$1005,MATCH(U118,'Material routes'!$A$6:$A$1005,0)),"MISSING ID")</x:f>
        <x:v>Unspecified</x:v>
      </x:c>
      <x:c r="P118" s="4" t="str">
        <x:f>IF(IFERROR(INDEX('Material routes'!$I$6:$I$1005,MATCH(V118,'Material routes'!$A$6:$A$1005,0)),"MISSING ID")=0,"",IFERROR(INDEX('Material routes'!$I$6:$I$1005,MATCH(V118,'Material routes'!$A$6:$A$1005,0)),"MISSING ID"))</x:f>
      </x:c>
      <x:c r="Q118" s="4" t="str">
        <x:f>IFERROR(INDEX('Material routes'!$J$6:$J$1005,MATCH(V118,'Material routes'!$A$6:$A$1005,0)),"MISSING ID")</x:f>
        <x:v>Unspecified</x:v>
      </x:c>
      <x:c r="R118" s="4" t="str">
        <x:f>IF(L118="Withheld","Withheld premise",IF(E118="Tool candidate","Reusable prerequisite",IF(K118="Raw entry preparation","Entry-resource preparation",IF(G118="Not applicable","Finished endpoint",IF(OR(IFERROR(INDEX('Crafting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routes'!$D$6:$D$1005,MATCH(U118,'Material routes'!$A$6:$A$1005,0)),"MISSING ID")</x:f>
        <x:v>proposal.t1.mineral_filler</x:v>
      </x:c>
      <x:c r="T118" s="4" t="str">
        <x:f>IFERROR(INDEX('Material routes'!$D$6:$D$1005,MATCH(V118,'Material routes'!$A$6:$A$1005,0)),"MISSING ID")</x:f>
        <x:v>proposal.branch.filled_binder</x:v>
      </x:c>
      <x:c r="U118" s="4" t="str">
        <x:v>design.branch.branch.filled_binder.in.2</x:v>
      </x:c>
      <x:c r="V118" s="4" t="str">
        <x:v>design.branch.branch.filled_binder.out</x:v>
      </x:c>
    </x:row>
    <x:row r="119" ht="105" customHeight="1">
      <x:c r="A119" s="4" t="str">
        <x:f>IFERROR(INDEX('Material routes'!$E$6:$E$1005,MATCH(U119,'Material routes'!$A$6:$A$1005,0)),"MISSING ID")</x:f>
        <x:v>Separated mica flake grade</x:v>
      </x:c>
      <x:c r="B119" s="4" t="str">
        <x:f>IFERROR(INDEX('Material routes'!$F$6:$F$1005,MATCH(U119,'Material routes'!$A$6:$A$1005,0)),"MISSING ID")</x:f>
        <x:v>T1</x:v>
      </x:c>
      <x:c r="C119" s="4" t="str">
        <x:f>IFERROR(INDEX('Material routes'!$H$6:$H$1005,MATCH(U119,'Material routes'!$A$6:$A$1005,0)),"MISSING ID")</x:f>
        <x:v>Processed material</x:v>
      </x:c>
      <x:c r="D119" s="4" t="str">
        <x:f>IFERROR(INDEX('Material routes'!$G$6:$G$1005,MATCH(U119,'Material routes'!$A$6:$A$1005,0)),"MISSING ID")</x:f>
        <x:v>Resources</x:v>
      </x:c>
      <x:c r="E119" s="4" t="str">
        <x:f>IFERROR(INDEX('Material routes'!$C$6:$C$1005,MATCH(U119,'Material routes'!$A$6:$A$1005,0)),"MISSING ID")</x:f>
        <x:v>Ingredient candidate</x:v>
      </x:c>
      <x:c r="F119" s="4" t="str">
        <x:f>IFERROR(INDEX('Material routes'!$E$6:$E$1005,MATCH(V119,'Material routes'!$A$6:$A$1005,0)),"MISSING ID")</x:f>
        <x:v>Mica composite sheet</x:v>
      </x:c>
      <x:c r="G119" s="4" t="str">
        <x:f>IFERROR(INDEX('Material routes'!$F$6:$F$1005,MATCH(V119,'Material routes'!$A$6:$A$1005,0)),"MISSING ID")</x:f>
        <x:v>T2</x:v>
      </x:c>
      <x:c r="H119" s="4" t="str">
        <x:f>IFERROR(INDEX('Material routes'!$H$6:$H$1005,MATCH(V119,'Material routes'!$A$6:$A$1005,0)),"MISSING ID")</x:f>
        <x:v>Processed material</x:v>
      </x:c>
      <x:c r="I119" s="4" t="str">
        <x:f>IFERROR(INDEX('Material routes'!$G$6:$G$1005,MATCH(V119,'Material routes'!$A$6:$A$1005,0)),"MISSING ID")</x:f>
        <x:v>Resources</x:v>
      </x:c>
      <x:c r="J119" s="4" t="str">
        <x:f>IFERROR(INDEX('Material routes'!$B$6:$B$1005,MATCH(U119,'Material routes'!$A$6:$A$1005,0)),"MISSING ID")</x:f>
        <x:v>design.branch.branch.mica_sheet</x:v>
      </x:c>
      <x:c r="K119" s="4" t="str">
        <x:f>IFERROR(INDEX('Crafting recipes'!$C$6:$C$1005,MATCH(J119,'Crafting recipes'!$A$6:$A$1005,0)),"MISSING ID")</x:f>
        <x:v>Material refinement</x:v>
      </x:c>
      <x:c r="L119" s="4" t="str">
        <x:f>IFERROR(INDEX('Material routes'!$K$6:$K$1005,MATCH(U119,'Material routes'!$A$6:$A$1005,0)),"MISSING ID")</x:f>
        <x:v>Proposal</x:v>
      </x:c>
      <x:c r="M119" s="4" t="str">
        <x:f>IFERROR(INDEX('Material routes'!$M$6:$M$1005,MATCH(U119,'Material routes'!$A$6:$A$1005,0)),"MISSING ID")</x:f>
        <x:v>Partial proposal</x:v>
      </x:c>
      <x:c r="N119" s="4" t="str">
        <x:f>IF(IFERROR(INDEX('Material routes'!$I$6:$I$1005,MATCH(U119,'Material routes'!$A$6:$A$1005,0)),"MISSING ID")=0,"",IFERROR(INDEX('Material routes'!$I$6:$I$1005,MATCH(U119,'Material routes'!$A$6:$A$1005,0)),"MISSING ID"))</x:f>
      </x:c>
      <x:c r="O119" s="4" t="str">
        <x:f>IFERROR(INDEX('Material routes'!$J$6:$J$1005,MATCH(U119,'Material routes'!$A$6:$A$1005,0)),"MISSING ID")</x:f>
        <x:v>Unspecified</x:v>
      </x:c>
      <x:c r="P119" s="4" t="str">
        <x:f>IF(IFERROR(INDEX('Material routes'!$I$6:$I$1005,MATCH(V119,'Material routes'!$A$6:$A$1005,0)),"MISSING ID")=0,"",IFERROR(INDEX('Material routes'!$I$6:$I$1005,MATCH(V119,'Material routes'!$A$6:$A$1005,0)),"MISSING ID"))</x:f>
      </x:c>
      <x:c r="Q119" s="4" t="str">
        <x:f>IFERROR(INDEX('Material routes'!$J$6:$J$1005,MATCH(V119,'Material routes'!$A$6:$A$1005,0)),"MISSING ID")</x:f>
        <x:v>Unspecified</x:v>
      </x:c>
      <x:c r="R119" s="4" t="str">
        <x:f>IF(L119="Withheld","Withheld premise",IF(E119="Tool candidate","Reusable prerequisite",IF(K119="Raw entry preparation","Entry-resource preparation",IF(G119="Not applicable","Finished endpoint",IF(OR(IFERROR(INDEX('Crafting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routes'!$D$6:$D$1005,MATCH(U119,'Material routes'!$A$6:$A$1005,0)),"MISSING ID")</x:f>
        <x:v>proposal.t1.mica_flakes</x:v>
      </x:c>
      <x:c r="T119" s="4" t="str">
        <x:f>IFERROR(INDEX('Material routes'!$D$6:$D$1005,MATCH(V119,'Material routes'!$A$6:$A$1005,0)),"MISSING ID")</x:f>
        <x:v>proposal.branch.mica_sheet</x:v>
      </x:c>
      <x:c r="U119" s="4" t="str">
        <x:v>design.branch.branch.mica_sheet.in.1</x:v>
      </x:c>
      <x:c r="V119" s="4" t="str">
        <x:v>design.branch.branch.mica_sheet.out</x:v>
      </x:c>
    </x:row>
    <x:row r="120" ht="105" customHeight="1">
      <x:c r="A120" s="4" t="str">
        <x:f>IFERROR(INDEX('Material routes'!$E$6:$E$1005,MATCH(U120,'Material routes'!$A$6:$A$1005,0)),"MISSING ID")</x:f>
        <x:v>Prepared shell-binding adhesive</x:v>
      </x:c>
      <x:c r="B120" s="4" t="str">
        <x:f>IFERROR(INDEX('Material routes'!$F$6:$F$1005,MATCH(U120,'Material routes'!$A$6:$A$1005,0)),"MISSING ID")</x:f>
        <x:v>T1</x:v>
      </x:c>
      <x:c r="C120" s="4" t="str">
        <x:f>IFERROR(INDEX('Material routes'!$H$6:$H$1005,MATCH(U120,'Material routes'!$A$6:$A$1005,0)),"MISSING ID")</x:f>
        <x:v>Chemical material</x:v>
      </x:c>
      <x:c r="D120" s="4" t="str">
        <x:f>IFERROR(INDEX('Material routes'!$G$6:$G$1005,MATCH(U120,'Material routes'!$A$6:$A$1005,0)),"MISSING ID")</x:f>
        <x:v>Resources</x:v>
      </x:c>
      <x:c r="E120" s="4" t="str">
        <x:f>IFERROR(INDEX('Material routes'!$C$6:$C$1005,MATCH(U120,'Material routes'!$A$6:$A$1005,0)),"MISSING ID")</x:f>
        <x:v>Ingredient candidate</x:v>
      </x:c>
      <x:c r="F120" s="4" t="str">
        <x:f>IFERROR(INDEX('Material routes'!$E$6:$E$1005,MATCH(V120,'Material routes'!$A$6:$A$1005,0)),"MISSING ID")</x:f>
        <x:v>Mica composite sheet</x:v>
      </x:c>
      <x:c r="G120" s="4" t="str">
        <x:f>IFERROR(INDEX('Material routes'!$F$6:$F$1005,MATCH(V120,'Material routes'!$A$6:$A$1005,0)),"MISSING ID")</x:f>
        <x:v>T2</x:v>
      </x:c>
      <x:c r="H120" s="4" t="str">
        <x:f>IFERROR(INDEX('Material routes'!$H$6:$H$1005,MATCH(V120,'Material routes'!$A$6:$A$1005,0)),"MISSING ID")</x:f>
        <x:v>Processed material</x:v>
      </x:c>
      <x:c r="I120" s="4" t="str">
        <x:f>IFERROR(INDEX('Material routes'!$G$6:$G$1005,MATCH(V120,'Material routes'!$A$6:$A$1005,0)),"MISSING ID")</x:f>
        <x:v>Resources</x:v>
      </x:c>
      <x:c r="J120" s="4" t="str">
        <x:f>IFERROR(INDEX('Material routes'!$B$6:$B$1005,MATCH(U120,'Material routes'!$A$6:$A$1005,0)),"MISSING ID")</x:f>
        <x:v>design.branch.branch.mica_sheet</x:v>
      </x:c>
      <x:c r="K120" s="4" t="str">
        <x:f>IFERROR(INDEX('Crafting recipes'!$C$6:$C$1005,MATCH(J120,'Crafting recipes'!$A$6:$A$1005,0)),"MISSING ID")</x:f>
        <x:v>Material refinement</x:v>
      </x:c>
      <x:c r="L120" s="4" t="str">
        <x:f>IFERROR(INDEX('Material routes'!$K$6:$K$1005,MATCH(U120,'Material routes'!$A$6:$A$1005,0)),"MISSING ID")</x:f>
        <x:v>Proposal</x:v>
      </x:c>
      <x:c r="M120" s="4" t="str">
        <x:f>IFERROR(INDEX('Material routes'!$M$6:$M$1005,MATCH(U120,'Material routes'!$A$6:$A$1005,0)),"MISSING ID")</x:f>
        <x:v>Partial proposal</x:v>
      </x:c>
      <x:c r="N120" s="4" t="str">
        <x:f>IF(IFERROR(INDEX('Material routes'!$I$6:$I$1005,MATCH(U120,'Material routes'!$A$6:$A$1005,0)),"MISSING ID")=0,"",IFERROR(INDEX('Material routes'!$I$6:$I$1005,MATCH(U120,'Material routes'!$A$6:$A$1005,0)),"MISSING ID"))</x:f>
      </x:c>
      <x:c r="O120" s="4" t="str">
        <x:f>IFERROR(INDEX('Material routes'!$J$6:$J$1005,MATCH(U120,'Material routes'!$A$6:$A$1005,0)),"MISSING ID")</x:f>
        <x:v>Unspecified</x:v>
      </x:c>
      <x:c r="P120" s="4" t="str">
        <x:f>IF(IFERROR(INDEX('Material routes'!$I$6:$I$1005,MATCH(V120,'Material routes'!$A$6:$A$1005,0)),"MISSING ID")=0,"",IFERROR(INDEX('Material routes'!$I$6:$I$1005,MATCH(V120,'Material routes'!$A$6:$A$1005,0)),"MISSING ID"))</x:f>
      </x:c>
      <x:c r="Q120" s="4" t="str">
        <x:f>IFERROR(INDEX('Material routes'!$J$6:$J$1005,MATCH(V120,'Material routes'!$A$6:$A$1005,0)),"MISSING ID")</x:f>
        <x:v>Unspecified</x:v>
      </x:c>
      <x:c r="R120" s="4" t="str">
        <x:f>IF(L120="Withheld","Withheld premise",IF(E120="Tool candidate","Reusable prerequisite",IF(K120="Raw entry preparation","Entry-resource preparation",IF(G120="Not applicable","Finished endpoint",IF(OR(IFERROR(INDEX('Crafting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routes'!$D$6:$D$1005,MATCH(U120,'Material routes'!$A$6:$A$1005,0)),"MISSING ID")</x:f>
        <x:v>proposal.t1.shell_adhesive</x:v>
      </x:c>
      <x:c r="T120" s="4" t="str">
        <x:f>IFERROR(INDEX('Material routes'!$D$6:$D$1005,MATCH(V120,'Material routes'!$A$6:$A$1005,0)),"MISSING ID")</x:f>
        <x:v>proposal.branch.mica_sheet</x:v>
      </x:c>
      <x:c r="U120" s="4" t="str">
        <x:v>design.branch.branch.mica_sheet.in.2</x:v>
      </x:c>
      <x:c r="V120" s="4" t="str">
        <x:v>design.branch.branch.mica_sheet.out</x:v>
      </x:c>
    </x:row>
    <x:row r="121" ht="105" customHeight="1">
      <x:c r="A121" s="4" t="str">
        <x:f>IFERROR(INDEX('Material routes'!$E$6:$E$1005,MATCH(U121,'Material routes'!$A$6:$A$1005,0)),"MISSING ID")</x:f>
        <x:v>Selected resonant-stone blank</x:v>
      </x:c>
      <x:c r="B121" s="4" t="str">
        <x:f>IFERROR(INDEX('Material routes'!$F$6:$F$1005,MATCH(U121,'Material routes'!$A$6:$A$1005,0)),"MISSING ID")</x:f>
        <x:v>T1</x:v>
      </x:c>
      <x:c r="C121" s="4" t="str">
        <x:f>IFERROR(INDEX('Material routes'!$H$6:$H$1005,MATCH(U121,'Material routes'!$A$6:$A$1005,0)),"MISSING ID")</x:f>
        <x:v>Processed material</x:v>
      </x:c>
      <x:c r="D121" s="4" t="str">
        <x:f>IFERROR(INDEX('Material routes'!$G$6:$G$1005,MATCH(U121,'Material routes'!$A$6:$A$1005,0)),"MISSING ID")</x:f>
        <x:v>Resources</x:v>
      </x:c>
      <x:c r="E121" s="4" t="str">
        <x:f>IFERROR(INDEX('Material routes'!$C$6:$C$1005,MATCH(U121,'Material routes'!$A$6:$A$1005,0)),"MISSING ID")</x:f>
        <x:v>Ingredient candidate</x:v>
      </x:c>
      <x:c r="F121" s="4" t="str">
        <x:f>IFERROR(INDEX('Material routes'!$E$6:$E$1005,MATCH(V121,'Material routes'!$A$6:$A$1005,0)),"MISSING ID")</x:f>
        <x:v>Tuned stone stock</x:v>
      </x:c>
      <x:c r="G121" s="4" t="str">
        <x:f>IFERROR(INDEX('Material routes'!$F$6:$F$1005,MATCH(V121,'Material routes'!$A$6:$A$1005,0)),"MISSING ID")</x:f>
        <x:v>T2</x:v>
      </x:c>
      <x:c r="H121" s="4" t="str">
        <x:f>IFERROR(INDEX('Material routes'!$H$6:$H$1005,MATCH(V121,'Material routes'!$A$6:$A$1005,0)),"MISSING ID")</x:f>
        <x:v>Processed material</x:v>
      </x:c>
      <x:c r="I121" s="4" t="str">
        <x:f>IFERROR(INDEX('Material routes'!$G$6:$G$1005,MATCH(V121,'Material routes'!$A$6:$A$1005,0)),"MISSING ID")</x:f>
        <x:v>Resources</x:v>
      </x:c>
      <x:c r="J121" s="4" t="str">
        <x:f>IFERROR(INDEX('Material routes'!$B$6:$B$1005,MATCH(U121,'Material routes'!$A$6:$A$1005,0)),"MISSING ID")</x:f>
        <x:v>design.branch.branch.tuned_stone</x:v>
      </x:c>
      <x:c r="K121" s="4" t="str">
        <x:f>IFERROR(INDEX('Crafting recipes'!$C$6:$C$1005,MATCH(J121,'Crafting recipes'!$A$6:$A$1005,0)),"MISSING ID")</x:f>
        <x:v>Material refinement</x:v>
      </x:c>
      <x:c r="L121" s="4" t="str">
        <x:f>IFERROR(INDEX('Material routes'!$K$6:$K$1005,MATCH(U121,'Material routes'!$A$6:$A$1005,0)),"MISSING ID")</x:f>
        <x:v>Proposal</x:v>
      </x:c>
      <x:c r="M121" s="4" t="str">
        <x:f>IFERROR(INDEX('Material routes'!$M$6:$M$1005,MATCH(U121,'Material routes'!$A$6:$A$1005,0)),"MISSING ID")</x:f>
        <x:v>Partial proposal</x:v>
      </x:c>
      <x:c r="N121" s="4" t="str">
        <x:f>IF(IFERROR(INDEX('Material routes'!$I$6:$I$1005,MATCH(U121,'Material routes'!$A$6:$A$1005,0)),"MISSING ID")=0,"",IFERROR(INDEX('Material routes'!$I$6:$I$1005,MATCH(U121,'Material routes'!$A$6:$A$1005,0)),"MISSING ID"))</x:f>
      </x:c>
      <x:c r="O121" s="4" t="str">
        <x:f>IFERROR(INDEX('Material routes'!$J$6:$J$1005,MATCH(U121,'Material routes'!$A$6:$A$1005,0)),"MISSING ID")</x:f>
        <x:v>Unspecified</x:v>
      </x:c>
      <x:c r="P121" s="4" t="str">
        <x:f>IF(IFERROR(INDEX('Material routes'!$I$6:$I$1005,MATCH(V121,'Material routes'!$A$6:$A$1005,0)),"MISSING ID")=0,"",IFERROR(INDEX('Material routes'!$I$6:$I$1005,MATCH(V121,'Material routes'!$A$6:$A$1005,0)),"MISSING ID"))</x:f>
      </x:c>
      <x:c r="Q121" s="4" t="str">
        <x:f>IFERROR(INDEX('Material routes'!$J$6:$J$1005,MATCH(V121,'Material routes'!$A$6:$A$1005,0)),"MISSING ID")</x:f>
        <x:v>Unspecified</x:v>
      </x:c>
      <x:c r="R121" s="4" t="str">
        <x:f>IF(L121="Withheld","Withheld premise",IF(E121="Tool candidate","Reusable prerequisite",IF(K121="Raw entry preparation","Entry-resource preparation",IF(G121="Not applicable","Finished endpoint",IF(OR(IFERROR(INDEX('Crafting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routes'!$D$6:$D$1005,MATCH(U121,'Material routes'!$A$6:$A$1005,0)),"MISSING ID")</x:f>
        <x:v>proposal.t1.resonant_blank</x:v>
      </x:c>
      <x:c r="T121" s="4" t="str">
        <x:f>IFERROR(INDEX('Material routes'!$D$6:$D$1005,MATCH(V121,'Material routes'!$A$6:$A$1005,0)),"MISSING ID")</x:f>
        <x:v>proposal.branch.tuned_stone</x:v>
      </x:c>
      <x:c r="U121" s="4" t="str">
        <x:v>design.branch.branch.tuned_stone.in.1</x:v>
      </x:c>
      <x:c r="V121" s="4" t="str">
        <x:v>design.branch.branch.tuned_stone.out</x:v>
      </x:c>
    </x:row>
    <x:row r="122" ht="105" customHeight="1">
      <x:c r="A122" s="4" t="str">
        <x:f>IFERROR(INDEX('Material routes'!$E$6:$E$1005,MATCH(U122,'Material routes'!$A$6:$A$1005,0)),"MISSING ID")</x:f>
        <x:v>Graded abrasive grit</x:v>
      </x:c>
      <x:c r="B122" s="4" t="str">
        <x:f>IFERROR(INDEX('Material routes'!$F$6:$F$1005,MATCH(U122,'Material routes'!$A$6:$A$1005,0)),"MISSING ID")</x:f>
        <x:v>T1</x:v>
      </x:c>
      <x:c r="C122" s="4" t="str">
        <x:f>IFERROR(INDEX('Material routes'!$H$6:$H$1005,MATCH(U122,'Material routes'!$A$6:$A$1005,0)),"MISSING ID")</x:f>
        <x:v>Processed material</x:v>
      </x:c>
      <x:c r="D122" s="4" t="str">
        <x:f>IFERROR(INDEX('Material routes'!$G$6:$G$1005,MATCH(U122,'Material routes'!$A$6:$A$1005,0)),"MISSING ID")</x:f>
        <x:v>Resources</x:v>
      </x:c>
      <x:c r="E122" s="4" t="str">
        <x:f>IFERROR(INDEX('Material routes'!$C$6:$C$1005,MATCH(U122,'Material routes'!$A$6:$A$1005,0)),"MISSING ID")</x:f>
        <x:v>Ingredient candidate</x:v>
      </x:c>
      <x:c r="F122" s="4" t="str">
        <x:f>IFERROR(INDEX('Material routes'!$E$6:$E$1005,MATCH(V122,'Material routes'!$A$6:$A$1005,0)),"MISSING ID")</x:f>
        <x:v>Tuned stone stock</x:v>
      </x:c>
      <x:c r="G122" s="4" t="str">
        <x:f>IFERROR(INDEX('Material routes'!$F$6:$F$1005,MATCH(V122,'Material routes'!$A$6:$A$1005,0)),"MISSING ID")</x:f>
        <x:v>T2</x:v>
      </x:c>
      <x:c r="H122" s="4" t="str">
        <x:f>IFERROR(INDEX('Material routes'!$H$6:$H$1005,MATCH(V122,'Material routes'!$A$6:$A$1005,0)),"MISSING ID")</x:f>
        <x:v>Processed material</x:v>
      </x:c>
      <x:c r="I122" s="4" t="str">
        <x:f>IFERROR(INDEX('Material routes'!$G$6:$G$1005,MATCH(V122,'Material routes'!$A$6:$A$1005,0)),"MISSING ID")</x:f>
        <x:v>Resources</x:v>
      </x:c>
      <x:c r="J122" s="4" t="str">
        <x:f>IFERROR(INDEX('Material routes'!$B$6:$B$1005,MATCH(U122,'Material routes'!$A$6:$A$1005,0)),"MISSING ID")</x:f>
        <x:v>design.branch.branch.tuned_stone</x:v>
      </x:c>
      <x:c r="K122" s="4" t="str">
        <x:f>IFERROR(INDEX('Crafting recipes'!$C$6:$C$1005,MATCH(J122,'Crafting recipes'!$A$6:$A$1005,0)),"MISSING ID")</x:f>
        <x:v>Material refinement</x:v>
      </x:c>
      <x:c r="L122" s="4" t="str">
        <x:f>IFERROR(INDEX('Material routes'!$K$6:$K$1005,MATCH(U122,'Material routes'!$A$6:$A$1005,0)),"MISSING ID")</x:f>
        <x:v>Proposal</x:v>
      </x:c>
      <x:c r="M122" s="4" t="str">
        <x:f>IFERROR(INDEX('Material routes'!$M$6:$M$1005,MATCH(U122,'Material routes'!$A$6:$A$1005,0)),"MISSING ID")</x:f>
        <x:v>Partial proposal</x:v>
      </x:c>
      <x:c r="N122" s="4" t="str">
        <x:f>IF(IFERROR(INDEX('Material routes'!$I$6:$I$1005,MATCH(U122,'Material routes'!$A$6:$A$1005,0)),"MISSING ID")=0,"",IFERROR(INDEX('Material routes'!$I$6:$I$1005,MATCH(U122,'Material routes'!$A$6:$A$1005,0)),"MISSING ID"))</x:f>
      </x:c>
      <x:c r="O122" s="4" t="str">
        <x:f>IFERROR(INDEX('Material routes'!$J$6:$J$1005,MATCH(U122,'Material routes'!$A$6:$A$1005,0)),"MISSING ID")</x:f>
        <x:v>Unspecified</x:v>
      </x:c>
      <x:c r="P122" s="4" t="str">
        <x:f>IF(IFERROR(INDEX('Material routes'!$I$6:$I$1005,MATCH(V122,'Material routes'!$A$6:$A$1005,0)),"MISSING ID")=0,"",IFERROR(INDEX('Material routes'!$I$6:$I$1005,MATCH(V122,'Material routes'!$A$6:$A$1005,0)),"MISSING ID"))</x:f>
      </x:c>
      <x:c r="Q122" s="4" t="str">
        <x:f>IFERROR(INDEX('Material routes'!$J$6:$J$1005,MATCH(V122,'Material routes'!$A$6:$A$1005,0)),"MISSING ID")</x:f>
        <x:v>Unspecified</x:v>
      </x:c>
      <x:c r="R122" s="4" t="str">
        <x:f>IF(L122="Withheld","Withheld premise",IF(E122="Tool candidate","Reusable prerequisite",IF(K122="Raw entry preparation","Entry-resource preparation",IF(G122="Not applicable","Finished endpoint",IF(OR(IFERROR(INDEX('Crafting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routes'!$D$6:$D$1005,MATCH(U122,'Material routes'!$A$6:$A$1005,0)),"MISSING ID")</x:f>
        <x:v>proposal.natural.abrasive</x:v>
      </x:c>
      <x:c r="T122" s="4" t="str">
        <x:f>IFERROR(INDEX('Material routes'!$D$6:$D$1005,MATCH(V122,'Material routes'!$A$6:$A$1005,0)),"MISSING ID")</x:f>
        <x:v>proposal.branch.tuned_stone</x:v>
      </x:c>
      <x:c r="U122" s="4" t="str">
        <x:v>design.branch.branch.tuned_stone.in.2</x:v>
      </x:c>
      <x:c r="V122" s="4" t="str">
        <x:v>design.branch.branch.tuned_stone.out</x:v>
      </x:c>
    </x:row>
    <x:row r="123" ht="105" customHeight="1">
      <x:c r="A123" s="4" t="str">
        <x:f>IFERROR(INDEX('Material routes'!$E$6:$E$1005,MATCH(U123,'Material routes'!$A$6:$A$1005,0)),"MISSING ID")</x:f>
        <x:v>Cut gemstone preform</x:v>
      </x:c>
      <x:c r="B123" s="4" t="str">
        <x:f>IFERROR(INDEX('Material routes'!$F$6:$F$1005,MATCH(U123,'Material routes'!$A$6:$A$1005,0)),"MISSING ID")</x:f>
        <x:v>T1</x:v>
      </x:c>
      <x:c r="C123" s="4" t="str">
        <x:f>IFERROR(INDEX('Material routes'!$H$6:$H$1005,MATCH(U123,'Material routes'!$A$6:$A$1005,0)),"MISSING ID")</x:f>
        <x:v>Processed material</x:v>
      </x:c>
      <x:c r="D123" s="4" t="str">
        <x:f>IFERROR(INDEX('Material routes'!$G$6:$G$1005,MATCH(U123,'Material routes'!$A$6:$A$1005,0)),"MISSING ID")</x:f>
        <x:v>Resources</x:v>
      </x:c>
      <x:c r="E123" s="4" t="str">
        <x:f>IFERROR(INDEX('Material routes'!$C$6:$C$1005,MATCH(U123,'Material routes'!$A$6:$A$1005,0)),"MISSING ID")</x:f>
        <x:v>Ingredient candidate</x:v>
      </x:c>
      <x:c r="F123" s="4" t="str">
        <x:f>IFERROR(INDEX('Material routes'!$E$6:$E$1005,MATCH(V123,'Material routes'!$A$6:$A$1005,0)),"MISSING ID")</x:f>
        <x:v>Polished gemstone blanks</x:v>
      </x:c>
      <x:c r="G123" s="4" t="str">
        <x:f>IFERROR(INDEX('Material routes'!$F$6:$F$1005,MATCH(V123,'Material routes'!$A$6:$A$1005,0)),"MISSING ID")</x:f>
        <x:v>T2</x:v>
      </x:c>
      <x:c r="H123" s="4" t="str">
        <x:f>IFERROR(INDEX('Material routes'!$H$6:$H$1005,MATCH(V123,'Material routes'!$A$6:$A$1005,0)),"MISSING ID")</x:f>
        <x:v>Processed material</x:v>
      </x:c>
      <x:c r="I123" s="4" t="str">
        <x:f>IFERROR(INDEX('Material routes'!$G$6:$G$1005,MATCH(V123,'Material routes'!$A$6:$A$1005,0)),"MISSING ID")</x:f>
        <x:v>Resources</x:v>
      </x:c>
      <x:c r="J123" s="4" t="str">
        <x:f>IFERROR(INDEX('Material routes'!$B$6:$B$1005,MATCH(U123,'Material routes'!$A$6:$A$1005,0)),"MISSING ID")</x:f>
        <x:v>design.branch.branch.polished_gem</x:v>
      </x:c>
      <x:c r="K123" s="4" t="str">
        <x:f>IFERROR(INDEX('Crafting recipes'!$C$6:$C$1005,MATCH(J123,'Crafting recipes'!$A$6:$A$1005,0)),"MISSING ID")</x:f>
        <x:v>Material refinement</x:v>
      </x:c>
      <x:c r="L123" s="4" t="str">
        <x:f>IFERROR(INDEX('Material routes'!$K$6:$K$1005,MATCH(U123,'Material routes'!$A$6:$A$1005,0)),"MISSING ID")</x:f>
        <x:v>Proposal</x:v>
      </x:c>
      <x:c r="M123" s="4" t="str">
        <x:f>IFERROR(INDEX('Material routes'!$M$6:$M$1005,MATCH(U123,'Material routes'!$A$6:$A$1005,0)),"MISSING ID")</x:f>
        <x:v>Partial proposal</x:v>
      </x:c>
      <x:c r="N123" s="4" t="str">
        <x:f>IF(IFERROR(INDEX('Material routes'!$I$6:$I$1005,MATCH(U123,'Material routes'!$A$6:$A$1005,0)),"MISSING ID")=0,"",IFERROR(INDEX('Material routes'!$I$6:$I$1005,MATCH(U123,'Material routes'!$A$6:$A$1005,0)),"MISSING ID"))</x:f>
      </x:c>
      <x:c r="O123" s="4" t="str">
        <x:f>IFERROR(INDEX('Material routes'!$J$6:$J$1005,MATCH(U123,'Material routes'!$A$6:$A$1005,0)),"MISSING ID")</x:f>
        <x:v>Unspecified</x:v>
      </x:c>
      <x:c r="P123" s="4" t="str">
        <x:f>IF(IFERROR(INDEX('Material routes'!$I$6:$I$1005,MATCH(V123,'Material routes'!$A$6:$A$1005,0)),"MISSING ID")=0,"",IFERROR(INDEX('Material routes'!$I$6:$I$1005,MATCH(V123,'Material routes'!$A$6:$A$1005,0)),"MISSING ID"))</x:f>
      </x:c>
      <x:c r="Q123" s="4" t="str">
        <x:f>IFERROR(INDEX('Material routes'!$J$6:$J$1005,MATCH(V123,'Material routes'!$A$6:$A$1005,0)),"MISSING ID")</x:f>
        <x:v>Unspecified</x:v>
      </x:c>
      <x:c r="R123" s="4" t="str">
        <x:f>IF(L123="Withheld","Withheld premise",IF(E123="Tool candidate","Reusable prerequisite",IF(K123="Raw entry preparation","Entry-resource preparation",IF(G123="Not applicable","Finished endpoint",IF(OR(IFERROR(INDEX('Crafting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routes'!$D$6:$D$1005,MATCH(U123,'Material routes'!$A$6:$A$1005,0)),"MISSING ID")</x:f>
        <x:v>proposal.t1.gem_preform</x:v>
      </x:c>
      <x:c r="T123" s="4" t="str">
        <x:f>IFERROR(INDEX('Material routes'!$D$6:$D$1005,MATCH(V123,'Material routes'!$A$6:$A$1005,0)),"MISSING ID")</x:f>
        <x:v>proposal.branch.polished_gem</x:v>
      </x:c>
      <x:c r="U123" s="4" t="str">
        <x:v>design.branch.branch.polished_gem.in.1</x:v>
      </x:c>
      <x:c r="V123" s="4" t="str">
        <x:v>design.branch.branch.polished_gem.out</x:v>
      </x:c>
    </x:row>
    <x:row r="124" ht="105" customHeight="1">
      <x:c r="A124" s="4" t="str">
        <x:f>IFERROR(INDEX('Material routes'!$E$6:$E$1005,MATCH(U124,'Material routes'!$A$6:$A$1005,0)),"MISSING ID")</x:f>
        <x:v>Graded abrasive grit</x:v>
      </x:c>
      <x:c r="B124" s="4" t="str">
        <x:f>IFERROR(INDEX('Material routes'!$F$6:$F$1005,MATCH(U124,'Material routes'!$A$6:$A$1005,0)),"MISSING ID")</x:f>
        <x:v>T1</x:v>
      </x:c>
      <x:c r="C124" s="4" t="str">
        <x:f>IFERROR(INDEX('Material routes'!$H$6:$H$1005,MATCH(U124,'Material routes'!$A$6:$A$1005,0)),"MISSING ID")</x:f>
        <x:v>Processed material</x:v>
      </x:c>
      <x:c r="D124" s="4" t="str">
        <x:f>IFERROR(INDEX('Material routes'!$G$6:$G$1005,MATCH(U124,'Material routes'!$A$6:$A$1005,0)),"MISSING ID")</x:f>
        <x:v>Resources</x:v>
      </x:c>
      <x:c r="E124" s="4" t="str">
        <x:f>IFERROR(INDEX('Material routes'!$C$6:$C$1005,MATCH(U124,'Material routes'!$A$6:$A$1005,0)),"MISSING ID")</x:f>
        <x:v>Ingredient candidate</x:v>
      </x:c>
      <x:c r="F124" s="4" t="str">
        <x:f>IFERROR(INDEX('Material routes'!$E$6:$E$1005,MATCH(V124,'Material routes'!$A$6:$A$1005,0)),"MISSING ID")</x:f>
        <x:v>Polished gemstone blanks</x:v>
      </x:c>
      <x:c r="G124" s="4" t="str">
        <x:f>IFERROR(INDEX('Material routes'!$F$6:$F$1005,MATCH(V124,'Material routes'!$A$6:$A$1005,0)),"MISSING ID")</x:f>
        <x:v>T2</x:v>
      </x:c>
      <x:c r="H124" s="4" t="str">
        <x:f>IFERROR(INDEX('Material routes'!$H$6:$H$1005,MATCH(V124,'Material routes'!$A$6:$A$1005,0)),"MISSING ID")</x:f>
        <x:v>Processed material</x:v>
      </x:c>
      <x:c r="I124" s="4" t="str">
        <x:f>IFERROR(INDEX('Material routes'!$G$6:$G$1005,MATCH(V124,'Material routes'!$A$6:$A$1005,0)),"MISSING ID")</x:f>
        <x:v>Resources</x:v>
      </x:c>
      <x:c r="J124" s="4" t="str">
        <x:f>IFERROR(INDEX('Material routes'!$B$6:$B$1005,MATCH(U124,'Material routes'!$A$6:$A$1005,0)),"MISSING ID")</x:f>
        <x:v>design.branch.branch.polished_gem</x:v>
      </x:c>
      <x:c r="K124" s="4" t="str">
        <x:f>IFERROR(INDEX('Crafting recipes'!$C$6:$C$1005,MATCH(J124,'Crafting recipes'!$A$6:$A$1005,0)),"MISSING ID")</x:f>
        <x:v>Material refinement</x:v>
      </x:c>
      <x:c r="L124" s="4" t="str">
        <x:f>IFERROR(INDEX('Material routes'!$K$6:$K$1005,MATCH(U124,'Material routes'!$A$6:$A$1005,0)),"MISSING ID")</x:f>
        <x:v>Proposal</x:v>
      </x:c>
      <x:c r="M124" s="4" t="str">
        <x:f>IFERROR(INDEX('Material routes'!$M$6:$M$1005,MATCH(U124,'Material routes'!$A$6:$A$1005,0)),"MISSING ID")</x:f>
        <x:v>Partial proposal</x:v>
      </x:c>
      <x:c r="N124" s="4" t="str">
        <x:f>IF(IFERROR(INDEX('Material routes'!$I$6:$I$1005,MATCH(U124,'Material routes'!$A$6:$A$1005,0)),"MISSING ID")=0,"",IFERROR(INDEX('Material routes'!$I$6:$I$1005,MATCH(U124,'Material routes'!$A$6:$A$1005,0)),"MISSING ID"))</x:f>
      </x:c>
      <x:c r="O124" s="4" t="str">
        <x:f>IFERROR(INDEX('Material routes'!$J$6:$J$1005,MATCH(U124,'Material routes'!$A$6:$A$1005,0)),"MISSING ID")</x:f>
        <x:v>Unspecified</x:v>
      </x:c>
      <x:c r="P124" s="4" t="str">
        <x:f>IF(IFERROR(INDEX('Material routes'!$I$6:$I$1005,MATCH(V124,'Material routes'!$A$6:$A$1005,0)),"MISSING ID")=0,"",IFERROR(INDEX('Material routes'!$I$6:$I$1005,MATCH(V124,'Material routes'!$A$6:$A$1005,0)),"MISSING ID"))</x:f>
      </x:c>
      <x:c r="Q124" s="4" t="str">
        <x:f>IFERROR(INDEX('Material routes'!$J$6:$J$1005,MATCH(V124,'Material routes'!$A$6:$A$1005,0)),"MISSING ID")</x:f>
        <x:v>Unspecified</x:v>
      </x:c>
      <x:c r="R124" s="4" t="str">
        <x:f>IF(L124="Withheld","Withheld premise",IF(E124="Tool candidate","Reusable prerequisite",IF(K124="Raw entry preparation","Entry-resource preparation",IF(G124="Not applicable","Finished endpoint",IF(OR(IFERROR(INDEX('Crafting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routes'!$D$6:$D$1005,MATCH(U124,'Material routes'!$A$6:$A$1005,0)),"MISSING ID")</x:f>
        <x:v>proposal.natural.abrasive</x:v>
      </x:c>
      <x:c r="T124" s="4" t="str">
        <x:f>IFERROR(INDEX('Material routes'!$D$6:$D$1005,MATCH(V124,'Material routes'!$A$6:$A$1005,0)),"MISSING ID")</x:f>
        <x:v>proposal.branch.polished_gem</x:v>
      </x:c>
      <x:c r="U124" s="4" t="str">
        <x:v>design.branch.branch.polished_gem.in.2</x:v>
      </x:c>
      <x:c r="V124" s="4" t="str">
        <x:v>design.branch.branch.polished_gem.out</x:v>
      </x:c>
    </x:row>
    <x:row r="125" ht="105" customHeight="1">
      <x:c r="A125" s="4" t="str">
        <x:f>IFERROR(INDEX('Material routes'!$E$6:$E$1005,MATCH(U125,'Material routes'!$A$6:$A$1005,0)),"MISSING ID")</x:f>
        <x:v>Conditioned faunal etchant</x:v>
      </x:c>
      <x:c r="B125" s="4" t="str">
        <x:f>IFERROR(INDEX('Material routes'!$F$6:$F$1005,MATCH(U125,'Material routes'!$A$6:$A$1005,0)),"MISSING ID")</x:f>
        <x:v>T1</x:v>
      </x:c>
      <x:c r="C125" s="4" t="str">
        <x:f>IFERROR(INDEX('Material routes'!$H$6:$H$1005,MATCH(U125,'Material routes'!$A$6:$A$1005,0)),"MISSING ID")</x:f>
        <x:v>Chemical material</x:v>
      </x:c>
      <x:c r="D125" s="4" t="str">
        <x:f>IFERROR(INDEX('Material routes'!$G$6:$G$1005,MATCH(U125,'Material routes'!$A$6:$A$1005,0)),"MISSING ID")</x:f>
        <x:v>Resources</x:v>
      </x:c>
      <x:c r="E125" s="4" t="str">
        <x:f>IFERROR(INDEX('Material routes'!$C$6:$C$1005,MATCH(U125,'Material routes'!$A$6:$A$1005,0)),"MISSING ID")</x:f>
        <x:v>Ingredient candidate</x:v>
      </x:c>
      <x:c r="F125" s="4" t="str">
        <x:f>IFERROR(INDEX('Material routes'!$E$6:$E$1005,MATCH(V125,'Material routes'!$A$6:$A$1005,0)),"MISSING ID")</x:f>
        <x:v>Advanced rust-removal compound</x:v>
      </x:c>
      <x:c r="G125" s="4" t="str">
        <x:f>IFERROR(INDEX('Material routes'!$F$6:$F$1005,MATCH(V125,'Material routes'!$A$6:$A$1005,0)),"MISSING ID")</x:f>
        <x:v>T2</x:v>
      </x:c>
      <x:c r="H125" s="4" t="str">
        <x:f>IFERROR(INDEX('Material routes'!$H$6:$H$1005,MATCH(V125,'Material routes'!$A$6:$A$1005,0)),"MISSING ID")</x:f>
        <x:v>Chemical material</x:v>
      </x:c>
      <x:c r="I125" s="4" t="str">
        <x:f>IFERROR(INDEX('Material routes'!$G$6:$G$1005,MATCH(V125,'Material routes'!$A$6:$A$1005,0)),"MISSING ID")</x:f>
        <x:v>Resources</x:v>
      </x:c>
      <x:c r="J125" s="4" t="str">
        <x:f>IFERROR(INDEX('Material routes'!$B$6:$B$1005,MATCH(U125,'Material routes'!$A$6:$A$1005,0)),"MISSING ID")</x:f>
        <x:v>design.branch.corrosion.advanced_remover</x:v>
      </x:c>
      <x:c r="K125" s="4" t="str">
        <x:f>IFERROR(INDEX('Crafting recipes'!$C$6:$C$1005,MATCH(J125,'Crafting recipes'!$A$6:$A$1005,0)),"MISSING ID")</x:f>
        <x:v>Material refinement</x:v>
      </x:c>
      <x:c r="L125" s="4" t="str">
        <x:f>IFERROR(INDEX('Material routes'!$K$6:$K$1005,MATCH(U125,'Material routes'!$A$6:$A$1005,0)),"MISSING ID")</x:f>
        <x:v>Proposal</x:v>
      </x:c>
      <x:c r="M125" s="4" t="str">
        <x:f>IFERROR(INDEX('Material routes'!$M$6:$M$1005,MATCH(U125,'Material routes'!$A$6:$A$1005,0)),"MISSING ID")</x:f>
        <x:v>Partial proposal</x:v>
      </x:c>
      <x:c r="N125" s="4" t="str">
        <x:f>IF(IFERROR(INDEX('Material routes'!$I$6:$I$1005,MATCH(U125,'Material routes'!$A$6:$A$1005,0)),"MISSING ID")=0,"",IFERROR(INDEX('Material routes'!$I$6:$I$1005,MATCH(U125,'Material routes'!$A$6:$A$1005,0)),"MISSING ID"))</x:f>
      </x:c>
      <x:c r="O125" s="4" t="str">
        <x:f>IFERROR(INDEX('Material routes'!$J$6:$J$1005,MATCH(U125,'Material routes'!$A$6:$A$1005,0)),"MISSING ID")</x:f>
        <x:v>Unspecified</x:v>
      </x:c>
      <x:c r="P125" s="4" t="str">
        <x:f>IF(IFERROR(INDEX('Material routes'!$I$6:$I$1005,MATCH(V125,'Material routes'!$A$6:$A$1005,0)),"MISSING ID")=0,"",IFERROR(INDEX('Material routes'!$I$6:$I$1005,MATCH(V125,'Material routes'!$A$6:$A$1005,0)),"MISSING ID"))</x:f>
      </x:c>
      <x:c r="Q125" s="4" t="str">
        <x:f>IFERROR(INDEX('Material routes'!$J$6:$J$1005,MATCH(V125,'Material routes'!$A$6:$A$1005,0)),"MISSING ID")</x:f>
        <x:v>Unspecified</x:v>
      </x:c>
      <x:c r="R125" s="4" t="str">
        <x:f>IF(L125="Withheld","Withheld premise",IF(E125="Tool candidate","Reusable prerequisite",IF(K125="Raw entry preparation","Entry-resource preparation",IF(G125="Not applicable","Finished endpoint",IF(OR(IFERROR(INDEX('Crafting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routes'!$D$6:$D$1005,MATCH(U125,'Material routes'!$A$6:$A$1005,0)),"MISSING ID")</x:f>
        <x:v>proposal.branch.etchant</x:v>
      </x:c>
      <x:c r="T125" s="4" t="str">
        <x:f>IFERROR(INDEX('Material routes'!$D$6:$D$1005,MATCH(V125,'Material routes'!$A$6:$A$1005,0)),"MISSING ID")</x:f>
        <x:v>author.corrosion.advanced_remover</x:v>
      </x:c>
      <x:c r="U125" s="4" t="str">
        <x:v>design.branch.corrosion.advanced_remover.in.1</x:v>
      </x:c>
      <x:c r="V125" s="4" t="str">
        <x:v>design.branch.corrosion.advanced_remover.out</x:v>
      </x:c>
    </x:row>
    <x:row r="126" ht="105" customHeight="1">
      <x:c r="A126" s="4" t="str">
        <x:f>IFERROR(INDEX('Material routes'!$E$6:$E$1005,MATCH(U126,'Material routes'!$A$6:$A$1005,0)),"MISSING ID")</x:f>
        <x:v>Selected faunal carrier fraction</x:v>
      </x:c>
      <x:c r="B126" s="4" t="str">
        <x:f>IFERROR(INDEX('Material routes'!$F$6:$F$1005,MATCH(U126,'Material routes'!$A$6:$A$1005,0)),"MISSING ID")</x:f>
        <x:v>T1</x:v>
      </x:c>
      <x:c r="C126" s="4" t="str">
        <x:f>IFERROR(INDEX('Material routes'!$H$6:$H$1005,MATCH(U126,'Material routes'!$A$6:$A$1005,0)),"MISSING ID")</x:f>
        <x:v>Chemical material</x:v>
      </x:c>
      <x:c r="D126" s="4" t="str">
        <x:f>IFERROR(INDEX('Material routes'!$G$6:$G$1005,MATCH(U126,'Material routes'!$A$6:$A$1005,0)),"MISSING ID")</x:f>
        <x:v>Resources</x:v>
      </x:c>
      <x:c r="E126" s="4" t="str">
        <x:f>IFERROR(INDEX('Material routes'!$C$6:$C$1005,MATCH(U126,'Material routes'!$A$6:$A$1005,0)),"MISSING ID")</x:f>
        <x:v>Ingredient candidate</x:v>
      </x:c>
      <x:c r="F126" s="4" t="str">
        <x:f>IFERROR(INDEX('Material routes'!$E$6:$E$1005,MATCH(V126,'Material routes'!$A$6:$A$1005,0)),"MISSING ID")</x:f>
        <x:v>Advanced rust-removal compound</x:v>
      </x:c>
      <x:c r="G126" s="4" t="str">
        <x:f>IFERROR(INDEX('Material routes'!$F$6:$F$1005,MATCH(V126,'Material routes'!$A$6:$A$1005,0)),"MISSING ID")</x:f>
        <x:v>T2</x:v>
      </x:c>
      <x:c r="H126" s="4" t="str">
        <x:f>IFERROR(INDEX('Material routes'!$H$6:$H$1005,MATCH(V126,'Material routes'!$A$6:$A$1005,0)),"MISSING ID")</x:f>
        <x:v>Chemical material</x:v>
      </x:c>
      <x:c r="I126" s="4" t="str">
        <x:f>IFERROR(INDEX('Material routes'!$G$6:$G$1005,MATCH(V126,'Material routes'!$A$6:$A$1005,0)),"MISSING ID")</x:f>
        <x:v>Resources</x:v>
      </x:c>
      <x:c r="J126" s="4" t="str">
        <x:f>IFERROR(INDEX('Material routes'!$B$6:$B$1005,MATCH(U126,'Material routes'!$A$6:$A$1005,0)),"MISSING ID")</x:f>
        <x:v>design.branch.corrosion.advanced_remover</x:v>
      </x:c>
      <x:c r="K126" s="4" t="str">
        <x:f>IFERROR(INDEX('Crafting recipes'!$C$6:$C$1005,MATCH(J126,'Crafting recipes'!$A$6:$A$1005,0)),"MISSING ID")</x:f>
        <x:v>Material refinement</x:v>
      </x:c>
      <x:c r="L126" s="4" t="str">
        <x:f>IFERROR(INDEX('Material routes'!$K$6:$K$1005,MATCH(U126,'Material routes'!$A$6:$A$1005,0)),"MISSING ID")</x:f>
        <x:v>Proposal</x:v>
      </x:c>
      <x:c r="M126" s="4" t="str">
        <x:f>IFERROR(INDEX('Material routes'!$M$6:$M$1005,MATCH(U126,'Material routes'!$A$6:$A$1005,0)),"MISSING ID")</x:f>
        <x:v>Partial proposal</x:v>
      </x:c>
      <x:c r="N126" s="4" t="str">
        <x:f>IF(IFERROR(INDEX('Material routes'!$I$6:$I$1005,MATCH(U126,'Material routes'!$A$6:$A$1005,0)),"MISSING ID")=0,"",IFERROR(INDEX('Material routes'!$I$6:$I$1005,MATCH(U126,'Material routes'!$A$6:$A$1005,0)),"MISSING ID"))</x:f>
      </x:c>
      <x:c r="O126" s="4" t="str">
        <x:f>IFERROR(INDEX('Material routes'!$J$6:$J$1005,MATCH(U126,'Material routes'!$A$6:$A$1005,0)),"MISSING ID")</x:f>
        <x:v>Unspecified</x:v>
      </x:c>
      <x:c r="P126" s="4" t="str">
        <x:f>IF(IFERROR(INDEX('Material routes'!$I$6:$I$1005,MATCH(V126,'Material routes'!$A$6:$A$1005,0)),"MISSING ID")=0,"",IFERROR(INDEX('Material routes'!$I$6:$I$1005,MATCH(V126,'Material routes'!$A$6:$A$1005,0)),"MISSING ID"))</x:f>
      </x:c>
      <x:c r="Q126" s="4" t="str">
        <x:f>IFERROR(INDEX('Material routes'!$J$6:$J$1005,MATCH(V126,'Material routes'!$A$6:$A$1005,0)),"MISSING ID")</x:f>
        <x:v>Unspecified</x:v>
      </x:c>
      <x:c r="R126" s="4" t="str">
        <x:f>IF(L126="Withheld","Withheld premise",IF(E126="Tool candidate","Reusable prerequisite",IF(K126="Raw entry preparation","Entry-resource preparation",IF(G126="Not applicable","Finished endpoint",IF(OR(IFERROR(INDEX('Crafting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routes'!$D$6:$D$1005,MATCH(U126,'Material routes'!$A$6:$A$1005,0)),"MISSING ID")</x:f>
        <x:v>proposal.t1.faunal_carrier</x:v>
      </x:c>
      <x:c r="T126" s="4" t="str">
        <x:f>IFERROR(INDEX('Material routes'!$D$6:$D$1005,MATCH(V126,'Material routes'!$A$6:$A$1005,0)),"MISSING ID")</x:f>
        <x:v>author.corrosion.advanced_remover</x:v>
      </x:c>
      <x:c r="U126" s="4" t="str">
        <x:v>design.branch.corrosion.advanced_remover.in.2</x:v>
      </x:c>
      <x:c r="V126" s="4" t="str">
        <x:v>design.branch.corrosion.advanced_remover.out</x:v>
      </x:c>
    </x:row>
    <x:row r="127" ht="105" customHeight="1">
      <x:c r="A127" s="4" t="str">
        <x:f>IFERROR(INDEX('Material routes'!$E$6:$E$1005,MATCH(U127,'Material routes'!$A$6:$A$1005,0)),"MISSING ID")</x:f>
        <x:v>Graded process salts</x:v>
      </x:c>
      <x:c r="B127" s="4" t="str">
        <x:f>IFERROR(INDEX('Material routes'!$F$6:$F$1005,MATCH(U127,'Material routes'!$A$6:$A$1005,0)),"MISSING ID")</x:f>
        <x:v>T1</x:v>
      </x:c>
      <x:c r="C127" s="4" t="str">
        <x:f>IFERROR(INDEX('Material routes'!$H$6:$H$1005,MATCH(U127,'Material routes'!$A$6:$A$1005,0)),"MISSING ID")</x:f>
        <x:v>Processed material</x:v>
      </x:c>
      <x:c r="D127" s="4" t="str">
        <x:f>IFERROR(INDEX('Material routes'!$G$6:$G$1005,MATCH(U127,'Material routes'!$A$6:$A$1005,0)),"MISSING ID")</x:f>
        <x:v>Resources</x:v>
      </x:c>
      <x:c r="E127" s="4" t="str">
        <x:f>IFERROR(INDEX('Material routes'!$C$6:$C$1005,MATCH(U127,'Material routes'!$A$6:$A$1005,0)),"MISSING ID")</x:f>
        <x:v>Ingredient candidate</x:v>
      </x:c>
      <x:c r="F127" s="4" t="str">
        <x:f>IFERROR(INDEX('Material routes'!$E$6:$E$1005,MATCH(V127,'Material routes'!$A$6:$A$1005,0)),"MISSING ID")</x:f>
        <x:v>Advanced rust-removal compound</x:v>
      </x:c>
      <x:c r="G127" s="4" t="str">
        <x:f>IFERROR(INDEX('Material routes'!$F$6:$F$1005,MATCH(V127,'Material routes'!$A$6:$A$1005,0)),"MISSING ID")</x:f>
        <x:v>T2</x:v>
      </x:c>
      <x:c r="H127" s="4" t="str">
        <x:f>IFERROR(INDEX('Material routes'!$H$6:$H$1005,MATCH(V127,'Material routes'!$A$6:$A$1005,0)),"MISSING ID")</x:f>
        <x:v>Chemical material</x:v>
      </x:c>
      <x:c r="I127" s="4" t="str">
        <x:f>IFERROR(INDEX('Material routes'!$G$6:$G$1005,MATCH(V127,'Material routes'!$A$6:$A$1005,0)),"MISSING ID")</x:f>
        <x:v>Resources</x:v>
      </x:c>
      <x:c r="J127" s="4" t="str">
        <x:f>IFERROR(INDEX('Material routes'!$B$6:$B$1005,MATCH(U127,'Material routes'!$A$6:$A$1005,0)),"MISSING ID")</x:f>
        <x:v>design.branch.corrosion.advanced_remover</x:v>
      </x:c>
      <x:c r="K127" s="4" t="str">
        <x:f>IFERROR(INDEX('Crafting recipes'!$C$6:$C$1005,MATCH(J127,'Crafting recipes'!$A$6:$A$1005,0)),"MISSING ID")</x:f>
        <x:v>Material refinement</x:v>
      </x:c>
      <x:c r="L127" s="4" t="str">
        <x:f>IFERROR(INDEX('Material routes'!$K$6:$K$1005,MATCH(U127,'Material routes'!$A$6:$A$1005,0)),"MISSING ID")</x:f>
        <x:v>Proposal</x:v>
      </x:c>
      <x:c r="M127" s="4" t="str">
        <x:f>IFERROR(INDEX('Material routes'!$M$6:$M$1005,MATCH(U127,'Material routes'!$A$6:$A$1005,0)),"MISSING ID")</x:f>
        <x:v>Partial proposal</x:v>
      </x:c>
      <x:c r="N127" s="4" t="str">
        <x:f>IF(IFERROR(INDEX('Material routes'!$I$6:$I$1005,MATCH(U127,'Material routes'!$A$6:$A$1005,0)),"MISSING ID")=0,"",IFERROR(INDEX('Material routes'!$I$6:$I$1005,MATCH(U127,'Material routes'!$A$6:$A$1005,0)),"MISSING ID"))</x:f>
      </x:c>
      <x:c r="O127" s="4" t="str">
        <x:f>IFERROR(INDEX('Material routes'!$J$6:$J$1005,MATCH(U127,'Material routes'!$A$6:$A$1005,0)),"MISSING ID")</x:f>
        <x:v>Unspecified</x:v>
      </x:c>
      <x:c r="P127" s="4" t="str">
        <x:f>IF(IFERROR(INDEX('Material routes'!$I$6:$I$1005,MATCH(V127,'Material routes'!$A$6:$A$1005,0)),"MISSING ID")=0,"",IFERROR(INDEX('Material routes'!$I$6:$I$1005,MATCH(V127,'Material routes'!$A$6:$A$1005,0)),"MISSING ID"))</x:f>
      </x:c>
      <x:c r="Q127" s="4" t="str">
        <x:f>IFERROR(INDEX('Material routes'!$J$6:$J$1005,MATCH(V127,'Material routes'!$A$6:$A$1005,0)),"MISSING ID")</x:f>
        <x:v>Unspecified</x:v>
      </x:c>
      <x:c r="R127" s="4" t="str">
        <x:f>IF(L127="Withheld","Withheld premise",IF(E127="Tool candidate","Reusable prerequisite",IF(K127="Raw entry preparation","Entry-resource preparation",IF(G127="Not applicable","Finished endpoint",IF(OR(IFERROR(INDEX('Crafting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routes'!$D$6:$D$1005,MATCH(U127,'Material routes'!$A$6:$A$1005,0)),"MISSING ID")</x:f>
        <x:v>proposal.t1.process_salts</x:v>
      </x:c>
      <x:c r="T127" s="4" t="str">
        <x:f>IFERROR(INDEX('Material routes'!$D$6:$D$1005,MATCH(V127,'Material routes'!$A$6:$A$1005,0)),"MISSING ID")</x:f>
        <x:v>author.corrosion.advanced_remover</x:v>
      </x:c>
      <x:c r="U127" s="4" t="str">
        <x:v>design.branch.corrosion.advanced_remover.in.3</x:v>
      </x:c>
      <x:c r="V127" s="4" t="str">
        <x:v>design.branch.corrosion.advanced_remover.out</x:v>
      </x:c>
    </x:row>
    <x:row r="128" ht="105" customHeight="1">
      <x:c r="A128" s="4" t="str">
        <x:f>IFERROR(INDEX('Material routes'!$E$6:$E$1005,MATCH(U128,'Material routes'!$A$6:$A$1005,0)),"MISSING ID")</x:f>
        <x:v>Clarified faunal lubricant base</x:v>
      </x:c>
      <x:c r="B128" s="4" t="str">
        <x:f>IFERROR(INDEX('Material routes'!$F$6:$F$1005,MATCH(U128,'Material routes'!$A$6:$A$1005,0)),"MISSING ID")</x:f>
        <x:v>T1</x:v>
      </x:c>
      <x:c r="C128" s="4" t="str">
        <x:f>IFERROR(INDEX('Material routes'!$H$6:$H$1005,MATCH(U128,'Material routes'!$A$6:$A$1005,0)),"MISSING ID")</x:f>
        <x:v>Chemical material</x:v>
      </x:c>
      <x:c r="D128" s="4" t="str">
        <x:f>IFERROR(INDEX('Material routes'!$G$6:$G$1005,MATCH(U128,'Material routes'!$A$6:$A$1005,0)),"MISSING ID")</x:f>
        <x:v>Resources</x:v>
      </x:c>
      <x:c r="E128" s="4" t="str">
        <x:f>IFERROR(INDEX('Material routes'!$C$6:$C$1005,MATCH(U128,'Material routes'!$A$6:$A$1005,0)),"MISSING ID")</x:f>
        <x:v>Ingredient candidate</x:v>
      </x:c>
      <x:c r="F128" s="4" t="str">
        <x:f>IFERROR(INDEX('Material routes'!$E$6:$E$1005,MATCH(V128,'Material routes'!$A$6:$A$1005,0)),"MISSING ID")</x:f>
        <x:v>Fine mechanism oil</x:v>
      </x:c>
      <x:c r="G128" s="4" t="str">
        <x:f>IFERROR(INDEX('Material routes'!$F$6:$F$1005,MATCH(V128,'Material routes'!$A$6:$A$1005,0)),"MISSING ID")</x:f>
        <x:v>T2</x:v>
      </x:c>
      <x:c r="H128" s="4" t="str">
        <x:f>IFERROR(INDEX('Material routes'!$H$6:$H$1005,MATCH(V128,'Material routes'!$A$6:$A$1005,0)),"MISSING ID")</x:f>
        <x:v>Chemical material</x:v>
      </x:c>
      <x:c r="I128" s="4" t="str">
        <x:f>IFERROR(INDEX('Material routes'!$G$6:$G$1005,MATCH(V128,'Material routes'!$A$6:$A$1005,0)),"MISSING ID")</x:f>
        <x:v>Resources</x:v>
      </x:c>
      <x:c r="J128" s="4" t="str">
        <x:f>IFERROR(INDEX('Material routes'!$B$6:$B$1005,MATCH(U128,'Material routes'!$A$6:$A$1005,0)),"MISSING ID")</x:f>
        <x:v>design.branch.lubricant.precision_oil</x:v>
      </x:c>
      <x:c r="K128" s="4" t="str">
        <x:f>IFERROR(INDEX('Crafting recipes'!$C$6:$C$1005,MATCH(J128,'Crafting recipes'!$A$6:$A$1005,0)),"MISSING ID")</x:f>
        <x:v>Material refinement</x:v>
      </x:c>
      <x:c r="L128" s="4" t="str">
        <x:f>IFERROR(INDEX('Material routes'!$K$6:$K$1005,MATCH(U128,'Material routes'!$A$6:$A$1005,0)),"MISSING ID")</x:f>
        <x:v>Proposal</x:v>
      </x:c>
      <x:c r="M128" s="4" t="str">
        <x:f>IFERROR(INDEX('Material routes'!$M$6:$M$1005,MATCH(U128,'Material routes'!$A$6:$A$1005,0)),"MISSING ID")</x:f>
        <x:v>Partial proposal</x:v>
      </x:c>
      <x:c r="N128" s="4" t="str">
        <x:f>IF(IFERROR(INDEX('Material routes'!$I$6:$I$1005,MATCH(U128,'Material routes'!$A$6:$A$1005,0)),"MISSING ID")=0,"",IFERROR(INDEX('Material routes'!$I$6:$I$1005,MATCH(U128,'Material routes'!$A$6:$A$1005,0)),"MISSING ID"))</x:f>
      </x:c>
      <x:c r="O128" s="4" t="str">
        <x:f>IFERROR(INDEX('Material routes'!$J$6:$J$1005,MATCH(U128,'Material routes'!$A$6:$A$1005,0)),"MISSING ID")</x:f>
        <x:v>Unspecified</x:v>
      </x:c>
      <x:c r="P128" s="4" t="str">
        <x:f>IF(IFERROR(INDEX('Material routes'!$I$6:$I$1005,MATCH(V128,'Material routes'!$A$6:$A$1005,0)),"MISSING ID")=0,"",IFERROR(INDEX('Material routes'!$I$6:$I$1005,MATCH(V128,'Material routes'!$A$6:$A$1005,0)),"MISSING ID"))</x:f>
      </x:c>
      <x:c r="Q128" s="4" t="str">
        <x:f>IFERROR(INDEX('Material routes'!$J$6:$J$1005,MATCH(V128,'Material routes'!$A$6:$A$1005,0)),"MISSING ID")</x:f>
        <x:v>Unspecified</x:v>
      </x:c>
      <x:c r="R128" s="4" t="str">
        <x:f>IF(L128="Withheld","Withheld premise",IF(E128="Tool candidate","Reusable prerequisite",IF(K128="Raw entry preparation","Entry-resource preparation",IF(G128="Not applicable","Finished endpoint",IF(OR(IFERROR(INDEX('Crafting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routes'!$D$6:$D$1005,MATCH(U128,'Material routes'!$A$6:$A$1005,0)),"MISSING ID")</x:f>
        <x:v>proposal.lubricant.base</x:v>
      </x:c>
      <x:c r="T128" s="4" t="str">
        <x:f>IFERROR(INDEX('Material routes'!$D$6:$D$1005,MATCH(V128,'Material routes'!$A$6:$A$1005,0)),"MISSING ID")</x:f>
        <x:v>proposal.lubricant.precision_oil</x:v>
      </x:c>
      <x:c r="U128" s="4" t="str">
        <x:v>design.branch.lubricant.precision_oil.in.1</x:v>
      </x:c>
      <x:c r="V128" s="4" t="str">
        <x:v>design.branch.lubricant.precision_oil.out</x:v>
      </x:c>
    </x:row>
    <x:row r="129" ht="105" customHeight="1">
      <x:c r="A129" s="4" t="str">
        <x:f>IFERROR(INDEX('Material routes'!$E$6:$E$1005,MATCH(U129,'Material routes'!$A$6:$A$1005,0)),"MISSING ID")</x:f>
        <x:v>Selected faunal carrier fraction</x:v>
      </x:c>
      <x:c r="B129" s="4" t="str">
        <x:f>IFERROR(INDEX('Material routes'!$F$6:$F$1005,MATCH(U129,'Material routes'!$A$6:$A$1005,0)),"MISSING ID")</x:f>
        <x:v>T1</x:v>
      </x:c>
      <x:c r="C129" s="4" t="str">
        <x:f>IFERROR(INDEX('Material routes'!$H$6:$H$1005,MATCH(U129,'Material routes'!$A$6:$A$1005,0)),"MISSING ID")</x:f>
        <x:v>Chemical material</x:v>
      </x:c>
      <x:c r="D129" s="4" t="str">
        <x:f>IFERROR(INDEX('Material routes'!$G$6:$G$1005,MATCH(U129,'Material routes'!$A$6:$A$1005,0)),"MISSING ID")</x:f>
        <x:v>Resources</x:v>
      </x:c>
      <x:c r="E129" s="4" t="str">
        <x:f>IFERROR(INDEX('Material routes'!$C$6:$C$1005,MATCH(U129,'Material routes'!$A$6:$A$1005,0)),"MISSING ID")</x:f>
        <x:v>Ingredient candidate</x:v>
      </x:c>
      <x:c r="F129" s="4" t="str">
        <x:f>IFERROR(INDEX('Material routes'!$E$6:$E$1005,MATCH(V129,'Material routes'!$A$6:$A$1005,0)),"MISSING ID")</x:f>
        <x:v>Fine mechanism oil</x:v>
      </x:c>
      <x:c r="G129" s="4" t="str">
        <x:f>IFERROR(INDEX('Material routes'!$F$6:$F$1005,MATCH(V129,'Material routes'!$A$6:$A$1005,0)),"MISSING ID")</x:f>
        <x:v>T2</x:v>
      </x:c>
      <x:c r="H129" s="4" t="str">
        <x:f>IFERROR(INDEX('Material routes'!$H$6:$H$1005,MATCH(V129,'Material routes'!$A$6:$A$1005,0)),"MISSING ID")</x:f>
        <x:v>Chemical material</x:v>
      </x:c>
      <x:c r="I129" s="4" t="str">
        <x:f>IFERROR(INDEX('Material routes'!$G$6:$G$1005,MATCH(V129,'Material routes'!$A$6:$A$1005,0)),"MISSING ID")</x:f>
        <x:v>Resources</x:v>
      </x:c>
      <x:c r="J129" s="4" t="str">
        <x:f>IFERROR(INDEX('Material routes'!$B$6:$B$1005,MATCH(U129,'Material routes'!$A$6:$A$1005,0)),"MISSING ID")</x:f>
        <x:v>design.branch.lubricant.precision_oil</x:v>
      </x:c>
      <x:c r="K129" s="4" t="str">
        <x:f>IFERROR(INDEX('Crafting recipes'!$C$6:$C$1005,MATCH(J129,'Crafting recipes'!$A$6:$A$1005,0)),"MISSING ID")</x:f>
        <x:v>Material refinement</x:v>
      </x:c>
      <x:c r="L129" s="4" t="str">
        <x:f>IFERROR(INDEX('Material routes'!$K$6:$K$1005,MATCH(U129,'Material routes'!$A$6:$A$1005,0)),"MISSING ID")</x:f>
        <x:v>Proposal</x:v>
      </x:c>
      <x:c r="M129" s="4" t="str">
        <x:f>IFERROR(INDEX('Material routes'!$M$6:$M$1005,MATCH(U129,'Material routes'!$A$6:$A$1005,0)),"MISSING ID")</x:f>
        <x:v>Partial proposal</x:v>
      </x:c>
      <x:c r="N129" s="4" t="str">
        <x:f>IF(IFERROR(INDEX('Material routes'!$I$6:$I$1005,MATCH(U129,'Material routes'!$A$6:$A$1005,0)),"MISSING ID")=0,"",IFERROR(INDEX('Material routes'!$I$6:$I$1005,MATCH(U129,'Material routes'!$A$6:$A$1005,0)),"MISSING ID"))</x:f>
      </x:c>
      <x:c r="O129" s="4" t="str">
        <x:f>IFERROR(INDEX('Material routes'!$J$6:$J$1005,MATCH(U129,'Material routes'!$A$6:$A$1005,0)),"MISSING ID")</x:f>
        <x:v>Unspecified</x:v>
      </x:c>
      <x:c r="P129" s="4" t="str">
        <x:f>IF(IFERROR(INDEX('Material routes'!$I$6:$I$1005,MATCH(V129,'Material routes'!$A$6:$A$1005,0)),"MISSING ID")=0,"",IFERROR(INDEX('Material routes'!$I$6:$I$1005,MATCH(V129,'Material routes'!$A$6:$A$1005,0)),"MISSING ID"))</x:f>
      </x:c>
      <x:c r="Q129" s="4" t="str">
        <x:f>IFERROR(INDEX('Material routes'!$J$6:$J$1005,MATCH(V129,'Material routes'!$A$6:$A$1005,0)),"MISSING ID")</x:f>
        <x:v>Unspecified</x:v>
      </x:c>
      <x:c r="R129" s="4" t="str">
        <x:f>IF(L129="Withheld","Withheld premise",IF(E129="Tool candidate","Reusable prerequisite",IF(K129="Raw entry preparation","Entry-resource preparation",IF(G129="Not applicable","Finished endpoint",IF(OR(IFERROR(INDEX('Crafting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routes'!$D$6:$D$1005,MATCH(U129,'Material routes'!$A$6:$A$1005,0)),"MISSING ID")</x:f>
        <x:v>proposal.t1.faunal_carrier</x:v>
      </x:c>
      <x:c r="T129" s="4" t="str">
        <x:f>IFERROR(INDEX('Material routes'!$D$6:$D$1005,MATCH(V129,'Material routes'!$A$6:$A$1005,0)),"MISSING ID")</x:f>
        <x:v>proposal.lubricant.precision_oil</x:v>
      </x:c>
      <x:c r="U129" s="4" t="str">
        <x:v>design.branch.lubricant.precision_oil.in.2</x:v>
      </x:c>
      <x:c r="V129" s="4" t="str">
        <x:v>design.branch.lubricant.precision_oil.out</x:v>
      </x:c>
    </x:row>
    <x:row r="130" ht="105" customHeight="1">
      <x:c r="A130" s="4" t="str">
        <x:f>IFERROR(INDEX('Material routes'!$E$6:$E$1005,MATCH(U130,'Material routes'!$A$6:$A$1005,0)),"MISSING ID")</x:f>
        <x:v>Clarified faunal lubricant base</x:v>
      </x:c>
      <x:c r="B130" s="4" t="str">
        <x:f>IFERROR(INDEX('Material routes'!$F$6:$F$1005,MATCH(U130,'Material routes'!$A$6:$A$1005,0)),"MISSING ID")</x:f>
        <x:v>T1</x:v>
      </x:c>
      <x:c r="C130" s="4" t="str">
        <x:f>IFERROR(INDEX('Material routes'!$H$6:$H$1005,MATCH(U130,'Material routes'!$A$6:$A$1005,0)),"MISSING ID")</x:f>
        <x:v>Chemical material</x:v>
      </x:c>
      <x:c r="D130" s="4" t="str">
        <x:f>IFERROR(INDEX('Material routes'!$G$6:$G$1005,MATCH(U130,'Material routes'!$A$6:$A$1005,0)),"MISSING ID")</x:f>
        <x:v>Resources</x:v>
      </x:c>
      <x:c r="E130" s="4" t="str">
        <x:f>IFERROR(INDEX('Material routes'!$C$6:$C$1005,MATCH(U130,'Material routes'!$A$6:$A$1005,0)),"MISSING ID")</x:f>
        <x:v>Ingredient candidate</x:v>
      </x:c>
      <x:c r="F130" s="4" t="str">
        <x:f>IFERROR(INDEX('Material routes'!$E$6:$E$1005,MATCH(V130,'Material routes'!$A$6:$A$1005,0)),"MISSING ID")</x:f>
        <x:v>Graphite faunal grease</x:v>
      </x:c>
      <x:c r="G130" s="4" t="str">
        <x:f>IFERROR(INDEX('Material routes'!$F$6:$F$1005,MATCH(V130,'Material routes'!$A$6:$A$1005,0)),"MISSING ID")</x:f>
        <x:v>T2</x:v>
      </x:c>
      <x:c r="H130" s="4" t="str">
        <x:f>IFERROR(INDEX('Material routes'!$H$6:$H$1005,MATCH(V130,'Material routes'!$A$6:$A$1005,0)),"MISSING ID")</x:f>
        <x:v>Chemical material</x:v>
      </x:c>
      <x:c r="I130" s="4" t="str">
        <x:f>IFERROR(INDEX('Material routes'!$G$6:$G$1005,MATCH(V130,'Material routes'!$A$6:$A$1005,0)),"MISSING ID")</x:f>
        <x:v>Resources</x:v>
      </x:c>
      <x:c r="J130" s="4" t="str">
        <x:f>IFERROR(INDEX('Material routes'!$B$6:$B$1005,MATCH(U130,'Material routes'!$A$6:$A$1005,0)),"MISSING ID")</x:f>
        <x:v>design.branch.lubricant.graphite_grease</x:v>
      </x:c>
      <x:c r="K130" s="4" t="str">
        <x:f>IFERROR(INDEX('Crafting recipes'!$C$6:$C$1005,MATCH(J130,'Crafting recipes'!$A$6:$A$1005,0)),"MISSING ID")</x:f>
        <x:v>Material refinement</x:v>
      </x:c>
      <x:c r="L130" s="4" t="str">
        <x:f>IFERROR(INDEX('Material routes'!$K$6:$K$1005,MATCH(U130,'Material routes'!$A$6:$A$1005,0)),"MISSING ID")</x:f>
        <x:v>Proposal</x:v>
      </x:c>
      <x:c r="M130" s="4" t="str">
        <x:f>IFERROR(INDEX('Material routes'!$M$6:$M$1005,MATCH(U130,'Material routes'!$A$6:$A$1005,0)),"MISSING ID")</x:f>
        <x:v>Partial proposal</x:v>
      </x:c>
      <x:c r="N130" s="4" t="str">
        <x:f>IF(IFERROR(INDEX('Material routes'!$I$6:$I$1005,MATCH(U130,'Material routes'!$A$6:$A$1005,0)),"MISSING ID")=0,"",IFERROR(INDEX('Material routes'!$I$6:$I$1005,MATCH(U130,'Material routes'!$A$6:$A$1005,0)),"MISSING ID"))</x:f>
      </x:c>
      <x:c r="O130" s="4" t="str">
        <x:f>IFERROR(INDEX('Material routes'!$J$6:$J$1005,MATCH(U130,'Material routes'!$A$6:$A$1005,0)),"MISSING ID")</x:f>
        <x:v>Unspecified</x:v>
      </x:c>
      <x:c r="P130" s="4" t="str">
        <x:f>IF(IFERROR(INDEX('Material routes'!$I$6:$I$1005,MATCH(V130,'Material routes'!$A$6:$A$1005,0)),"MISSING ID")=0,"",IFERROR(INDEX('Material routes'!$I$6:$I$1005,MATCH(V130,'Material routes'!$A$6:$A$1005,0)),"MISSING ID"))</x:f>
      </x:c>
      <x:c r="Q130" s="4" t="str">
        <x:f>IFERROR(INDEX('Material routes'!$J$6:$J$1005,MATCH(V130,'Material routes'!$A$6:$A$1005,0)),"MISSING ID")</x:f>
        <x:v>Unspecified</x:v>
      </x:c>
      <x:c r="R130" s="4" t="str">
        <x:f>IF(L130="Withheld","Withheld premise",IF(E130="Tool candidate","Reusable prerequisite",IF(K130="Raw entry preparation","Entry-resource preparation",IF(G130="Not applicable","Finished endpoint",IF(OR(IFERROR(INDEX('Crafting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routes'!$D$6:$D$1005,MATCH(U130,'Material routes'!$A$6:$A$1005,0)),"MISSING ID")</x:f>
        <x:v>proposal.lubricant.base</x:v>
      </x:c>
      <x:c r="T130" s="4" t="str">
        <x:f>IFERROR(INDEX('Material routes'!$D$6:$D$1005,MATCH(V130,'Material routes'!$A$6:$A$1005,0)),"MISSING ID")</x:f>
        <x:v>proposal.lubricant.graphite_grease</x:v>
      </x:c>
      <x:c r="U130" s="4" t="str">
        <x:v>design.branch.lubricant.graphite_grease.in.1</x:v>
      </x:c>
      <x:c r="V130" s="4" t="str">
        <x:v>design.branch.lubricant.graphite_grease.out</x:v>
      </x:c>
    </x:row>
    <x:row r="131" ht="105" customHeight="1">
      <x:c r="A131" s="4" t="str">
        <x:f>IFERROR(INDEX('Material routes'!$E$6:$E$1005,MATCH(U131,'Material routes'!$A$6:$A$1005,0)),"MISSING ID")</x:f>
        <x:v>Prepared secretion thickener</x:v>
      </x:c>
      <x:c r="B131" s="4" t="str">
        <x:f>IFERROR(INDEX('Material routes'!$F$6:$F$1005,MATCH(U131,'Material routes'!$A$6:$A$1005,0)),"MISSING ID")</x:f>
        <x:v>T1</x:v>
      </x:c>
      <x:c r="C131" s="4" t="str">
        <x:f>IFERROR(INDEX('Material routes'!$H$6:$H$1005,MATCH(U131,'Material routes'!$A$6:$A$1005,0)),"MISSING ID")</x:f>
        <x:v>Chemical material</x:v>
      </x:c>
      <x:c r="D131" s="4" t="str">
        <x:f>IFERROR(INDEX('Material routes'!$G$6:$G$1005,MATCH(U131,'Material routes'!$A$6:$A$1005,0)),"MISSING ID")</x:f>
        <x:v>Resources</x:v>
      </x:c>
      <x:c r="E131" s="4" t="str">
        <x:f>IFERROR(INDEX('Material routes'!$C$6:$C$1005,MATCH(U131,'Material routes'!$A$6:$A$1005,0)),"MISSING ID")</x:f>
        <x:v>Ingredient candidate</x:v>
      </x:c>
      <x:c r="F131" s="4" t="str">
        <x:f>IFERROR(INDEX('Material routes'!$E$6:$E$1005,MATCH(V131,'Material routes'!$A$6:$A$1005,0)),"MISSING ID")</x:f>
        <x:v>Graphite faunal grease</x:v>
      </x:c>
      <x:c r="G131" s="4" t="str">
        <x:f>IFERROR(INDEX('Material routes'!$F$6:$F$1005,MATCH(V131,'Material routes'!$A$6:$A$1005,0)),"MISSING ID")</x:f>
        <x:v>T2</x:v>
      </x:c>
      <x:c r="H131" s="4" t="str">
        <x:f>IFERROR(INDEX('Material routes'!$H$6:$H$1005,MATCH(V131,'Material routes'!$A$6:$A$1005,0)),"MISSING ID")</x:f>
        <x:v>Chemical material</x:v>
      </x:c>
      <x:c r="I131" s="4" t="str">
        <x:f>IFERROR(INDEX('Material routes'!$G$6:$G$1005,MATCH(V131,'Material routes'!$A$6:$A$1005,0)),"MISSING ID")</x:f>
        <x:v>Resources</x:v>
      </x:c>
      <x:c r="J131" s="4" t="str">
        <x:f>IFERROR(INDEX('Material routes'!$B$6:$B$1005,MATCH(U131,'Material routes'!$A$6:$A$1005,0)),"MISSING ID")</x:f>
        <x:v>design.branch.lubricant.graphite_grease</x:v>
      </x:c>
      <x:c r="K131" s="4" t="str">
        <x:f>IFERROR(INDEX('Crafting recipes'!$C$6:$C$1005,MATCH(J131,'Crafting recipes'!$A$6:$A$1005,0)),"MISSING ID")</x:f>
        <x:v>Material refinement</x:v>
      </x:c>
      <x:c r="L131" s="4" t="str">
        <x:f>IFERROR(INDEX('Material routes'!$K$6:$K$1005,MATCH(U131,'Material routes'!$A$6:$A$1005,0)),"MISSING ID")</x:f>
        <x:v>Proposal</x:v>
      </x:c>
      <x:c r="M131" s="4" t="str">
        <x:f>IFERROR(INDEX('Material routes'!$M$6:$M$1005,MATCH(U131,'Material routes'!$A$6:$A$1005,0)),"MISSING ID")</x:f>
        <x:v>Partial proposal</x:v>
      </x:c>
      <x:c r="N131" s="4" t="str">
        <x:f>IF(IFERROR(INDEX('Material routes'!$I$6:$I$1005,MATCH(U131,'Material routes'!$A$6:$A$1005,0)),"MISSING ID")=0,"",IFERROR(INDEX('Material routes'!$I$6:$I$1005,MATCH(U131,'Material routes'!$A$6:$A$1005,0)),"MISSING ID"))</x:f>
      </x:c>
      <x:c r="O131" s="4" t="str">
        <x:f>IFERROR(INDEX('Material routes'!$J$6:$J$1005,MATCH(U131,'Material routes'!$A$6:$A$1005,0)),"MISSING ID")</x:f>
        <x:v>Unspecified</x:v>
      </x:c>
      <x:c r="P131" s="4" t="str">
        <x:f>IF(IFERROR(INDEX('Material routes'!$I$6:$I$1005,MATCH(V131,'Material routes'!$A$6:$A$1005,0)),"MISSING ID")=0,"",IFERROR(INDEX('Material routes'!$I$6:$I$1005,MATCH(V131,'Material routes'!$A$6:$A$1005,0)),"MISSING ID"))</x:f>
      </x:c>
      <x:c r="Q131" s="4" t="str">
        <x:f>IFERROR(INDEX('Material routes'!$J$6:$J$1005,MATCH(V131,'Material routes'!$A$6:$A$1005,0)),"MISSING ID")</x:f>
        <x:v>Unspecified</x:v>
      </x:c>
      <x:c r="R131" s="4" t="str">
        <x:f>IF(L131="Withheld","Withheld premise",IF(E131="Tool candidate","Reusable prerequisite",IF(K131="Raw entry preparation","Entry-resource preparation",IF(G131="Not applicable","Finished endpoint",IF(OR(IFERROR(INDEX('Crafting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routes'!$D$6:$D$1005,MATCH(U131,'Material routes'!$A$6:$A$1005,0)),"MISSING ID")</x:f>
        <x:v>proposal.lubricant.thickener</x:v>
      </x:c>
      <x:c r="T131" s="4" t="str">
        <x:f>IFERROR(INDEX('Material routes'!$D$6:$D$1005,MATCH(V131,'Material routes'!$A$6:$A$1005,0)),"MISSING ID")</x:f>
        <x:v>proposal.lubricant.graphite_grease</x:v>
      </x:c>
      <x:c r="U131" s="4" t="str">
        <x:v>design.branch.lubricant.graphite_grease.in.2</x:v>
      </x:c>
      <x:c r="V131" s="4" t="str">
        <x:v>design.branch.lubricant.graphite_grease.out</x:v>
      </x:c>
    </x:row>
    <x:row r="132" ht="105" customHeight="1">
      <x:c r="A132" s="4" t="str">
        <x:f>IFERROR(INDEX('Material routes'!$E$6:$E$1005,MATCH(U132,'Material routes'!$A$6:$A$1005,0)),"MISSING ID")</x:f>
        <x:v>Graded graphite flakes</x:v>
      </x:c>
      <x:c r="B132" s="4" t="str">
        <x:f>IFERROR(INDEX('Material routes'!$F$6:$F$1005,MATCH(U132,'Material routes'!$A$6:$A$1005,0)),"MISSING ID")</x:f>
        <x:v>T1</x:v>
      </x:c>
      <x:c r="C132" s="4" t="str">
        <x:f>IFERROR(INDEX('Material routes'!$H$6:$H$1005,MATCH(U132,'Material routes'!$A$6:$A$1005,0)),"MISSING ID")</x:f>
        <x:v>Processed material</x:v>
      </x:c>
      <x:c r="D132" s="4" t="str">
        <x:f>IFERROR(INDEX('Material routes'!$G$6:$G$1005,MATCH(U132,'Material routes'!$A$6:$A$1005,0)),"MISSING ID")</x:f>
        <x:v>Resources</x:v>
      </x:c>
      <x:c r="E132" s="4" t="str">
        <x:f>IFERROR(INDEX('Material routes'!$C$6:$C$1005,MATCH(U132,'Material routes'!$A$6:$A$1005,0)),"MISSING ID")</x:f>
        <x:v>Ingredient candidate</x:v>
      </x:c>
      <x:c r="F132" s="4" t="str">
        <x:f>IFERROR(INDEX('Material routes'!$E$6:$E$1005,MATCH(V132,'Material routes'!$A$6:$A$1005,0)),"MISSING ID")</x:f>
        <x:v>Graphite faunal grease</x:v>
      </x:c>
      <x:c r="G132" s="4" t="str">
        <x:f>IFERROR(INDEX('Material routes'!$F$6:$F$1005,MATCH(V132,'Material routes'!$A$6:$A$1005,0)),"MISSING ID")</x:f>
        <x:v>T2</x:v>
      </x:c>
      <x:c r="H132" s="4" t="str">
        <x:f>IFERROR(INDEX('Material routes'!$H$6:$H$1005,MATCH(V132,'Material routes'!$A$6:$A$1005,0)),"MISSING ID")</x:f>
        <x:v>Chemical material</x:v>
      </x:c>
      <x:c r="I132" s="4" t="str">
        <x:f>IFERROR(INDEX('Material routes'!$G$6:$G$1005,MATCH(V132,'Material routes'!$A$6:$A$1005,0)),"MISSING ID")</x:f>
        <x:v>Resources</x:v>
      </x:c>
      <x:c r="J132" s="4" t="str">
        <x:f>IFERROR(INDEX('Material routes'!$B$6:$B$1005,MATCH(U132,'Material routes'!$A$6:$A$1005,0)),"MISSING ID")</x:f>
        <x:v>design.branch.lubricant.graphite_grease</x:v>
      </x:c>
      <x:c r="K132" s="4" t="str">
        <x:f>IFERROR(INDEX('Crafting recipes'!$C$6:$C$1005,MATCH(J132,'Crafting recipes'!$A$6:$A$1005,0)),"MISSING ID")</x:f>
        <x:v>Material refinement</x:v>
      </x:c>
      <x:c r="L132" s="4" t="str">
        <x:f>IFERROR(INDEX('Material routes'!$K$6:$K$1005,MATCH(U132,'Material routes'!$A$6:$A$1005,0)),"MISSING ID")</x:f>
        <x:v>Proposal</x:v>
      </x:c>
      <x:c r="M132" s="4" t="str">
        <x:f>IFERROR(INDEX('Material routes'!$M$6:$M$1005,MATCH(U132,'Material routes'!$A$6:$A$1005,0)),"MISSING ID")</x:f>
        <x:v>Partial proposal</x:v>
      </x:c>
      <x:c r="N132" s="4" t="str">
        <x:f>IF(IFERROR(INDEX('Material routes'!$I$6:$I$1005,MATCH(U132,'Material routes'!$A$6:$A$1005,0)),"MISSING ID")=0,"",IFERROR(INDEX('Material routes'!$I$6:$I$1005,MATCH(U132,'Material routes'!$A$6:$A$1005,0)),"MISSING ID"))</x:f>
      </x:c>
      <x:c r="O132" s="4" t="str">
        <x:f>IFERROR(INDEX('Material routes'!$J$6:$J$1005,MATCH(U132,'Material routes'!$A$6:$A$1005,0)),"MISSING ID")</x:f>
        <x:v>Unspecified</x:v>
      </x:c>
      <x:c r="P132" s="4" t="str">
        <x:f>IF(IFERROR(INDEX('Material routes'!$I$6:$I$1005,MATCH(V132,'Material routes'!$A$6:$A$1005,0)),"MISSING ID")=0,"",IFERROR(INDEX('Material routes'!$I$6:$I$1005,MATCH(V132,'Material routes'!$A$6:$A$1005,0)),"MISSING ID"))</x:f>
      </x:c>
      <x:c r="Q132" s="4" t="str">
        <x:f>IFERROR(INDEX('Material routes'!$J$6:$J$1005,MATCH(V132,'Material routes'!$A$6:$A$1005,0)),"MISSING ID")</x:f>
        <x:v>Unspecified</x:v>
      </x:c>
      <x:c r="R132" s="4" t="str">
        <x:f>IF(L132="Withheld","Withheld premise",IF(E132="Tool candidate","Reusable prerequisite",IF(K132="Raw entry preparation","Entry-resource preparation",IF(G132="Not applicable","Finished endpoint",IF(OR(IFERROR(INDEX('Crafting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routes'!$D$6:$D$1005,MATCH(U132,'Material routes'!$A$6:$A$1005,0)),"MISSING ID")</x:f>
        <x:v>proposal.natural.carbon</x:v>
      </x:c>
      <x:c r="T132" s="4" t="str">
        <x:f>IFERROR(INDEX('Material routes'!$D$6:$D$1005,MATCH(V132,'Material routes'!$A$6:$A$1005,0)),"MISSING ID")</x:f>
        <x:v>proposal.lubricant.graphite_grease</x:v>
      </x:c>
      <x:c r="U132" s="4" t="str">
        <x:v>design.branch.lubricant.graphite_grease.in.3</x:v>
      </x:c>
      <x:c r="V132" s="4" t="str">
        <x:v>design.branch.lubricant.graphite_grease.out</x:v>
      </x:c>
    </x:row>
    <x:row r="133" ht="105" customHeight="1">
      <x:c r="A133" s="4" t="str">
        <x:f>IFERROR(INDEX('Material routes'!$E$6:$E$1005,MATCH(U133,'Material routes'!$A$6:$A$1005,0)),"MISSING ID")</x:f>
        <x:v>Steel stock</x:v>
      </x:c>
      <x:c r="B133" s="4" t="str">
        <x:f>IFERROR(INDEX('Material routes'!$F$6:$F$1005,MATCH(U133,'Material routes'!$A$6:$A$1005,0)),"MISSING ID")</x:f>
        <x:v>T2</x:v>
      </x:c>
      <x:c r="C133" s="4" t="str">
        <x:f>IFERROR(INDEX('Material routes'!$H$6:$H$1005,MATCH(U133,'Material routes'!$A$6:$A$1005,0)),"MISSING ID")</x:f>
        <x:v>Processed material</x:v>
      </x:c>
      <x:c r="D133" s="4" t="str">
        <x:f>IFERROR(INDEX('Material routes'!$G$6:$G$1005,MATCH(U133,'Material routes'!$A$6:$A$1005,0)),"MISSING ID")</x:f>
        <x:v>Resources</x:v>
      </x:c>
      <x:c r="E133" s="4" t="str">
        <x:f>IFERROR(INDEX('Material routes'!$C$6:$C$1005,MATCH(U133,'Material routes'!$A$6:$A$1005,0)),"MISSING ID")</x:f>
        <x:v>Ingredient candidate</x:v>
      </x:c>
      <x:c r="F133" s="4" t="str">
        <x:f>IFERROR(INDEX('Material routes'!$E$6:$E$1005,MATCH(V133,'Material routes'!$A$6:$A$1005,0)),"MISSING ID")</x:f>
        <x:v>Steel-faced shell composite</x:v>
      </x:c>
      <x:c r="G133" s="4" t="str">
        <x:f>IFERROR(INDEX('Material routes'!$F$6:$F$1005,MATCH(V133,'Material routes'!$A$6:$A$1005,0)),"MISSING ID")</x:f>
        <x:v>T3</x:v>
      </x:c>
      <x:c r="H133" s="4" t="str">
        <x:f>IFERROR(INDEX('Material routes'!$H$6:$H$1005,MATCH(V133,'Material routes'!$A$6:$A$1005,0)),"MISSING ID")</x:f>
        <x:v>Processed material</x:v>
      </x:c>
      <x:c r="I133" s="4" t="str">
        <x:f>IFERROR(INDEX('Material routes'!$G$6:$G$1005,MATCH(V133,'Material routes'!$A$6:$A$1005,0)),"MISSING ID")</x:f>
        <x:v>Resources</x:v>
      </x:c>
      <x:c r="J133" s="4" t="str">
        <x:f>IFERROR(INDEX('Material routes'!$B$6:$B$1005,MATCH(U133,'Material routes'!$A$6:$A$1005,0)),"MISSING ID")</x:f>
        <x:v>design.branch.branch.steel_shell</x:v>
      </x:c>
      <x:c r="K133" s="4" t="str">
        <x:f>IFERROR(INDEX('Crafting recipes'!$C$6:$C$1005,MATCH(J133,'Crafting recipes'!$A$6:$A$1005,0)),"MISSING ID")</x:f>
        <x:v>Material refinement</x:v>
      </x:c>
      <x:c r="L133" s="4" t="str">
        <x:f>IFERROR(INDEX('Material routes'!$K$6:$K$1005,MATCH(U133,'Material routes'!$A$6:$A$1005,0)),"MISSING ID")</x:f>
        <x:v>Proposal</x:v>
      </x:c>
      <x:c r="M133" s="4" t="str">
        <x:f>IFERROR(INDEX('Material routes'!$M$6:$M$1005,MATCH(U133,'Material routes'!$A$6:$A$1005,0)),"MISSING ID")</x:f>
        <x:v>Partial proposal</x:v>
      </x:c>
      <x:c r="N133" s="4" t="str">
        <x:f>IF(IFERROR(INDEX('Material routes'!$I$6:$I$1005,MATCH(U133,'Material routes'!$A$6:$A$1005,0)),"MISSING ID")=0,"",IFERROR(INDEX('Material routes'!$I$6:$I$1005,MATCH(U133,'Material routes'!$A$6:$A$1005,0)),"MISSING ID"))</x:f>
      </x:c>
      <x:c r="O133" s="4" t="str">
        <x:f>IFERROR(INDEX('Material routes'!$J$6:$J$1005,MATCH(U133,'Material routes'!$A$6:$A$1005,0)),"MISSING ID")</x:f>
        <x:v>Unspecified</x:v>
      </x:c>
      <x:c r="P133" s="4" t="str">
        <x:f>IF(IFERROR(INDEX('Material routes'!$I$6:$I$1005,MATCH(V133,'Material routes'!$A$6:$A$1005,0)),"MISSING ID")=0,"",IFERROR(INDEX('Material routes'!$I$6:$I$1005,MATCH(V133,'Material routes'!$A$6:$A$1005,0)),"MISSING ID"))</x:f>
      </x:c>
      <x:c r="Q133" s="4" t="str">
        <x:f>IFERROR(INDEX('Material routes'!$J$6:$J$1005,MATCH(V133,'Material routes'!$A$6:$A$1005,0)),"MISSING ID")</x:f>
        <x:v>Unspecified</x:v>
      </x:c>
      <x:c r="R133" s="4" t="str">
        <x:f>IF(L133="Withheld","Withheld premise",IF(E133="Tool candidate","Reusable prerequisite",IF(K133="Raw entry preparation","Entry-resource preparation",IF(G133="Not applicable","Finished endpoint",IF(OR(IFERROR(INDEX('Crafting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routes'!$D$6:$D$1005,MATCH(U133,'Material routes'!$A$6:$A$1005,0)),"MISSING ID")</x:f>
        <x:v>author.metallurgy.steel_stock</x:v>
      </x:c>
      <x:c r="T133" s="4" t="str">
        <x:f>IFERROR(INDEX('Material routes'!$D$6:$D$1005,MATCH(V133,'Material routes'!$A$6:$A$1005,0)),"MISSING ID")</x:f>
        <x:v>proposal.branch.steel_shell</x:v>
      </x:c>
      <x:c r="U133" s="4" t="str">
        <x:v>design.branch.branch.steel_shell.in.1</x:v>
      </x:c>
      <x:c r="V133" s="4" t="str">
        <x:v>design.branch.branch.steel_shell.out</x:v>
      </x:c>
    </x:row>
    <x:row r="134" ht="105" customHeight="1">
      <x:c r="A134" s="4" t="str">
        <x:f>IFERROR(INDEX('Material routes'!$E$6:$E$1005,MATCH(U134,'Material routes'!$A$6:$A$1005,0)),"MISSING ID")</x:f>
        <x:v>Shell laminate</x:v>
      </x:c>
      <x:c r="B134" s="4" t="str">
        <x:f>IFERROR(INDEX('Material routes'!$F$6:$F$1005,MATCH(U134,'Material routes'!$A$6:$A$1005,0)),"MISSING ID")</x:f>
        <x:v>T2</x:v>
      </x:c>
      <x:c r="C134" s="4" t="str">
        <x:f>IFERROR(INDEX('Material routes'!$H$6:$H$1005,MATCH(U134,'Material routes'!$A$6:$A$1005,0)),"MISSING ID")</x:f>
        <x:v>Crafting component</x:v>
      </x:c>
      <x:c r="D134" s="4" t="str">
        <x:f>IFERROR(INDEX('Material routes'!$G$6:$G$1005,MATCH(U134,'Material routes'!$A$6:$A$1005,0)),"MISSING ID")</x:f>
        <x:v>Crafting components</x:v>
      </x:c>
      <x:c r="E134" s="4" t="str">
        <x:f>IFERROR(INDEX('Material routes'!$C$6:$C$1005,MATCH(U134,'Material routes'!$A$6:$A$1005,0)),"MISSING ID")</x:f>
        <x:v>Ingredient candidate</x:v>
      </x:c>
      <x:c r="F134" s="4" t="str">
        <x:f>IFERROR(INDEX('Material routes'!$E$6:$E$1005,MATCH(V134,'Material routes'!$A$6:$A$1005,0)),"MISSING ID")</x:f>
        <x:v>Steel-faced shell composite</x:v>
      </x:c>
      <x:c r="G134" s="4" t="str">
        <x:f>IFERROR(INDEX('Material routes'!$F$6:$F$1005,MATCH(V134,'Material routes'!$A$6:$A$1005,0)),"MISSING ID")</x:f>
        <x:v>T3</x:v>
      </x:c>
      <x:c r="H134" s="4" t="str">
        <x:f>IFERROR(INDEX('Material routes'!$H$6:$H$1005,MATCH(V134,'Material routes'!$A$6:$A$1005,0)),"MISSING ID")</x:f>
        <x:v>Processed material</x:v>
      </x:c>
      <x:c r="I134" s="4" t="str">
        <x:f>IFERROR(INDEX('Material routes'!$G$6:$G$1005,MATCH(V134,'Material routes'!$A$6:$A$1005,0)),"MISSING ID")</x:f>
        <x:v>Resources</x:v>
      </x:c>
      <x:c r="J134" s="4" t="str">
        <x:f>IFERROR(INDEX('Material routes'!$B$6:$B$1005,MATCH(U134,'Material routes'!$A$6:$A$1005,0)),"MISSING ID")</x:f>
        <x:v>design.branch.branch.steel_shell</x:v>
      </x:c>
      <x:c r="K134" s="4" t="str">
        <x:f>IFERROR(INDEX('Crafting recipes'!$C$6:$C$1005,MATCH(J134,'Crafting recipes'!$A$6:$A$1005,0)),"MISSING ID")</x:f>
        <x:v>Material refinement</x:v>
      </x:c>
      <x:c r="L134" s="4" t="str">
        <x:f>IFERROR(INDEX('Material routes'!$K$6:$K$1005,MATCH(U134,'Material routes'!$A$6:$A$1005,0)),"MISSING ID")</x:f>
        <x:v>Proposal</x:v>
      </x:c>
      <x:c r="M134" s="4" t="str">
        <x:f>IFERROR(INDEX('Material routes'!$M$6:$M$1005,MATCH(U134,'Material routes'!$A$6:$A$1005,0)),"MISSING ID")</x:f>
        <x:v>Partial proposal</x:v>
      </x:c>
      <x:c r="N134" s="4" t="str">
        <x:f>IF(IFERROR(INDEX('Material routes'!$I$6:$I$1005,MATCH(U134,'Material routes'!$A$6:$A$1005,0)),"MISSING ID")=0,"",IFERROR(INDEX('Material routes'!$I$6:$I$1005,MATCH(U134,'Material routes'!$A$6:$A$1005,0)),"MISSING ID"))</x:f>
      </x:c>
      <x:c r="O134" s="4" t="str">
        <x:f>IFERROR(INDEX('Material routes'!$J$6:$J$1005,MATCH(U134,'Material routes'!$A$6:$A$1005,0)),"MISSING ID")</x:f>
        <x:v>Unspecified</x:v>
      </x:c>
      <x:c r="P134" s="4" t="str">
        <x:f>IF(IFERROR(INDEX('Material routes'!$I$6:$I$1005,MATCH(V134,'Material routes'!$A$6:$A$1005,0)),"MISSING ID")=0,"",IFERROR(INDEX('Material routes'!$I$6:$I$1005,MATCH(V134,'Material routes'!$A$6:$A$1005,0)),"MISSING ID"))</x:f>
      </x:c>
      <x:c r="Q134" s="4" t="str">
        <x:f>IFERROR(INDEX('Material routes'!$J$6:$J$1005,MATCH(V134,'Material routes'!$A$6:$A$1005,0)),"MISSING ID")</x:f>
        <x:v>Unspecified</x:v>
      </x:c>
      <x:c r="R134" s="4" t="str">
        <x:f>IF(L134="Withheld","Withheld premise",IF(E134="Tool candidate","Reusable prerequisite",IF(K134="Raw entry preparation","Entry-resource preparation",IF(G134="Not applicable","Finished endpoint",IF(OR(IFERROR(INDEX('Crafting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routes'!$D$6:$D$1005,MATCH(U134,'Material routes'!$A$6:$A$1005,0)),"MISSING ID")</x:f>
        <x:v>proposal.bio.laminate</x:v>
      </x:c>
      <x:c r="T134" s="4" t="str">
        <x:f>IFERROR(INDEX('Material routes'!$D$6:$D$1005,MATCH(V134,'Material routes'!$A$6:$A$1005,0)),"MISSING ID")</x:f>
        <x:v>proposal.branch.steel_shell</x:v>
      </x:c>
      <x:c r="U134" s="4" t="str">
        <x:v>design.branch.branch.steel_shell.in.2</x:v>
      </x:c>
      <x:c r="V134" s="4" t="str">
        <x:v>design.branch.branch.steel_shell.out</x:v>
      </x:c>
    </x:row>
    <x:row r="135" ht="105" customHeight="1">
      <x:c r="A135" s="4" t="str">
        <x:f>IFERROR(INDEX('Material routes'!$E$6:$E$1005,MATCH(U135,'Material routes'!$A$6:$A$1005,0)),"MISSING ID")</x:f>
        <x:v>Filled shell-binding compound</x:v>
      </x:c>
      <x:c r="B135" s="4" t="str">
        <x:f>IFERROR(INDEX('Material routes'!$F$6:$F$1005,MATCH(U135,'Material routes'!$A$6:$A$1005,0)),"MISSING ID")</x:f>
        <x:v>T2</x:v>
      </x:c>
      <x:c r="C135" s="4" t="str">
        <x:f>IFERROR(INDEX('Material routes'!$H$6:$H$1005,MATCH(U135,'Material routes'!$A$6:$A$1005,0)),"MISSING ID")</x:f>
        <x:v>Chemical material</x:v>
      </x:c>
      <x:c r="D135" s="4" t="str">
        <x:f>IFERROR(INDEX('Material routes'!$G$6:$G$1005,MATCH(U135,'Material routes'!$A$6:$A$1005,0)),"MISSING ID")</x:f>
        <x:v>Resources</x:v>
      </x:c>
      <x:c r="E135" s="4" t="str">
        <x:f>IFERROR(INDEX('Material routes'!$C$6:$C$1005,MATCH(U135,'Material routes'!$A$6:$A$1005,0)),"MISSING ID")</x:f>
        <x:v>Ingredient candidate</x:v>
      </x:c>
      <x:c r="F135" s="4" t="str">
        <x:f>IFERROR(INDEX('Material routes'!$E$6:$E$1005,MATCH(V135,'Material routes'!$A$6:$A$1005,0)),"MISSING ID")</x:f>
        <x:v>Steel-faced shell composite</x:v>
      </x:c>
      <x:c r="G135" s="4" t="str">
        <x:f>IFERROR(INDEX('Material routes'!$F$6:$F$1005,MATCH(V135,'Material routes'!$A$6:$A$1005,0)),"MISSING ID")</x:f>
        <x:v>T3</x:v>
      </x:c>
      <x:c r="H135" s="4" t="str">
        <x:f>IFERROR(INDEX('Material routes'!$H$6:$H$1005,MATCH(V135,'Material routes'!$A$6:$A$1005,0)),"MISSING ID")</x:f>
        <x:v>Processed material</x:v>
      </x:c>
      <x:c r="I135" s="4" t="str">
        <x:f>IFERROR(INDEX('Material routes'!$G$6:$G$1005,MATCH(V135,'Material routes'!$A$6:$A$1005,0)),"MISSING ID")</x:f>
        <x:v>Resources</x:v>
      </x:c>
      <x:c r="J135" s="4" t="str">
        <x:f>IFERROR(INDEX('Material routes'!$B$6:$B$1005,MATCH(U135,'Material routes'!$A$6:$A$1005,0)),"MISSING ID")</x:f>
        <x:v>design.branch.branch.steel_shell</x:v>
      </x:c>
      <x:c r="K135" s="4" t="str">
        <x:f>IFERROR(INDEX('Crafting recipes'!$C$6:$C$1005,MATCH(J135,'Crafting recipes'!$A$6:$A$1005,0)),"MISSING ID")</x:f>
        <x:v>Material refinement</x:v>
      </x:c>
      <x:c r="L135" s="4" t="str">
        <x:f>IFERROR(INDEX('Material routes'!$K$6:$K$1005,MATCH(U135,'Material routes'!$A$6:$A$1005,0)),"MISSING ID")</x:f>
        <x:v>Proposal</x:v>
      </x:c>
      <x:c r="M135" s="4" t="str">
        <x:f>IFERROR(INDEX('Material routes'!$M$6:$M$1005,MATCH(U135,'Material routes'!$A$6:$A$1005,0)),"MISSING ID")</x:f>
        <x:v>Partial proposal</x:v>
      </x:c>
      <x:c r="N135" s="4" t="str">
        <x:f>IF(IFERROR(INDEX('Material routes'!$I$6:$I$1005,MATCH(U135,'Material routes'!$A$6:$A$1005,0)),"MISSING ID")=0,"",IFERROR(INDEX('Material routes'!$I$6:$I$1005,MATCH(U135,'Material routes'!$A$6:$A$1005,0)),"MISSING ID"))</x:f>
      </x:c>
      <x:c r="O135" s="4" t="str">
        <x:f>IFERROR(INDEX('Material routes'!$J$6:$J$1005,MATCH(U135,'Material routes'!$A$6:$A$1005,0)),"MISSING ID")</x:f>
        <x:v>Unspecified</x:v>
      </x:c>
      <x:c r="P135" s="4" t="str">
        <x:f>IF(IFERROR(INDEX('Material routes'!$I$6:$I$1005,MATCH(V135,'Material routes'!$A$6:$A$1005,0)),"MISSING ID")=0,"",IFERROR(INDEX('Material routes'!$I$6:$I$1005,MATCH(V135,'Material routes'!$A$6:$A$1005,0)),"MISSING ID"))</x:f>
      </x:c>
      <x:c r="Q135" s="4" t="str">
        <x:f>IFERROR(INDEX('Material routes'!$J$6:$J$1005,MATCH(V135,'Material routes'!$A$6:$A$1005,0)),"MISSING ID")</x:f>
        <x:v>Unspecified</x:v>
      </x:c>
      <x:c r="R135" s="4" t="str">
        <x:f>IF(L135="Withheld","Withheld premise",IF(E135="Tool candidate","Reusable prerequisite",IF(K135="Raw entry preparation","Entry-resource preparation",IF(G135="Not applicable","Finished endpoint",IF(OR(IFERROR(INDEX('Crafting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routes'!$D$6:$D$1005,MATCH(U135,'Material routes'!$A$6:$A$1005,0)),"MISSING ID")</x:f>
        <x:v>proposal.branch.filled_binder</x:v>
      </x:c>
      <x:c r="T135" s="4" t="str">
        <x:f>IFERROR(INDEX('Material routes'!$D$6:$D$1005,MATCH(V135,'Material routes'!$A$6:$A$1005,0)),"MISSING ID")</x:f>
        <x:v>proposal.branch.steel_shell</x:v>
      </x:c>
      <x:c r="U135" s="4" t="str">
        <x:v>design.branch.branch.steel_shell.in.3</x:v>
      </x:c>
      <x:c r="V135" s="4" t="str">
        <x:v>design.branch.branch.steel_shell.out</x:v>
      </x:c>
    </x:row>
    <x:row r="136" ht="105" customHeight="1">
      <x:c r="A136" s="4" t="str">
        <x:f>IFERROR(INDEX('Material routes'!$E$6:$E$1005,MATCH(U136,'Material routes'!$A$6:$A$1005,0)),"MISSING ID")</x:f>
        <x:v>Steel stock</x:v>
      </x:c>
      <x:c r="B136" s="4" t="str">
        <x:f>IFERROR(INDEX('Material routes'!$F$6:$F$1005,MATCH(U136,'Material routes'!$A$6:$A$1005,0)),"MISSING ID")</x:f>
        <x:v>T2</x:v>
      </x:c>
      <x:c r="C136" s="4" t="str">
        <x:f>IFERROR(INDEX('Material routes'!$H$6:$H$1005,MATCH(U136,'Material routes'!$A$6:$A$1005,0)),"MISSING ID")</x:f>
        <x:v>Processed material</x:v>
      </x:c>
      <x:c r="D136" s="4" t="str">
        <x:f>IFERROR(INDEX('Material routes'!$G$6:$G$1005,MATCH(U136,'Material routes'!$A$6:$A$1005,0)),"MISSING ID")</x:f>
        <x:v>Resources</x:v>
      </x:c>
      <x:c r="E136" s="4" t="str">
        <x:f>IFERROR(INDEX('Material routes'!$C$6:$C$1005,MATCH(U136,'Material routes'!$A$6:$A$1005,0)),"MISSING ID")</x:f>
        <x:v>Ingredient candidate</x:v>
      </x:c>
      <x:c r="F136" s="4" t="str">
        <x:f>IFERROR(INDEX('Material routes'!$E$6:$E$1005,MATCH(V136,'Material routes'!$A$6:$A$1005,0)),"MISSING ID")</x:f>
        <x:v>Spring-grade steel stock</x:v>
      </x:c>
      <x:c r="G136" s="4" t="str">
        <x:f>IFERROR(INDEX('Material routes'!$F$6:$F$1005,MATCH(V136,'Material routes'!$A$6:$A$1005,0)),"MISSING ID")</x:f>
        <x:v>T3</x:v>
      </x:c>
      <x:c r="H136" s="4" t="str">
        <x:f>IFERROR(INDEX('Material routes'!$H$6:$H$1005,MATCH(V136,'Material routes'!$A$6:$A$1005,0)),"MISSING ID")</x:f>
        <x:v>Processed material</x:v>
      </x:c>
      <x:c r="I136" s="4" t="str">
        <x:f>IFERROR(INDEX('Material routes'!$G$6:$G$1005,MATCH(V136,'Material routes'!$A$6:$A$1005,0)),"MISSING ID")</x:f>
        <x:v>Resources</x:v>
      </x:c>
      <x:c r="J136" s="4" t="str">
        <x:f>IFERROR(INDEX('Material routes'!$B$6:$B$1005,MATCH(U136,'Material routes'!$A$6:$A$1005,0)),"MISSING ID")</x:f>
        <x:v>design.branch.branch.spring_steel</x:v>
      </x:c>
      <x:c r="K136" s="4" t="str">
        <x:f>IFERROR(INDEX('Crafting recipes'!$C$6:$C$1005,MATCH(J136,'Crafting recipes'!$A$6:$A$1005,0)),"MISSING ID")</x:f>
        <x:v>Material refinement</x:v>
      </x:c>
      <x:c r="L136" s="4" t="str">
        <x:f>IFERROR(INDEX('Material routes'!$K$6:$K$1005,MATCH(U136,'Material routes'!$A$6:$A$1005,0)),"MISSING ID")</x:f>
        <x:v>Proposal</x:v>
      </x:c>
      <x:c r="M136" s="4" t="str">
        <x:f>IFERROR(INDEX('Material routes'!$M$6:$M$1005,MATCH(U136,'Material routes'!$A$6:$A$1005,0)),"MISSING ID")</x:f>
        <x:v>Partial proposal</x:v>
      </x:c>
      <x:c r="N136" s="4" t="str">
        <x:f>IF(IFERROR(INDEX('Material routes'!$I$6:$I$1005,MATCH(U136,'Material routes'!$A$6:$A$1005,0)),"MISSING ID")=0,"",IFERROR(INDEX('Material routes'!$I$6:$I$1005,MATCH(U136,'Material routes'!$A$6:$A$1005,0)),"MISSING ID"))</x:f>
      </x:c>
      <x:c r="O136" s="4" t="str">
        <x:f>IFERROR(INDEX('Material routes'!$J$6:$J$1005,MATCH(U136,'Material routes'!$A$6:$A$1005,0)),"MISSING ID")</x:f>
        <x:v>Unspecified</x:v>
      </x:c>
      <x:c r="P136" s="4" t="str">
        <x:f>IF(IFERROR(INDEX('Material routes'!$I$6:$I$1005,MATCH(V136,'Material routes'!$A$6:$A$1005,0)),"MISSING ID")=0,"",IFERROR(INDEX('Material routes'!$I$6:$I$1005,MATCH(V136,'Material routes'!$A$6:$A$1005,0)),"MISSING ID"))</x:f>
      </x:c>
      <x:c r="Q136" s="4" t="str">
        <x:f>IFERROR(INDEX('Material routes'!$J$6:$J$1005,MATCH(V136,'Material routes'!$A$6:$A$1005,0)),"MISSING ID")</x:f>
        <x:v>Unspecified</x:v>
      </x:c>
      <x:c r="R136" s="4" t="str">
        <x:f>IF(L136="Withheld","Withheld premise",IF(E136="Tool candidate","Reusable prerequisite",IF(K136="Raw entry preparation","Entry-resource preparation",IF(G136="Not applicable","Finished endpoint",IF(OR(IFERROR(INDEX('Crafting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routes'!$D$6:$D$1005,MATCH(U136,'Material routes'!$A$6:$A$1005,0)),"MISSING ID")</x:f>
        <x:v>author.metallurgy.steel_stock</x:v>
      </x:c>
      <x:c r="T136" s="4" t="str">
        <x:f>IFERROR(INDEX('Material routes'!$D$6:$D$1005,MATCH(V136,'Material routes'!$A$6:$A$1005,0)),"MISSING ID")</x:f>
        <x:v>proposal.branch.spring_steel</x:v>
      </x:c>
      <x:c r="U136" s="4" t="str">
        <x:v>design.branch.branch.spring_steel.in.1</x:v>
      </x:c>
      <x:c r="V136" s="4" t="str">
        <x:v>design.branch.branch.spring_steel.out</x:v>
      </x:c>
    </x:row>
    <x:row r="137" ht="105" customHeight="1">
      <x:c r="A137" s="4" t="str">
        <x:f>IFERROR(INDEX('Material routes'!$E$6:$E$1005,MATCH(U137,'Material routes'!$A$6:$A$1005,0)),"MISSING ID")</x:f>
        <x:v>Prepared manganese alloying stock</x:v>
      </x:c>
      <x:c r="B137" s="4" t="str">
        <x:f>IFERROR(INDEX('Material routes'!$F$6:$F$1005,MATCH(U137,'Material routes'!$A$6:$A$1005,0)),"MISSING ID")</x:f>
        <x:v>T2</x:v>
      </x:c>
      <x:c r="C137" s="4" t="str">
        <x:f>IFERROR(INDEX('Material routes'!$H$6:$H$1005,MATCH(U137,'Material routes'!$A$6:$A$1005,0)),"MISSING ID")</x:f>
        <x:v>Processed material</x:v>
      </x:c>
      <x:c r="D137" s="4" t="str">
        <x:f>IFERROR(INDEX('Material routes'!$G$6:$G$1005,MATCH(U137,'Material routes'!$A$6:$A$1005,0)),"MISSING ID")</x:f>
        <x:v>Resources</x:v>
      </x:c>
      <x:c r="E137" s="4" t="str">
        <x:f>IFERROR(INDEX('Material routes'!$C$6:$C$1005,MATCH(U137,'Material routes'!$A$6:$A$1005,0)),"MISSING ID")</x:f>
        <x:v>Ingredient candidate</x:v>
      </x:c>
      <x:c r="F137" s="4" t="str">
        <x:f>IFERROR(INDEX('Material routes'!$E$6:$E$1005,MATCH(V137,'Material routes'!$A$6:$A$1005,0)),"MISSING ID")</x:f>
        <x:v>Spring-grade steel stock</x:v>
      </x:c>
      <x:c r="G137" s="4" t="str">
        <x:f>IFERROR(INDEX('Material routes'!$F$6:$F$1005,MATCH(V137,'Material routes'!$A$6:$A$1005,0)),"MISSING ID")</x:f>
        <x:v>T3</x:v>
      </x:c>
      <x:c r="H137" s="4" t="str">
        <x:f>IFERROR(INDEX('Material routes'!$H$6:$H$1005,MATCH(V137,'Material routes'!$A$6:$A$1005,0)),"MISSING ID")</x:f>
        <x:v>Processed material</x:v>
      </x:c>
      <x:c r="I137" s="4" t="str">
        <x:f>IFERROR(INDEX('Material routes'!$G$6:$G$1005,MATCH(V137,'Material routes'!$A$6:$A$1005,0)),"MISSING ID")</x:f>
        <x:v>Resources</x:v>
      </x:c>
      <x:c r="J137" s="4" t="str">
        <x:f>IFERROR(INDEX('Material routes'!$B$6:$B$1005,MATCH(U137,'Material routes'!$A$6:$A$1005,0)),"MISSING ID")</x:f>
        <x:v>design.branch.branch.spring_steel</x:v>
      </x:c>
      <x:c r="K137" s="4" t="str">
        <x:f>IFERROR(INDEX('Crafting recipes'!$C$6:$C$1005,MATCH(J137,'Crafting recipes'!$A$6:$A$1005,0)),"MISSING ID")</x:f>
        <x:v>Material refinement</x:v>
      </x:c>
      <x:c r="L137" s="4" t="str">
        <x:f>IFERROR(INDEX('Material routes'!$K$6:$K$1005,MATCH(U137,'Material routes'!$A$6:$A$1005,0)),"MISSING ID")</x:f>
        <x:v>Proposal</x:v>
      </x:c>
      <x:c r="M137" s="4" t="str">
        <x:f>IFERROR(INDEX('Material routes'!$M$6:$M$1005,MATCH(U137,'Material routes'!$A$6:$A$1005,0)),"MISSING ID")</x:f>
        <x:v>Partial proposal</x:v>
      </x:c>
      <x:c r="N137" s="4" t="str">
        <x:f>IF(IFERROR(INDEX('Material routes'!$I$6:$I$1005,MATCH(U137,'Material routes'!$A$6:$A$1005,0)),"MISSING ID")=0,"",IFERROR(INDEX('Material routes'!$I$6:$I$1005,MATCH(U137,'Material routes'!$A$6:$A$1005,0)),"MISSING ID"))</x:f>
      </x:c>
      <x:c r="O137" s="4" t="str">
        <x:f>IFERROR(INDEX('Material routes'!$J$6:$J$1005,MATCH(U137,'Material routes'!$A$6:$A$1005,0)),"MISSING ID")</x:f>
        <x:v>Unspecified</x:v>
      </x:c>
      <x:c r="P137" s="4" t="str">
        <x:f>IF(IFERROR(INDEX('Material routes'!$I$6:$I$1005,MATCH(V137,'Material routes'!$A$6:$A$1005,0)),"MISSING ID")=0,"",IFERROR(INDEX('Material routes'!$I$6:$I$1005,MATCH(V137,'Material routes'!$A$6:$A$1005,0)),"MISSING ID"))</x:f>
      </x:c>
      <x:c r="Q137" s="4" t="str">
        <x:f>IFERROR(INDEX('Material routes'!$J$6:$J$1005,MATCH(V137,'Material routes'!$A$6:$A$1005,0)),"MISSING ID")</x:f>
        <x:v>Unspecified</x:v>
      </x:c>
      <x:c r="R137" s="4" t="str">
        <x:f>IF(L137="Withheld","Withheld premise",IF(E137="Tool candidate","Reusable prerequisite",IF(K137="Raw entry preparation","Entry-resource preparation",IF(G137="Not applicable","Finished endpoint",IF(OR(IFERROR(INDEX('Crafting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routes'!$D$6:$D$1005,MATCH(U137,'Material routes'!$A$6:$A$1005,0)),"MISSING ID")</x:f>
        <x:v>proposal.branch.alloy_addition</x:v>
      </x:c>
      <x:c r="T137" s="4" t="str">
        <x:f>IFERROR(INDEX('Material routes'!$D$6:$D$1005,MATCH(V137,'Material routes'!$A$6:$A$1005,0)),"MISSING ID")</x:f>
        <x:v>proposal.branch.spring_steel</x:v>
      </x:c>
      <x:c r="U137" s="4" t="str">
        <x:v>design.branch.branch.spring_steel.in.2</x:v>
      </x:c>
      <x:c r="V137" s="4" t="str">
        <x:v>design.branch.branch.spring_steel.out</x:v>
      </x:c>
    </x:row>
    <x:row r="138" ht="105" customHeight="1">
      <x:c r="A138" s="4" t="str">
        <x:f>IFERROR(INDEX('Material routes'!$E$6:$E$1005,MATCH(U138,'Material routes'!$A$6:$A$1005,0)),"MISSING ID")</x:f>
        <x:v>Prepared metallurgical flux</x:v>
      </x:c>
      <x:c r="B138" s="4" t="str">
        <x:f>IFERROR(INDEX('Material routes'!$F$6:$F$1005,MATCH(U138,'Material routes'!$A$6:$A$1005,0)),"MISSING ID")</x:f>
        <x:v>T1</x:v>
      </x:c>
      <x:c r="C138" s="4" t="str">
        <x:f>IFERROR(INDEX('Material routes'!$H$6:$H$1005,MATCH(U138,'Material routes'!$A$6:$A$1005,0)),"MISSING ID")</x:f>
        <x:v>Processed material</x:v>
      </x:c>
      <x:c r="D138" s="4" t="str">
        <x:f>IFERROR(INDEX('Material routes'!$G$6:$G$1005,MATCH(U138,'Material routes'!$A$6:$A$1005,0)),"MISSING ID")</x:f>
        <x:v>Resources</x:v>
      </x:c>
      <x:c r="E138" s="4" t="str">
        <x:f>IFERROR(INDEX('Material routes'!$C$6:$C$1005,MATCH(U138,'Material routes'!$A$6:$A$1005,0)),"MISSING ID")</x:f>
        <x:v>Ingredient candidate</x:v>
      </x:c>
      <x:c r="F138" s="4" t="str">
        <x:f>IFERROR(INDEX('Material routes'!$E$6:$E$1005,MATCH(V138,'Material routes'!$A$6:$A$1005,0)),"MISSING ID")</x:f>
        <x:v>Spring-grade steel stock</x:v>
      </x:c>
      <x:c r="G138" s="4" t="str">
        <x:f>IFERROR(INDEX('Material routes'!$F$6:$F$1005,MATCH(V138,'Material routes'!$A$6:$A$1005,0)),"MISSING ID")</x:f>
        <x:v>T3</x:v>
      </x:c>
      <x:c r="H138" s="4" t="str">
        <x:f>IFERROR(INDEX('Material routes'!$H$6:$H$1005,MATCH(V138,'Material routes'!$A$6:$A$1005,0)),"MISSING ID")</x:f>
        <x:v>Processed material</x:v>
      </x:c>
      <x:c r="I138" s="4" t="str">
        <x:f>IFERROR(INDEX('Material routes'!$G$6:$G$1005,MATCH(V138,'Material routes'!$A$6:$A$1005,0)),"MISSING ID")</x:f>
        <x:v>Resources</x:v>
      </x:c>
      <x:c r="J138" s="4" t="str">
        <x:f>IFERROR(INDEX('Material routes'!$B$6:$B$1005,MATCH(U138,'Material routes'!$A$6:$A$1005,0)),"MISSING ID")</x:f>
        <x:v>design.branch.branch.spring_steel</x:v>
      </x:c>
      <x:c r="K138" s="4" t="str">
        <x:f>IFERROR(INDEX('Crafting recipes'!$C$6:$C$1005,MATCH(J138,'Crafting recipes'!$A$6:$A$1005,0)),"MISSING ID")</x:f>
        <x:v>Material refinement</x:v>
      </x:c>
      <x:c r="L138" s="4" t="str">
        <x:f>IFERROR(INDEX('Material routes'!$K$6:$K$1005,MATCH(U138,'Material routes'!$A$6:$A$1005,0)),"MISSING ID")</x:f>
        <x:v>Proposal</x:v>
      </x:c>
      <x:c r="M138" s="4" t="str">
        <x:f>IFERROR(INDEX('Material routes'!$M$6:$M$1005,MATCH(U138,'Material routes'!$A$6:$A$1005,0)),"MISSING ID")</x:f>
        <x:v>Partial proposal</x:v>
      </x:c>
      <x:c r="N138" s="4" t="str">
        <x:f>IF(IFERROR(INDEX('Material routes'!$I$6:$I$1005,MATCH(U138,'Material routes'!$A$6:$A$1005,0)),"MISSING ID")=0,"",IFERROR(INDEX('Material routes'!$I$6:$I$1005,MATCH(U138,'Material routes'!$A$6:$A$1005,0)),"MISSING ID"))</x:f>
      </x:c>
      <x:c r="O138" s="4" t="str">
        <x:f>IFERROR(INDEX('Material routes'!$J$6:$J$1005,MATCH(U138,'Material routes'!$A$6:$A$1005,0)),"MISSING ID")</x:f>
        <x:v>Unspecified</x:v>
      </x:c>
      <x:c r="P138" s="4" t="str">
        <x:f>IF(IFERROR(INDEX('Material routes'!$I$6:$I$1005,MATCH(V138,'Material routes'!$A$6:$A$1005,0)),"MISSING ID")=0,"",IFERROR(INDEX('Material routes'!$I$6:$I$1005,MATCH(V138,'Material routes'!$A$6:$A$1005,0)),"MISSING ID"))</x:f>
      </x:c>
      <x:c r="Q138" s="4" t="str">
        <x:f>IFERROR(INDEX('Material routes'!$J$6:$J$1005,MATCH(V138,'Material routes'!$A$6:$A$1005,0)),"MISSING ID")</x:f>
        <x:v>Unspecified</x:v>
      </x:c>
      <x:c r="R138" s="4" t="str">
        <x:f>IF(L138="Withheld","Withheld premise",IF(E138="Tool candidate","Reusable prerequisite",IF(K138="Raw entry preparation","Entry-resource preparation",IF(G138="Not applicable","Finished endpoint",IF(OR(IFERROR(INDEX('Crafting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routes'!$D$6:$D$1005,MATCH(U138,'Material routes'!$A$6:$A$1005,0)),"MISSING ID")</x:f>
        <x:v>proposal.branch.flux</x:v>
      </x:c>
      <x:c r="T138" s="4" t="str">
        <x:f>IFERROR(INDEX('Material routes'!$D$6:$D$1005,MATCH(V138,'Material routes'!$A$6:$A$1005,0)),"MISSING ID")</x:f>
        <x:v>proposal.branch.spring_steel</x:v>
      </x:c>
      <x:c r="U138" s="4" t="str">
        <x:v>design.branch.branch.spring_steel.in.3</x:v>
      </x:c>
      <x:c r="V138" s="4" t="str">
        <x:v>design.branch.branch.spring_steel.out</x:v>
      </x:c>
    </x:row>
    <x:row r="139" ht="105" customHeight="1">
      <x:c r="A139" s="4" t="str">
        <x:f>IFERROR(INDEX('Material routes'!$E$6:$E$1005,MATCH(U139,'Material routes'!$A$6:$A$1005,0)),"MISSING ID")</x:f>
        <x:v>Drawn copper stock</x:v>
      </x:c>
      <x:c r="B139" s="4" t="str">
        <x:f>IFERROR(INDEX('Material routes'!$F$6:$F$1005,MATCH(U139,'Material routes'!$A$6:$A$1005,0)),"MISSING ID")</x:f>
        <x:v>T2</x:v>
      </x:c>
      <x:c r="C139" s="4" t="str">
        <x:f>IFERROR(INDEX('Material routes'!$H$6:$H$1005,MATCH(U139,'Material routes'!$A$6:$A$1005,0)),"MISSING ID")</x:f>
        <x:v>Processed material</x:v>
      </x:c>
      <x:c r="D139" s="4" t="str">
        <x:f>IFERROR(INDEX('Material routes'!$G$6:$G$1005,MATCH(U139,'Material routes'!$A$6:$A$1005,0)),"MISSING ID")</x:f>
        <x:v>Resources</x:v>
      </x:c>
      <x:c r="E139" s="4" t="str">
        <x:f>IFERROR(INDEX('Material routes'!$C$6:$C$1005,MATCH(U139,'Material routes'!$A$6:$A$1005,0)),"MISSING ID")</x:f>
        <x:v>Ingredient candidate</x:v>
      </x:c>
      <x:c r="F139" s="4" t="str">
        <x:f>IFERROR(INDEX('Material routes'!$E$6:$E$1005,MATCH(V139,'Material routes'!$A$6:$A$1005,0)),"MISSING ID")</x:f>
        <x:v>Insulated conductor stock</x:v>
      </x:c>
      <x:c r="G139" s="4" t="str">
        <x:f>IFERROR(INDEX('Material routes'!$F$6:$F$1005,MATCH(V139,'Material routes'!$A$6:$A$1005,0)),"MISSING ID")</x:f>
        <x:v>T3</x:v>
      </x:c>
      <x:c r="H139" s="4" t="str">
        <x:f>IFERROR(INDEX('Material routes'!$H$6:$H$1005,MATCH(V139,'Material routes'!$A$6:$A$1005,0)),"MISSING ID")</x:f>
        <x:v>Processed material</x:v>
      </x:c>
      <x:c r="I139" s="4" t="str">
        <x:f>IFERROR(INDEX('Material routes'!$G$6:$G$1005,MATCH(V139,'Material routes'!$A$6:$A$1005,0)),"MISSING ID")</x:f>
        <x:v>Resources</x:v>
      </x:c>
      <x:c r="J139" s="4" t="str">
        <x:f>IFERROR(INDEX('Material routes'!$B$6:$B$1005,MATCH(U139,'Material routes'!$A$6:$A$1005,0)),"MISSING ID")</x:f>
        <x:v>design.branch.branch.insulated_conductor</x:v>
      </x:c>
      <x:c r="K139" s="4" t="str">
        <x:f>IFERROR(INDEX('Crafting recipes'!$C$6:$C$1005,MATCH(J139,'Crafting recipes'!$A$6:$A$1005,0)),"MISSING ID")</x:f>
        <x:v>Material refinement</x:v>
      </x:c>
      <x:c r="L139" s="4" t="str">
        <x:f>IFERROR(INDEX('Material routes'!$K$6:$K$1005,MATCH(U139,'Material routes'!$A$6:$A$1005,0)),"MISSING ID")</x:f>
        <x:v>Proposal</x:v>
      </x:c>
      <x:c r="M139" s="4" t="str">
        <x:f>IFERROR(INDEX('Material routes'!$M$6:$M$1005,MATCH(U139,'Material routes'!$A$6:$A$1005,0)),"MISSING ID")</x:f>
        <x:v>Partial proposal</x:v>
      </x:c>
      <x:c r="N139" s="4" t="str">
        <x:f>IF(IFERROR(INDEX('Material routes'!$I$6:$I$1005,MATCH(U139,'Material routes'!$A$6:$A$1005,0)),"MISSING ID")=0,"",IFERROR(INDEX('Material routes'!$I$6:$I$1005,MATCH(U139,'Material routes'!$A$6:$A$1005,0)),"MISSING ID"))</x:f>
      </x:c>
      <x:c r="O139" s="4" t="str">
        <x:f>IFERROR(INDEX('Material routes'!$J$6:$J$1005,MATCH(U139,'Material routes'!$A$6:$A$1005,0)),"MISSING ID")</x:f>
        <x:v>Unspecified</x:v>
      </x:c>
      <x:c r="P139" s="4" t="str">
        <x:f>IF(IFERROR(INDEX('Material routes'!$I$6:$I$1005,MATCH(V139,'Material routes'!$A$6:$A$1005,0)),"MISSING ID")=0,"",IFERROR(INDEX('Material routes'!$I$6:$I$1005,MATCH(V139,'Material routes'!$A$6:$A$1005,0)),"MISSING ID"))</x:f>
      </x:c>
      <x:c r="Q139" s="4" t="str">
        <x:f>IFERROR(INDEX('Material routes'!$J$6:$J$1005,MATCH(V139,'Material routes'!$A$6:$A$1005,0)),"MISSING ID")</x:f>
        <x:v>Unspecified</x:v>
      </x:c>
      <x:c r="R139" s="4" t="str">
        <x:f>IF(L139="Withheld","Withheld premise",IF(E139="Tool candidate","Reusable prerequisite",IF(K139="Raw entry preparation","Entry-resource preparation",IF(G139="Not applicable","Finished endpoint",IF(OR(IFERROR(INDEX('Crafting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routes'!$D$6:$D$1005,MATCH(U139,'Material routes'!$A$6:$A$1005,0)),"MISSING ID")</x:f>
        <x:v>proposal.branch.drawn_copper</x:v>
      </x:c>
      <x:c r="T139" s="4" t="str">
        <x:f>IFERROR(INDEX('Material routes'!$D$6:$D$1005,MATCH(V139,'Material routes'!$A$6:$A$1005,0)),"MISSING ID")</x:f>
        <x:v>proposal.branch.insulated_conductor</x:v>
      </x:c>
      <x:c r="U139" s="4" t="str">
        <x:v>design.branch.branch.insulated_conductor.in.1</x:v>
      </x:c>
      <x:c r="V139" s="4" t="str">
        <x:v>design.branch.branch.insulated_conductor.out</x:v>
      </x:c>
    </x:row>
    <x:row r="140" ht="105" customHeight="1">
      <x:c r="A140" s="4" t="str">
        <x:f>IFERROR(INDEX('Material routes'!$E$6:$E$1005,MATCH(U140,'Material routes'!$A$6:$A$1005,0)),"MISSING ID")</x:f>
        <x:v>Mica composite sheet</x:v>
      </x:c>
      <x:c r="B140" s="4" t="str">
        <x:f>IFERROR(INDEX('Material routes'!$F$6:$F$1005,MATCH(U140,'Material routes'!$A$6:$A$1005,0)),"MISSING ID")</x:f>
        <x:v>T2</x:v>
      </x:c>
      <x:c r="C140" s="4" t="str">
        <x:f>IFERROR(INDEX('Material routes'!$H$6:$H$1005,MATCH(U140,'Material routes'!$A$6:$A$1005,0)),"MISSING ID")</x:f>
        <x:v>Processed material</x:v>
      </x:c>
      <x:c r="D140" s="4" t="str">
        <x:f>IFERROR(INDEX('Material routes'!$G$6:$G$1005,MATCH(U140,'Material routes'!$A$6:$A$1005,0)),"MISSING ID")</x:f>
        <x:v>Resources</x:v>
      </x:c>
      <x:c r="E140" s="4" t="str">
        <x:f>IFERROR(INDEX('Material routes'!$C$6:$C$1005,MATCH(U140,'Material routes'!$A$6:$A$1005,0)),"MISSING ID")</x:f>
        <x:v>Ingredient candidate</x:v>
      </x:c>
      <x:c r="F140" s="4" t="str">
        <x:f>IFERROR(INDEX('Material routes'!$E$6:$E$1005,MATCH(V140,'Material routes'!$A$6:$A$1005,0)),"MISSING ID")</x:f>
        <x:v>Insulated conductor stock</x:v>
      </x:c>
      <x:c r="G140" s="4" t="str">
        <x:f>IFERROR(INDEX('Material routes'!$F$6:$F$1005,MATCH(V140,'Material routes'!$A$6:$A$1005,0)),"MISSING ID")</x:f>
        <x:v>T3</x:v>
      </x:c>
      <x:c r="H140" s="4" t="str">
        <x:f>IFERROR(INDEX('Material routes'!$H$6:$H$1005,MATCH(V140,'Material routes'!$A$6:$A$1005,0)),"MISSING ID")</x:f>
        <x:v>Processed material</x:v>
      </x:c>
      <x:c r="I140" s="4" t="str">
        <x:f>IFERROR(INDEX('Material routes'!$G$6:$G$1005,MATCH(V140,'Material routes'!$A$6:$A$1005,0)),"MISSING ID")</x:f>
        <x:v>Resources</x:v>
      </x:c>
      <x:c r="J140" s="4" t="str">
        <x:f>IFERROR(INDEX('Material routes'!$B$6:$B$1005,MATCH(U140,'Material routes'!$A$6:$A$1005,0)),"MISSING ID")</x:f>
        <x:v>design.branch.branch.insulated_conductor</x:v>
      </x:c>
      <x:c r="K140" s="4" t="str">
        <x:f>IFERROR(INDEX('Crafting recipes'!$C$6:$C$1005,MATCH(J140,'Crafting recipes'!$A$6:$A$1005,0)),"MISSING ID")</x:f>
        <x:v>Material refinement</x:v>
      </x:c>
      <x:c r="L140" s="4" t="str">
        <x:f>IFERROR(INDEX('Material routes'!$K$6:$K$1005,MATCH(U140,'Material routes'!$A$6:$A$1005,0)),"MISSING ID")</x:f>
        <x:v>Proposal</x:v>
      </x:c>
      <x:c r="M140" s="4" t="str">
        <x:f>IFERROR(INDEX('Material routes'!$M$6:$M$1005,MATCH(U140,'Material routes'!$A$6:$A$1005,0)),"MISSING ID")</x:f>
        <x:v>Partial proposal</x:v>
      </x:c>
      <x:c r="N140" s="4" t="str">
        <x:f>IF(IFERROR(INDEX('Material routes'!$I$6:$I$1005,MATCH(U140,'Material routes'!$A$6:$A$1005,0)),"MISSING ID")=0,"",IFERROR(INDEX('Material routes'!$I$6:$I$1005,MATCH(U140,'Material routes'!$A$6:$A$1005,0)),"MISSING ID"))</x:f>
      </x:c>
      <x:c r="O140" s="4" t="str">
        <x:f>IFERROR(INDEX('Material routes'!$J$6:$J$1005,MATCH(U140,'Material routes'!$A$6:$A$1005,0)),"MISSING ID")</x:f>
        <x:v>Unspecified</x:v>
      </x:c>
      <x:c r="P140" s="4" t="str">
        <x:f>IF(IFERROR(INDEX('Material routes'!$I$6:$I$1005,MATCH(V140,'Material routes'!$A$6:$A$1005,0)),"MISSING ID")=0,"",IFERROR(INDEX('Material routes'!$I$6:$I$1005,MATCH(V140,'Material routes'!$A$6:$A$1005,0)),"MISSING ID"))</x:f>
      </x:c>
      <x:c r="Q140" s="4" t="str">
        <x:f>IFERROR(INDEX('Material routes'!$J$6:$J$1005,MATCH(V140,'Material routes'!$A$6:$A$1005,0)),"MISSING ID")</x:f>
        <x:v>Unspecified</x:v>
      </x:c>
      <x:c r="R140" s="4" t="str">
        <x:f>IF(L140="Withheld","Withheld premise",IF(E140="Tool candidate","Reusable prerequisite",IF(K140="Raw entry preparation","Entry-resource preparation",IF(G140="Not applicable","Finished endpoint",IF(OR(IFERROR(INDEX('Crafting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routes'!$D$6:$D$1005,MATCH(U140,'Material routes'!$A$6:$A$1005,0)),"MISSING ID")</x:f>
        <x:v>proposal.branch.mica_sheet</x:v>
      </x:c>
      <x:c r="T140" s="4" t="str">
        <x:f>IFERROR(INDEX('Material routes'!$D$6:$D$1005,MATCH(V140,'Material routes'!$A$6:$A$1005,0)),"MISSING ID")</x:f>
        <x:v>proposal.branch.insulated_conductor</x:v>
      </x:c>
      <x:c r="U140" s="4" t="str">
        <x:v>design.branch.branch.insulated_conductor.in.2</x:v>
      </x:c>
      <x:c r="V140" s="4" t="str">
        <x:v>design.branch.branch.insulated_conductor.out</x:v>
      </x:c>
    </x:row>
    <x:row r="141" ht="105" customHeight="1">
      <x:c r="A141" s="4" t="str">
        <x:f>IFERROR(INDEX('Material routes'!$E$6:$E$1005,MATCH(U141,'Material routes'!$A$6:$A$1005,0)),"MISSING ID")</x:f>
        <x:v>Flexible membrane-bonding compound</x:v>
      </x:c>
      <x:c r="B141" s="4" t="str">
        <x:f>IFERROR(INDEX('Material routes'!$F$6:$F$1005,MATCH(U141,'Material routes'!$A$6:$A$1005,0)),"MISSING ID")</x:f>
        <x:v>T2</x:v>
      </x:c>
      <x:c r="C141" s="4" t="str">
        <x:f>IFERROR(INDEX('Material routes'!$H$6:$H$1005,MATCH(U141,'Material routes'!$A$6:$A$1005,0)),"MISSING ID")</x:f>
        <x:v>Chemical material</x:v>
      </x:c>
      <x:c r="D141" s="4" t="str">
        <x:f>IFERROR(INDEX('Material routes'!$G$6:$G$1005,MATCH(U141,'Material routes'!$A$6:$A$1005,0)),"MISSING ID")</x:f>
        <x:v>Resources</x:v>
      </x:c>
      <x:c r="E141" s="4" t="str">
        <x:f>IFERROR(INDEX('Material routes'!$C$6:$C$1005,MATCH(U141,'Material routes'!$A$6:$A$1005,0)),"MISSING ID")</x:f>
        <x:v>Ingredient candidate</x:v>
      </x:c>
      <x:c r="F141" s="4" t="str">
        <x:f>IFERROR(INDEX('Material routes'!$E$6:$E$1005,MATCH(V141,'Material routes'!$A$6:$A$1005,0)),"MISSING ID")</x:f>
        <x:v>Insulated conductor stock</x:v>
      </x:c>
      <x:c r="G141" s="4" t="str">
        <x:f>IFERROR(INDEX('Material routes'!$F$6:$F$1005,MATCH(V141,'Material routes'!$A$6:$A$1005,0)),"MISSING ID")</x:f>
        <x:v>T3</x:v>
      </x:c>
      <x:c r="H141" s="4" t="str">
        <x:f>IFERROR(INDEX('Material routes'!$H$6:$H$1005,MATCH(V141,'Material routes'!$A$6:$A$1005,0)),"MISSING ID")</x:f>
        <x:v>Processed material</x:v>
      </x:c>
      <x:c r="I141" s="4" t="str">
        <x:f>IFERROR(INDEX('Material routes'!$G$6:$G$1005,MATCH(V141,'Material routes'!$A$6:$A$1005,0)),"MISSING ID")</x:f>
        <x:v>Resources</x:v>
      </x:c>
      <x:c r="J141" s="4" t="str">
        <x:f>IFERROR(INDEX('Material routes'!$B$6:$B$1005,MATCH(U141,'Material routes'!$A$6:$A$1005,0)),"MISSING ID")</x:f>
        <x:v>design.branch.branch.insulated_conductor</x:v>
      </x:c>
      <x:c r="K141" s="4" t="str">
        <x:f>IFERROR(INDEX('Crafting recipes'!$C$6:$C$1005,MATCH(J141,'Crafting recipes'!$A$6:$A$1005,0)),"MISSING ID")</x:f>
        <x:v>Material refinement</x:v>
      </x:c>
      <x:c r="L141" s="4" t="str">
        <x:f>IFERROR(INDEX('Material routes'!$K$6:$K$1005,MATCH(U141,'Material routes'!$A$6:$A$1005,0)),"MISSING ID")</x:f>
        <x:v>Proposal</x:v>
      </x:c>
      <x:c r="M141" s="4" t="str">
        <x:f>IFERROR(INDEX('Material routes'!$M$6:$M$1005,MATCH(U141,'Material routes'!$A$6:$A$1005,0)),"MISSING ID")</x:f>
        <x:v>Partial proposal</x:v>
      </x:c>
      <x:c r="N141" s="4" t="str">
        <x:f>IF(IFERROR(INDEX('Material routes'!$I$6:$I$1005,MATCH(U141,'Material routes'!$A$6:$A$1005,0)),"MISSING ID")=0,"",IFERROR(INDEX('Material routes'!$I$6:$I$1005,MATCH(U141,'Material routes'!$A$6:$A$1005,0)),"MISSING ID"))</x:f>
      </x:c>
      <x:c r="O141" s="4" t="str">
        <x:f>IFERROR(INDEX('Material routes'!$J$6:$J$1005,MATCH(U141,'Material routes'!$A$6:$A$1005,0)),"MISSING ID")</x:f>
        <x:v>Unspecified</x:v>
      </x:c>
      <x:c r="P141" s="4" t="str">
        <x:f>IF(IFERROR(INDEX('Material routes'!$I$6:$I$1005,MATCH(V141,'Material routes'!$A$6:$A$1005,0)),"MISSING ID")=0,"",IFERROR(INDEX('Material routes'!$I$6:$I$1005,MATCH(V141,'Material routes'!$A$6:$A$1005,0)),"MISSING ID"))</x:f>
      </x:c>
      <x:c r="Q141" s="4" t="str">
        <x:f>IFERROR(INDEX('Material routes'!$J$6:$J$1005,MATCH(V141,'Material routes'!$A$6:$A$1005,0)),"MISSING ID")</x:f>
        <x:v>Unspecified</x:v>
      </x:c>
      <x:c r="R141" s="4" t="str">
        <x:f>IF(L141="Withheld","Withheld premise",IF(E141="Tool candidate","Reusable prerequisite",IF(K141="Raw entry preparation","Entry-resource preparation",IF(G141="Not applicable","Finished endpoint",IF(OR(IFERROR(INDEX('Crafting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routes'!$D$6:$D$1005,MATCH(U141,'Material routes'!$A$6:$A$1005,0)),"MISSING ID")</x:f>
        <x:v>proposal.branch.flex_bond</x:v>
      </x:c>
      <x:c r="T141" s="4" t="str">
        <x:f>IFERROR(INDEX('Material routes'!$D$6:$D$1005,MATCH(V141,'Material routes'!$A$6:$A$1005,0)),"MISSING ID")</x:f>
        <x:v>proposal.branch.insulated_conductor</x:v>
      </x:c>
      <x:c r="U141" s="4" t="str">
        <x:v>design.branch.branch.insulated_conductor.in.3</x:v>
      </x:c>
      <x:c r="V141" s="4" t="str">
        <x:v>design.branch.branch.insulated_conductor.out</x:v>
      </x:c>
    </x:row>
    <x:row r="142" ht="105" customHeight="1">
      <x:c r="A142" s="4" t="str">
        <x:f>IFERROR(INDEX('Material routes'!$E$6:$E$1005,MATCH(U142,'Material routes'!$A$6:$A$1005,0)),"MISSING ID")</x:f>
        <x:v>Insulating ceramic blanks</x:v>
      </x:c>
      <x:c r="B142" s="4" t="str">
        <x:f>IFERROR(INDEX('Material routes'!$F$6:$F$1005,MATCH(U142,'Material routes'!$A$6:$A$1005,0)),"MISSING ID")</x:f>
        <x:v>T2</x:v>
      </x:c>
      <x:c r="C142" s="4" t="str">
        <x:f>IFERROR(INDEX('Material routes'!$H$6:$H$1005,MATCH(U142,'Material routes'!$A$6:$A$1005,0)),"MISSING ID")</x:f>
        <x:v>Processed material</x:v>
      </x:c>
      <x:c r="D142" s="4" t="str">
        <x:f>IFERROR(INDEX('Material routes'!$G$6:$G$1005,MATCH(U142,'Material routes'!$A$6:$A$1005,0)),"MISSING ID")</x:f>
        <x:v>Resources</x:v>
      </x:c>
      <x:c r="E142" s="4" t="str">
        <x:f>IFERROR(INDEX('Material routes'!$C$6:$C$1005,MATCH(U142,'Material routes'!$A$6:$A$1005,0)),"MISSING ID")</x:f>
        <x:v>Ingredient candidate</x:v>
      </x:c>
      <x:c r="F142" s="4" t="str">
        <x:f>IFERROR(INDEX('Material routes'!$E$6:$E$1005,MATCH(V142,'Material routes'!$A$6:$A$1005,0)),"MISSING ID")</x:f>
        <x:v>Bonded ceramic-shell composite</x:v>
      </x:c>
      <x:c r="G142" s="4" t="str">
        <x:f>IFERROR(INDEX('Material routes'!$F$6:$F$1005,MATCH(V142,'Material routes'!$A$6:$A$1005,0)),"MISSING ID")</x:f>
        <x:v>T3</x:v>
      </x:c>
      <x:c r="H142" s="4" t="str">
        <x:f>IFERROR(INDEX('Material routes'!$H$6:$H$1005,MATCH(V142,'Material routes'!$A$6:$A$1005,0)),"MISSING ID")</x:f>
        <x:v>Processed material</x:v>
      </x:c>
      <x:c r="I142" s="4" t="str">
        <x:f>IFERROR(INDEX('Material routes'!$G$6:$G$1005,MATCH(V142,'Material routes'!$A$6:$A$1005,0)),"MISSING ID")</x:f>
        <x:v>Resources</x:v>
      </x:c>
      <x:c r="J142" s="4" t="str">
        <x:f>IFERROR(INDEX('Material routes'!$B$6:$B$1005,MATCH(U142,'Material routes'!$A$6:$A$1005,0)),"MISSING ID")</x:f>
        <x:v>design.branch.branch.ceramic_shell</x:v>
      </x:c>
      <x:c r="K142" s="4" t="str">
        <x:f>IFERROR(INDEX('Crafting recipes'!$C$6:$C$1005,MATCH(J142,'Crafting recipes'!$A$6:$A$1005,0)),"MISSING ID")</x:f>
        <x:v>Material refinement</x:v>
      </x:c>
      <x:c r="L142" s="4" t="str">
        <x:f>IFERROR(INDEX('Material routes'!$K$6:$K$1005,MATCH(U142,'Material routes'!$A$6:$A$1005,0)),"MISSING ID")</x:f>
        <x:v>Proposal</x:v>
      </x:c>
      <x:c r="M142" s="4" t="str">
        <x:f>IFERROR(INDEX('Material routes'!$M$6:$M$1005,MATCH(U142,'Material routes'!$A$6:$A$1005,0)),"MISSING ID")</x:f>
        <x:v>Partial proposal</x:v>
      </x:c>
      <x:c r="N142" s="4" t="str">
        <x:f>IF(IFERROR(INDEX('Material routes'!$I$6:$I$1005,MATCH(U142,'Material routes'!$A$6:$A$1005,0)),"MISSING ID")=0,"",IFERROR(INDEX('Material routes'!$I$6:$I$1005,MATCH(U142,'Material routes'!$A$6:$A$1005,0)),"MISSING ID"))</x:f>
      </x:c>
      <x:c r="O142" s="4" t="str">
        <x:f>IFERROR(INDEX('Material routes'!$J$6:$J$1005,MATCH(U142,'Material routes'!$A$6:$A$1005,0)),"MISSING ID")</x:f>
        <x:v>Unspecified</x:v>
      </x:c>
      <x:c r="P142" s="4" t="str">
        <x:f>IF(IFERROR(INDEX('Material routes'!$I$6:$I$1005,MATCH(V142,'Material routes'!$A$6:$A$1005,0)),"MISSING ID")=0,"",IFERROR(INDEX('Material routes'!$I$6:$I$1005,MATCH(V142,'Material routes'!$A$6:$A$1005,0)),"MISSING ID"))</x:f>
      </x:c>
      <x:c r="Q142" s="4" t="str">
        <x:f>IFERROR(INDEX('Material routes'!$J$6:$J$1005,MATCH(V142,'Material routes'!$A$6:$A$1005,0)),"MISSING ID")</x:f>
        <x:v>Unspecified</x:v>
      </x:c>
      <x:c r="R142" s="4" t="str">
        <x:f>IF(L142="Withheld","Withheld premise",IF(E142="Tool candidate","Reusable prerequisite",IF(K142="Raw entry preparation","Entry-resource preparation",IF(G142="Not applicable","Finished endpoint",IF(OR(IFERROR(INDEX('Crafting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routes'!$D$6:$D$1005,MATCH(U142,'Material routes'!$A$6:$A$1005,0)),"MISSING ID")</x:f>
        <x:v>proposal.natural.ceramic</x:v>
      </x:c>
      <x:c r="T142" s="4" t="str">
        <x:f>IFERROR(INDEX('Material routes'!$D$6:$D$1005,MATCH(V142,'Material routes'!$A$6:$A$1005,0)),"MISSING ID")</x:f>
        <x:v>proposal.branch.ceramic_shell</x:v>
      </x:c>
      <x:c r="U142" s="4" t="str">
        <x:v>design.branch.branch.ceramic_shell.in.1</x:v>
      </x:c>
      <x:c r="V142" s="4" t="str">
        <x:v>design.branch.branch.ceramic_shell.out</x:v>
      </x:c>
    </x:row>
    <x:row r="143" ht="105" customHeight="1">
      <x:c r="A143" s="4" t="str">
        <x:f>IFERROR(INDEX('Material routes'!$E$6:$E$1005,MATCH(U143,'Material routes'!$A$6:$A$1005,0)),"MISSING ID")</x:f>
        <x:v>Shell laminate</x:v>
      </x:c>
      <x:c r="B143" s="4" t="str">
        <x:f>IFERROR(INDEX('Material routes'!$F$6:$F$1005,MATCH(U143,'Material routes'!$A$6:$A$1005,0)),"MISSING ID")</x:f>
        <x:v>T2</x:v>
      </x:c>
      <x:c r="C143" s="4" t="str">
        <x:f>IFERROR(INDEX('Material routes'!$H$6:$H$1005,MATCH(U143,'Material routes'!$A$6:$A$1005,0)),"MISSING ID")</x:f>
        <x:v>Crafting component</x:v>
      </x:c>
      <x:c r="D143" s="4" t="str">
        <x:f>IFERROR(INDEX('Material routes'!$G$6:$G$1005,MATCH(U143,'Material routes'!$A$6:$A$1005,0)),"MISSING ID")</x:f>
        <x:v>Crafting components</x:v>
      </x:c>
      <x:c r="E143" s="4" t="str">
        <x:f>IFERROR(INDEX('Material routes'!$C$6:$C$1005,MATCH(U143,'Material routes'!$A$6:$A$1005,0)),"MISSING ID")</x:f>
        <x:v>Ingredient candidate</x:v>
      </x:c>
      <x:c r="F143" s="4" t="str">
        <x:f>IFERROR(INDEX('Material routes'!$E$6:$E$1005,MATCH(V143,'Material routes'!$A$6:$A$1005,0)),"MISSING ID")</x:f>
        <x:v>Bonded ceramic-shell composite</x:v>
      </x:c>
      <x:c r="G143" s="4" t="str">
        <x:f>IFERROR(INDEX('Material routes'!$F$6:$F$1005,MATCH(V143,'Material routes'!$A$6:$A$1005,0)),"MISSING ID")</x:f>
        <x:v>T3</x:v>
      </x:c>
      <x:c r="H143" s="4" t="str">
        <x:f>IFERROR(INDEX('Material routes'!$H$6:$H$1005,MATCH(V143,'Material routes'!$A$6:$A$1005,0)),"MISSING ID")</x:f>
        <x:v>Processed material</x:v>
      </x:c>
      <x:c r="I143" s="4" t="str">
        <x:f>IFERROR(INDEX('Material routes'!$G$6:$G$1005,MATCH(V143,'Material routes'!$A$6:$A$1005,0)),"MISSING ID")</x:f>
        <x:v>Resources</x:v>
      </x:c>
      <x:c r="J143" s="4" t="str">
        <x:f>IFERROR(INDEX('Material routes'!$B$6:$B$1005,MATCH(U143,'Material routes'!$A$6:$A$1005,0)),"MISSING ID")</x:f>
        <x:v>design.branch.branch.ceramic_shell</x:v>
      </x:c>
      <x:c r="K143" s="4" t="str">
        <x:f>IFERROR(INDEX('Crafting recipes'!$C$6:$C$1005,MATCH(J143,'Crafting recipes'!$A$6:$A$1005,0)),"MISSING ID")</x:f>
        <x:v>Material refinement</x:v>
      </x:c>
      <x:c r="L143" s="4" t="str">
        <x:f>IFERROR(INDEX('Material routes'!$K$6:$K$1005,MATCH(U143,'Material routes'!$A$6:$A$1005,0)),"MISSING ID")</x:f>
        <x:v>Proposal</x:v>
      </x:c>
      <x:c r="M143" s="4" t="str">
        <x:f>IFERROR(INDEX('Material routes'!$M$6:$M$1005,MATCH(U143,'Material routes'!$A$6:$A$1005,0)),"MISSING ID")</x:f>
        <x:v>Partial proposal</x:v>
      </x:c>
      <x:c r="N143" s="4" t="str">
        <x:f>IF(IFERROR(INDEX('Material routes'!$I$6:$I$1005,MATCH(U143,'Material routes'!$A$6:$A$1005,0)),"MISSING ID")=0,"",IFERROR(INDEX('Material routes'!$I$6:$I$1005,MATCH(U143,'Material routes'!$A$6:$A$1005,0)),"MISSING ID"))</x:f>
      </x:c>
      <x:c r="O143" s="4" t="str">
        <x:f>IFERROR(INDEX('Material routes'!$J$6:$J$1005,MATCH(U143,'Material routes'!$A$6:$A$1005,0)),"MISSING ID")</x:f>
        <x:v>Unspecified</x:v>
      </x:c>
      <x:c r="P143" s="4" t="str">
        <x:f>IF(IFERROR(INDEX('Material routes'!$I$6:$I$1005,MATCH(V143,'Material routes'!$A$6:$A$1005,0)),"MISSING ID")=0,"",IFERROR(INDEX('Material routes'!$I$6:$I$1005,MATCH(V143,'Material routes'!$A$6:$A$1005,0)),"MISSING ID"))</x:f>
      </x:c>
      <x:c r="Q143" s="4" t="str">
        <x:f>IFERROR(INDEX('Material routes'!$J$6:$J$1005,MATCH(V143,'Material routes'!$A$6:$A$1005,0)),"MISSING ID")</x:f>
        <x:v>Unspecified</x:v>
      </x:c>
      <x:c r="R143" s="4" t="str">
        <x:f>IF(L143="Withheld","Withheld premise",IF(E143="Tool candidate","Reusable prerequisite",IF(K143="Raw entry preparation","Entry-resource preparation",IF(G143="Not applicable","Finished endpoint",IF(OR(IFERROR(INDEX('Crafting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routes'!$D$6:$D$1005,MATCH(U143,'Material routes'!$A$6:$A$1005,0)),"MISSING ID")</x:f>
        <x:v>proposal.bio.laminate</x:v>
      </x:c>
      <x:c r="T143" s="4" t="str">
        <x:f>IFERROR(INDEX('Material routes'!$D$6:$D$1005,MATCH(V143,'Material routes'!$A$6:$A$1005,0)),"MISSING ID")</x:f>
        <x:v>proposal.branch.ceramic_shell</x:v>
      </x:c>
      <x:c r="U143" s="4" t="str">
        <x:v>design.branch.branch.ceramic_shell.in.2</x:v>
      </x:c>
      <x:c r="V143" s="4" t="str">
        <x:v>design.branch.branch.ceramic_shell.out</x:v>
      </x:c>
    </x:row>
    <x:row r="144" ht="105" customHeight="1">
      <x:c r="A144" s="4" t="str">
        <x:f>IFERROR(INDEX('Material routes'!$E$6:$E$1005,MATCH(U144,'Material routes'!$A$6:$A$1005,0)),"MISSING ID")</x:f>
        <x:v>Filled shell-binding compound</x:v>
      </x:c>
      <x:c r="B144" s="4" t="str">
        <x:f>IFERROR(INDEX('Material routes'!$F$6:$F$1005,MATCH(U144,'Material routes'!$A$6:$A$1005,0)),"MISSING ID")</x:f>
        <x:v>T2</x:v>
      </x:c>
      <x:c r="C144" s="4" t="str">
        <x:f>IFERROR(INDEX('Material routes'!$H$6:$H$1005,MATCH(U144,'Material routes'!$A$6:$A$1005,0)),"MISSING ID")</x:f>
        <x:v>Chemical material</x:v>
      </x:c>
      <x:c r="D144" s="4" t="str">
        <x:f>IFERROR(INDEX('Material routes'!$G$6:$G$1005,MATCH(U144,'Material routes'!$A$6:$A$1005,0)),"MISSING ID")</x:f>
        <x:v>Resources</x:v>
      </x:c>
      <x:c r="E144" s="4" t="str">
        <x:f>IFERROR(INDEX('Material routes'!$C$6:$C$1005,MATCH(U144,'Material routes'!$A$6:$A$1005,0)),"MISSING ID")</x:f>
        <x:v>Ingredient candidate</x:v>
      </x:c>
      <x:c r="F144" s="4" t="str">
        <x:f>IFERROR(INDEX('Material routes'!$E$6:$E$1005,MATCH(V144,'Material routes'!$A$6:$A$1005,0)),"MISSING ID")</x:f>
        <x:v>Bonded ceramic-shell composite</x:v>
      </x:c>
      <x:c r="G144" s="4" t="str">
        <x:f>IFERROR(INDEX('Material routes'!$F$6:$F$1005,MATCH(V144,'Material routes'!$A$6:$A$1005,0)),"MISSING ID")</x:f>
        <x:v>T3</x:v>
      </x:c>
      <x:c r="H144" s="4" t="str">
        <x:f>IFERROR(INDEX('Material routes'!$H$6:$H$1005,MATCH(V144,'Material routes'!$A$6:$A$1005,0)),"MISSING ID")</x:f>
        <x:v>Processed material</x:v>
      </x:c>
      <x:c r="I144" s="4" t="str">
        <x:f>IFERROR(INDEX('Material routes'!$G$6:$G$1005,MATCH(V144,'Material routes'!$A$6:$A$1005,0)),"MISSING ID")</x:f>
        <x:v>Resources</x:v>
      </x:c>
      <x:c r="J144" s="4" t="str">
        <x:f>IFERROR(INDEX('Material routes'!$B$6:$B$1005,MATCH(U144,'Material routes'!$A$6:$A$1005,0)),"MISSING ID")</x:f>
        <x:v>design.branch.branch.ceramic_shell</x:v>
      </x:c>
      <x:c r="K144" s="4" t="str">
        <x:f>IFERROR(INDEX('Crafting recipes'!$C$6:$C$1005,MATCH(J144,'Crafting recipes'!$A$6:$A$1005,0)),"MISSING ID")</x:f>
        <x:v>Material refinement</x:v>
      </x:c>
      <x:c r="L144" s="4" t="str">
        <x:f>IFERROR(INDEX('Material routes'!$K$6:$K$1005,MATCH(U144,'Material routes'!$A$6:$A$1005,0)),"MISSING ID")</x:f>
        <x:v>Proposal</x:v>
      </x:c>
      <x:c r="M144" s="4" t="str">
        <x:f>IFERROR(INDEX('Material routes'!$M$6:$M$1005,MATCH(U144,'Material routes'!$A$6:$A$1005,0)),"MISSING ID")</x:f>
        <x:v>Partial proposal</x:v>
      </x:c>
      <x:c r="N144" s="4" t="str">
        <x:f>IF(IFERROR(INDEX('Material routes'!$I$6:$I$1005,MATCH(U144,'Material routes'!$A$6:$A$1005,0)),"MISSING ID")=0,"",IFERROR(INDEX('Material routes'!$I$6:$I$1005,MATCH(U144,'Material routes'!$A$6:$A$1005,0)),"MISSING ID"))</x:f>
      </x:c>
      <x:c r="O144" s="4" t="str">
        <x:f>IFERROR(INDEX('Material routes'!$J$6:$J$1005,MATCH(U144,'Material routes'!$A$6:$A$1005,0)),"MISSING ID")</x:f>
        <x:v>Unspecified</x:v>
      </x:c>
      <x:c r="P144" s="4" t="str">
        <x:f>IF(IFERROR(INDEX('Material routes'!$I$6:$I$1005,MATCH(V144,'Material routes'!$A$6:$A$1005,0)),"MISSING ID")=0,"",IFERROR(INDEX('Material routes'!$I$6:$I$1005,MATCH(V144,'Material routes'!$A$6:$A$1005,0)),"MISSING ID"))</x:f>
      </x:c>
      <x:c r="Q144" s="4" t="str">
        <x:f>IFERROR(INDEX('Material routes'!$J$6:$J$1005,MATCH(V144,'Material routes'!$A$6:$A$1005,0)),"MISSING ID")</x:f>
        <x:v>Unspecified</x:v>
      </x:c>
      <x:c r="R144" s="4" t="str">
        <x:f>IF(L144="Withheld","Withheld premise",IF(E144="Tool candidate","Reusable prerequisite",IF(K144="Raw entry preparation","Entry-resource preparation",IF(G144="Not applicable","Finished endpoint",IF(OR(IFERROR(INDEX('Crafting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routes'!$D$6:$D$1005,MATCH(U144,'Material routes'!$A$6:$A$1005,0)),"MISSING ID")</x:f>
        <x:v>proposal.branch.filled_binder</x:v>
      </x:c>
      <x:c r="T144" s="4" t="str">
        <x:f>IFERROR(INDEX('Material routes'!$D$6:$D$1005,MATCH(V144,'Material routes'!$A$6:$A$1005,0)),"MISSING ID")</x:f>
        <x:v>proposal.branch.ceramic_shell</x:v>
      </x:c>
      <x:c r="U144" s="4" t="str">
        <x:v>design.branch.branch.ceramic_shell.in.3</x:v>
      </x:c>
      <x:c r="V144" s="4" t="str">
        <x:v>design.branch.branch.ceramic_shell.out</x:v>
      </x:c>
    </x:row>
    <x:row r="145" ht="105" customHeight="1">
      <x:c r="A145" s="4" t="str">
        <x:f>IFERROR(INDEX('Material routes'!$E$6:$E$1005,MATCH(U145,'Material routes'!$A$6:$A$1005,0)),"MISSING ID")</x:f>
        <x:v>Selected viewing-glass stock</x:v>
      </x:c>
      <x:c r="B145" s="4" t="str">
        <x:f>IFERROR(INDEX('Material routes'!$F$6:$F$1005,MATCH(U145,'Material routes'!$A$6:$A$1005,0)),"MISSING ID")</x:f>
        <x:v>T2</x:v>
      </x:c>
      <x:c r="C145" s="4" t="str">
        <x:f>IFERROR(INDEX('Material routes'!$H$6:$H$1005,MATCH(U145,'Material routes'!$A$6:$A$1005,0)),"MISSING ID")</x:f>
        <x:v>Processed material</x:v>
      </x:c>
      <x:c r="D145" s="4" t="str">
        <x:f>IFERROR(INDEX('Material routes'!$G$6:$G$1005,MATCH(U145,'Material routes'!$A$6:$A$1005,0)),"MISSING ID")</x:f>
        <x:v>Resources</x:v>
      </x:c>
      <x:c r="E145" s="4" t="str">
        <x:f>IFERROR(INDEX('Material routes'!$C$6:$C$1005,MATCH(U145,'Material routes'!$A$6:$A$1005,0)),"MISSING ID")</x:f>
        <x:v>Ingredient candidate</x:v>
      </x:c>
      <x:c r="F145" s="4" t="str">
        <x:f>IFERROR(INDEX('Material routes'!$E$6:$E$1005,MATCH(V145,'Material routes'!$A$6:$A$1005,0)),"MISSING ID")</x:f>
        <x:v>Ground optical glass stock</x:v>
      </x:c>
      <x:c r="G145" s="4" t="str">
        <x:f>IFERROR(INDEX('Material routes'!$F$6:$F$1005,MATCH(V145,'Material routes'!$A$6:$A$1005,0)),"MISSING ID")</x:f>
        <x:v>T3</x:v>
      </x:c>
      <x:c r="H145" s="4" t="str">
        <x:f>IFERROR(INDEX('Material routes'!$H$6:$H$1005,MATCH(V145,'Material routes'!$A$6:$A$1005,0)),"MISSING ID")</x:f>
        <x:v>Processed material</x:v>
      </x:c>
      <x:c r="I145" s="4" t="str">
        <x:f>IFERROR(INDEX('Material routes'!$G$6:$G$1005,MATCH(V145,'Material routes'!$A$6:$A$1005,0)),"MISSING ID")</x:f>
        <x:v>Resources</x:v>
      </x:c>
      <x:c r="J145" s="4" t="str">
        <x:f>IFERROR(INDEX('Material routes'!$B$6:$B$1005,MATCH(U145,'Material routes'!$A$6:$A$1005,0)),"MISSING ID")</x:f>
        <x:v>design.branch.branch.optical_glass</x:v>
      </x:c>
      <x:c r="K145" s="4" t="str">
        <x:f>IFERROR(INDEX('Crafting recipes'!$C$6:$C$1005,MATCH(J145,'Crafting recipes'!$A$6:$A$1005,0)),"MISSING ID")</x:f>
        <x:v>Material refinement</x:v>
      </x:c>
      <x:c r="L145" s="4" t="str">
        <x:f>IFERROR(INDEX('Material routes'!$K$6:$K$1005,MATCH(U145,'Material routes'!$A$6:$A$1005,0)),"MISSING ID")</x:f>
        <x:v>Proposal</x:v>
      </x:c>
      <x:c r="M145" s="4" t="str">
        <x:f>IFERROR(INDEX('Material routes'!$M$6:$M$1005,MATCH(U145,'Material routes'!$A$6:$A$1005,0)),"MISSING ID")</x:f>
        <x:v>Partial proposal</x:v>
      </x:c>
      <x:c r="N145" s="4" t="str">
        <x:f>IF(IFERROR(INDEX('Material routes'!$I$6:$I$1005,MATCH(U145,'Material routes'!$A$6:$A$1005,0)),"MISSING ID")=0,"",IFERROR(INDEX('Material routes'!$I$6:$I$1005,MATCH(U145,'Material routes'!$A$6:$A$1005,0)),"MISSING ID"))</x:f>
      </x:c>
      <x:c r="O145" s="4" t="str">
        <x:f>IFERROR(INDEX('Material routes'!$J$6:$J$1005,MATCH(U145,'Material routes'!$A$6:$A$1005,0)),"MISSING ID")</x:f>
        <x:v>Unspecified</x:v>
      </x:c>
      <x:c r="P145" s="4" t="str">
        <x:f>IF(IFERROR(INDEX('Material routes'!$I$6:$I$1005,MATCH(V145,'Material routes'!$A$6:$A$1005,0)),"MISSING ID")=0,"",IFERROR(INDEX('Material routes'!$I$6:$I$1005,MATCH(V145,'Material routes'!$A$6:$A$1005,0)),"MISSING ID"))</x:f>
      </x:c>
      <x:c r="Q145" s="4" t="str">
        <x:f>IFERROR(INDEX('Material routes'!$J$6:$J$1005,MATCH(V145,'Material routes'!$A$6:$A$1005,0)),"MISSING ID")</x:f>
        <x:v>Unspecified</x:v>
      </x:c>
      <x:c r="R145" s="4" t="str">
        <x:f>IF(L145="Withheld","Withheld premise",IF(E145="Tool candidate","Reusable prerequisite",IF(K145="Raw entry preparation","Entry-resource preparation",IF(G145="Not applicable","Finished endpoint",IF(OR(IFERROR(INDEX('Crafting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routes'!$D$6:$D$1005,MATCH(U145,'Material routes'!$A$6:$A$1005,0)),"MISSING ID")</x:f>
        <x:v>proposal.branch.viewing_glass</x:v>
      </x:c>
      <x:c r="T145" s="4" t="str">
        <x:f>IFERROR(INDEX('Material routes'!$D$6:$D$1005,MATCH(V145,'Material routes'!$A$6:$A$1005,0)),"MISSING ID")</x:f>
        <x:v>proposal.branch.optical_glass</x:v>
      </x:c>
      <x:c r="U145" s="4" t="str">
        <x:v>design.branch.branch.optical_glass.in.1</x:v>
      </x:c>
      <x:c r="V145" s="4" t="str">
        <x:v>design.branch.branch.optical_glass.out</x:v>
      </x:c>
    </x:row>
    <x:row r="146" ht="105" customHeight="1">
      <x:c r="A146" s="4" t="str">
        <x:f>IFERROR(INDEX('Material routes'!$E$6:$E$1005,MATCH(U146,'Material routes'!$A$6:$A$1005,0)),"MISSING ID")</x:f>
        <x:v>Graded abrasive grit</x:v>
      </x:c>
      <x:c r="B146" s="4" t="str">
        <x:f>IFERROR(INDEX('Material routes'!$F$6:$F$1005,MATCH(U146,'Material routes'!$A$6:$A$1005,0)),"MISSING ID")</x:f>
        <x:v>T1</x:v>
      </x:c>
      <x:c r="C146" s="4" t="str">
        <x:f>IFERROR(INDEX('Material routes'!$H$6:$H$1005,MATCH(U146,'Material routes'!$A$6:$A$1005,0)),"MISSING ID")</x:f>
        <x:v>Processed material</x:v>
      </x:c>
      <x:c r="D146" s="4" t="str">
        <x:f>IFERROR(INDEX('Material routes'!$G$6:$G$1005,MATCH(U146,'Material routes'!$A$6:$A$1005,0)),"MISSING ID")</x:f>
        <x:v>Resources</x:v>
      </x:c>
      <x:c r="E146" s="4" t="str">
        <x:f>IFERROR(INDEX('Material routes'!$C$6:$C$1005,MATCH(U146,'Material routes'!$A$6:$A$1005,0)),"MISSING ID")</x:f>
        <x:v>Ingredient candidate</x:v>
      </x:c>
      <x:c r="F146" s="4" t="str">
        <x:f>IFERROR(INDEX('Material routes'!$E$6:$E$1005,MATCH(V146,'Material routes'!$A$6:$A$1005,0)),"MISSING ID")</x:f>
        <x:v>Ground optical glass stock</x:v>
      </x:c>
      <x:c r="G146" s="4" t="str">
        <x:f>IFERROR(INDEX('Material routes'!$F$6:$F$1005,MATCH(V146,'Material routes'!$A$6:$A$1005,0)),"MISSING ID")</x:f>
        <x:v>T3</x:v>
      </x:c>
      <x:c r="H146" s="4" t="str">
        <x:f>IFERROR(INDEX('Material routes'!$H$6:$H$1005,MATCH(V146,'Material routes'!$A$6:$A$1005,0)),"MISSING ID")</x:f>
        <x:v>Processed material</x:v>
      </x:c>
      <x:c r="I146" s="4" t="str">
        <x:f>IFERROR(INDEX('Material routes'!$G$6:$G$1005,MATCH(V146,'Material routes'!$A$6:$A$1005,0)),"MISSING ID")</x:f>
        <x:v>Resources</x:v>
      </x:c>
      <x:c r="J146" s="4" t="str">
        <x:f>IFERROR(INDEX('Material routes'!$B$6:$B$1005,MATCH(U146,'Material routes'!$A$6:$A$1005,0)),"MISSING ID")</x:f>
        <x:v>design.branch.branch.optical_glass</x:v>
      </x:c>
      <x:c r="K146" s="4" t="str">
        <x:f>IFERROR(INDEX('Crafting recipes'!$C$6:$C$1005,MATCH(J146,'Crafting recipes'!$A$6:$A$1005,0)),"MISSING ID")</x:f>
        <x:v>Material refinement</x:v>
      </x:c>
      <x:c r="L146" s="4" t="str">
        <x:f>IFERROR(INDEX('Material routes'!$K$6:$K$1005,MATCH(U146,'Material routes'!$A$6:$A$1005,0)),"MISSING ID")</x:f>
        <x:v>Proposal</x:v>
      </x:c>
      <x:c r="M146" s="4" t="str">
        <x:f>IFERROR(INDEX('Material routes'!$M$6:$M$1005,MATCH(U146,'Material routes'!$A$6:$A$1005,0)),"MISSING ID")</x:f>
        <x:v>Partial proposal</x:v>
      </x:c>
      <x:c r="N146" s="4" t="str">
        <x:f>IF(IFERROR(INDEX('Material routes'!$I$6:$I$1005,MATCH(U146,'Material routes'!$A$6:$A$1005,0)),"MISSING ID")=0,"",IFERROR(INDEX('Material routes'!$I$6:$I$1005,MATCH(U146,'Material routes'!$A$6:$A$1005,0)),"MISSING ID"))</x:f>
      </x:c>
      <x:c r="O146" s="4" t="str">
        <x:f>IFERROR(INDEX('Material routes'!$J$6:$J$1005,MATCH(U146,'Material routes'!$A$6:$A$1005,0)),"MISSING ID")</x:f>
        <x:v>Unspecified</x:v>
      </x:c>
      <x:c r="P146" s="4" t="str">
        <x:f>IF(IFERROR(INDEX('Material routes'!$I$6:$I$1005,MATCH(V146,'Material routes'!$A$6:$A$1005,0)),"MISSING ID")=0,"",IFERROR(INDEX('Material routes'!$I$6:$I$1005,MATCH(V146,'Material routes'!$A$6:$A$1005,0)),"MISSING ID"))</x:f>
      </x:c>
      <x:c r="Q146" s="4" t="str">
        <x:f>IFERROR(INDEX('Material routes'!$J$6:$J$1005,MATCH(V146,'Material routes'!$A$6:$A$1005,0)),"MISSING ID")</x:f>
        <x:v>Unspecified</x:v>
      </x:c>
      <x:c r="R146" s="4" t="str">
        <x:f>IF(L146="Withheld","Withheld premise",IF(E146="Tool candidate","Reusable prerequisite",IF(K146="Raw entry preparation","Entry-resource preparation",IF(G146="Not applicable","Finished endpoint",IF(OR(IFERROR(INDEX('Crafting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routes'!$D$6:$D$1005,MATCH(U146,'Material routes'!$A$6:$A$1005,0)),"MISSING ID")</x:f>
        <x:v>proposal.natural.abrasive</x:v>
      </x:c>
      <x:c r="T146" s="4" t="str">
        <x:f>IFERROR(INDEX('Material routes'!$D$6:$D$1005,MATCH(V146,'Material routes'!$A$6:$A$1005,0)),"MISSING ID")</x:f>
        <x:v>proposal.branch.optical_glass</x:v>
      </x:c>
      <x:c r="U146" s="4" t="str">
        <x:v>design.branch.branch.optical_glass.in.2</x:v>
      </x:c>
      <x:c r="V146" s="4" t="str">
        <x:v>design.branch.branch.optical_glass.out</x:v>
      </x:c>
    </x:row>
    <x:row r="147" ht="105" customHeight="1">
      <x:c r="A147" s="4" t="str">
        <x:f>IFERROR(INDEX('Material routes'!$E$6:$E$1005,MATCH(U147,'Material routes'!$A$6:$A$1005,0)),"MISSING ID")</x:f>
        <x:v>Bonded husk sheet</x:v>
      </x:c>
      <x:c r="B147" s="4" t="str">
        <x:f>IFERROR(INDEX('Material routes'!$F$6:$F$1005,MATCH(U147,'Material routes'!$A$6:$A$1005,0)),"MISSING ID")</x:f>
        <x:v>T2</x:v>
      </x:c>
      <x:c r="C147" s="4" t="str">
        <x:f>IFERROR(INDEX('Material routes'!$H$6:$H$1005,MATCH(U147,'Material routes'!$A$6:$A$1005,0)),"MISSING ID")</x:f>
        <x:v>Processed material</x:v>
      </x:c>
      <x:c r="D147" s="4" t="str">
        <x:f>IFERROR(INDEX('Material routes'!$G$6:$G$1005,MATCH(U147,'Material routes'!$A$6:$A$1005,0)),"MISSING ID")</x:f>
        <x:v>Resources</x:v>
      </x:c>
      <x:c r="E147" s="4" t="str">
        <x:f>IFERROR(INDEX('Material routes'!$C$6:$C$1005,MATCH(U147,'Material routes'!$A$6:$A$1005,0)),"MISSING ID")</x:f>
        <x:v>Ingredient candidate</x:v>
      </x:c>
      <x:c r="F147" s="4" t="str">
        <x:f>IFERROR(INDEX('Material routes'!$E$6:$E$1005,MATCH(V147,'Material routes'!$A$6:$A$1005,0)),"MISSING ID")</x:f>
        <x:v>Layered husk composite stock</x:v>
      </x:c>
      <x:c r="G147" s="4" t="str">
        <x:f>IFERROR(INDEX('Material routes'!$F$6:$F$1005,MATCH(V147,'Material routes'!$A$6:$A$1005,0)),"MISSING ID")</x:f>
        <x:v>T3</x:v>
      </x:c>
      <x:c r="H147" s="4" t="str">
        <x:f>IFERROR(INDEX('Material routes'!$H$6:$H$1005,MATCH(V147,'Material routes'!$A$6:$A$1005,0)),"MISSING ID")</x:f>
        <x:v>Processed material</x:v>
      </x:c>
      <x:c r="I147" s="4" t="str">
        <x:f>IFERROR(INDEX('Material routes'!$G$6:$G$1005,MATCH(V147,'Material routes'!$A$6:$A$1005,0)),"MISSING ID")</x:f>
        <x:v>Resources</x:v>
      </x:c>
      <x:c r="J147" s="4" t="str">
        <x:f>IFERROR(INDEX('Material routes'!$B$6:$B$1005,MATCH(U147,'Material routes'!$A$6:$A$1005,0)),"MISSING ID")</x:f>
        <x:v>design.branch.branch.husk_composite</x:v>
      </x:c>
      <x:c r="K147" s="4" t="str">
        <x:f>IFERROR(INDEX('Crafting recipes'!$C$6:$C$1005,MATCH(J147,'Crafting recipes'!$A$6:$A$1005,0)),"MISSING ID")</x:f>
        <x:v>Material refinement</x:v>
      </x:c>
      <x:c r="L147" s="4" t="str">
        <x:f>IFERROR(INDEX('Material routes'!$K$6:$K$1005,MATCH(U147,'Material routes'!$A$6:$A$1005,0)),"MISSING ID")</x:f>
        <x:v>Proposal</x:v>
      </x:c>
      <x:c r="M147" s="4" t="str">
        <x:f>IFERROR(INDEX('Material routes'!$M$6:$M$1005,MATCH(U147,'Material routes'!$A$6:$A$1005,0)),"MISSING ID")</x:f>
        <x:v>Partial proposal</x:v>
      </x:c>
      <x:c r="N147" s="4" t="str">
        <x:f>IF(IFERROR(INDEX('Material routes'!$I$6:$I$1005,MATCH(U147,'Material routes'!$A$6:$A$1005,0)),"MISSING ID")=0,"",IFERROR(INDEX('Material routes'!$I$6:$I$1005,MATCH(U147,'Material routes'!$A$6:$A$1005,0)),"MISSING ID"))</x:f>
      </x:c>
      <x:c r="O147" s="4" t="str">
        <x:f>IFERROR(INDEX('Material routes'!$J$6:$J$1005,MATCH(U147,'Material routes'!$A$6:$A$1005,0)),"MISSING ID")</x:f>
        <x:v>Unspecified</x:v>
      </x:c>
      <x:c r="P147" s="4" t="str">
        <x:f>IF(IFERROR(INDEX('Material routes'!$I$6:$I$1005,MATCH(V147,'Material routes'!$A$6:$A$1005,0)),"MISSING ID")=0,"",IFERROR(INDEX('Material routes'!$I$6:$I$1005,MATCH(V147,'Material routes'!$A$6:$A$1005,0)),"MISSING ID"))</x:f>
      </x:c>
      <x:c r="Q147" s="4" t="str">
        <x:f>IFERROR(INDEX('Material routes'!$J$6:$J$1005,MATCH(V147,'Material routes'!$A$6:$A$1005,0)),"MISSING ID")</x:f>
        <x:v>Unspecified</x:v>
      </x:c>
      <x:c r="R147" s="4" t="str">
        <x:f>IF(L147="Withheld","Withheld premise",IF(E147="Tool candidate","Reusable prerequisite",IF(K147="Raw entry preparation","Entry-resource preparation",IF(G147="Not applicable","Finished endpoint",IF(OR(IFERROR(INDEX('Crafting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routes'!$D$6:$D$1005,MATCH(U147,'Material routes'!$A$6:$A$1005,0)),"MISSING ID")</x:f>
        <x:v>proposal.branch.husk_sheet</x:v>
      </x:c>
      <x:c r="T147" s="4" t="str">
        <x:f>IFERROR(INDEX('Material routes'!$D$6:$D$1005,MATCH(V147,'Material routes'!$A$6:$A$1005,0)),"MISSING ID")</x:f>
        <x:v>proposal.branch.husk_composite</x:v>
      </x:c>
      <x:c r="U147" s="4" t="str">
        <x:v>design.branch.branch.husk_composite.in.1</x:v>
      </x:c>
      <x:c r="V147" s="4" t="str">
        <x:v>design.branch.branch.husk_composite.out</x:v>
      </x:c>
    </x:row>
    <x:row r="148" ht="105" customHeight="1">
      <x:c r="A148" s="4" t="str">
        <x:f>IFERROR(INDEX('Material routes'!$E$6:$E$1005,MATCH(U148,'Material routes'!$A$6:$A$1005,0)),"MISSING ID")</x:f>
        <x:v>Filled shell-binding compound</x:v>
      </x:c>
      <x:c r="B148" s="4" t="str">
        <x:f>IFERROR(INDEX('Material routes'!$F$6:$F$1005,MATCH(U148,'Material routes'!$A$6:$A$1005,0)),"MISSING ID")</x:f>
        <x:v>T2</x:v>
      </x:c>
      <x:c r="C148" s="4" t="str">
        <x:f>IFERROR(INDEX('Material routes'!$H$6:$H$1005,MATCH(U148,'Material routes'!$A$6:$A$1005,0)),"MISSING ID")</x:f>
        <x:v>Chemical material</x:v>
      </x:c>
      <x:c r="D148" s="4" t="str">
        <x:f>IFERROR(INDEX('Material routes'!$G$6:$G$1005,MATCH(U148,'Material routes'!$A$6:$A$1005,0)),"MISSING ID")</x:f>
        <x:v>Resources</x:v>
      </x:c>
      <x:c r="E148" s="4" t="str">
        <x:f>IFERROR(INDEX('Material routes'!$C$6:$C$1005,MATCH(U148,'Material routes'!$A$6:$A$1005,0)),"MISSING ID")</x:f>
        <x:v>Ingredient candidate</x:v>
      </x:c>
      <x:c r="F148" s="4" t="str">
        <x:f>IFERROR(INDEX('Material routes'!$E$6:$E$1005,MATCH(V148,'Material routes'!$A$6:$A$1005,0)),"MISSING ID")</x:f>
        <x:v>Layered husk composite stock</x:v>
      </x:c>
      <x:c r="G148" s="4" t="str">
        <x:f>IFERROR(INDEX('Material routes'!$F$6:$F$1005,MATCH(V148,'Material routes'!$A$6:$A$1005,0)),"MISSING ID")</x:f>
        <x:v>T3</x:v>
      </x:c>
      <x:c r="H148" s="4" t="str">
        <x:f>IFERROR(INDEX('Material routes'!$H$6:$H$1005,MATCH(V148,'Material routes'!$A$6:$A$1005,0)),"MISSING ID")</x:f>
        <x:v>Processed material</x:v>
      </x:c>
      <x:c r="I148" s="4" t="str">
        <x:f>IFERROR(INDEX('Material routes'!$G$6:$G$1005,MATCH(V148,'Material routes'!$A$6:$A$1005,0)),"MISSING ID")</x:f>
        <x:v>Resources</x:v>
      </x:c>
      <x:c r="J148" s="4" t="str">
        <x:f>IFERROR(INDEX('Material routes'!$B$6:$B$1005,MATCH(U148,'Material routes'!$A$6:$A$1005,0)),"MISSING ID")</x:f>
        <x:v>design.branch.branch.husk_composite</x:v>
      </x:c>
      <x:c r="K148" s="4" t="str">
        <x:f>IFERROR(INDEX('Crafting recipes'!$C$6:$C$1005,MATCH(J148,'Crafting recipes'!$A$6:$A$1005,0)),"MISSING ID")</x:f>
        <x:v>Material refinement</x:v>
      </x:c>
      <x:c r="L148" s="4" t="str">
        <x:f>IFERROR(INDEX('Material routes'!$K$6:$K$1005,MATCH(U148,'Material routes'!$A$6:$A$1005,0)),"MISSING ID")</x:f>
        <x:v>Proposal</x:v>
      </x:c>
      <x:c r="M148" s="4" t="str">
        <x:f>IFERROR(INDEX('Material routes'!$M$6:$M$1005,MATCH(U148,'Material routes'!$A$6:$A$1005,0)),"MISSING ID")</x:f>
        <x:v>Partial proposal</x:v>
      </x:c>
      <x:c r="N148" s="4" t="str">
        <x:f>IF(IFERROR(INDEX('Material routes'!$I$6:$I$1005,MATCH(U148,'Material routes'!$A$6:$A$1005,0)),"MISSING ID")=0,"",IFERROR(INDEX('Material routes'!$I$6:$I$1005,MATCH(U148,'Material routes'!$A$6:$A$1005,0)),"MISSING ID"))</x:f>
      </x:c>
      <x:c r="O148" s="4" t="str">
        <x:f>IFERROR(INDEX('Material routes'!$J$6:$J$1005,MATCH(U148,'Material routes'!$A$6:$A$1005,0)),"MISSING ID")</x:f>
        <x:v>Unspecified</x:v>
      </x:c>
      <x:c r="P148" s="4" t="str">
        <x:f>IF(IFERROR(INDEX('Material routes'!$I$6:$I$1005,MATCH(V148,'Material routes'!$A$6:$A$1005,0)),"MISSING ID")=0,"",IFERROR(INDEX('Material routes'!$I$6:$I$1005,MATCH(V148,'Material routes'!$A$6:$A$1005,0)),"MISSING ID"))</x:f>
      </x:c>
      <x:c r="Q148" s="4" t="str">
        <x:f>IFERROR(INDEX('Material routes'!$J$6:$J$1005,MATCH(V148,'Material routes'!$A$6:$A$1005,0)),"MISSING ID")</x:f>
        <x:v>Unspecified</x:v>
      </x:c>
      <x:c r="R148" s="4" t="str">
        <x:f>IF(L148="Withheld","Withheld premise",IF(E148="Tool candidate","Reusable prerequisite",IF(K148="Raw entry preparation","Entry-resource preparation",IF(G148="Not applicable","Finished endpoint",IF(OR(IFERROR(INDEX('Crafting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routes'!$D$6:$D$1005,MATCH(U148,'Material routes'!$A$6:$A$1005,0)),"MISSING ID")</x:f>
        <x:v>proposal.branch.filled_binder</x:v>
      </x:c>
      <x:c r="T148" s="4" t="str">
        <x:f>IFERROR(INDEX('Material routes'!$D$6:$D$1005,MATCH(V148,'Material routes'!$A$6:$A$1005,0)),"MISSING ID")</x:f>
        <x:v>proposal.branch.husk_composite</x:v>
      </x:c>
      <x:c r="U148" s="4" t="str">
        <x:v>design.branch.branch.husk_composite.in.2</x:v>
      </x:c>
      <x:c r="V148" s="4" t="str">
        <x:v>design.branch.branch.husk_composite.out</x:v>
      </x:c>
    </x:row>
    <x:row r="149" ht="105" customHeight="1">
      <x:c r="A149" s="4" t="str">
        <x:f>IFERROR(INDEX('Material routes'!$E$6:$E$1005,MATCH(U149,'Material routes'!$A$6:$A$1005,0)),"MISSING ID")</x:f>
        <x:v>Filled faunal seal compound</x:v>
      </x:c>
      <x:c r="B149" s="4" t="str">
        <x:f>IFERROR(INDEX('Material routes'!$F$6:$F$1005,MATCH(U149,'Material routes'!$A$6:$A$1005,0)),"MISSING ID")</x:f>
        <x:v>T2</x:v>
      </x:c>
      <x:c r="C149" s="4" t="str">
        <x:f>IFERROR(INDEX('Material routes'!$H$6:$H$1005,MATCH(U149,'Material routes'!$A$6:$A$1005,0)),"MISSING ID")</x:f>
        <x:v>Chemical material</x:v>
      </x:c>
      <x:c r="D149" s="4" t="str">
        <x:f>IFERROR(INDEX('Material routes'!$G$6:$G$1005,MATCH(U149,'Material routes'!$A$6:$A$1005,0)),"MISSING ID")</x:f>
        <x:v>Resources</x:v>
      </x:c>
      <x:c r="E149" s="4" t="str">
        <x:f>IFERROR(INDEX('Material routes'!$C$6:$C$1005,MATCH(U149,'Material routes'!$A$6:$A$1005,0)),"MISSING ID")</x:f>
        <x:v>Ingredient candidate</x:v>
      </x:c>
      <x:c r="F149" s="4" t="str">
        <x:f>IFERROR(INDEX('Material routes'!$E$6:$E$1005,MATCH(V149,'Material routes'!$A$6:$A$1005,0)),"MISSING ID")</x:f>
        <x:v>Reinforced sealing sheet</x:v>
      </x:c>
      <x:c r="G149" s="4" t="str">
        <x:f>IFERROR(INDEX('Material routes'!$F$6:$F$1005,MATCH(V149,'Material routes'!$A$6:$A$1005,0)),"MISSING ID")</x:f>
        <x:v>T3</x:v>
      </x:c>
      <x:c r="H149" s="4" t="str">
        <x:f>IFERROR(INDEX('Material routes'!$H$6:$H$1005,MATCH(V149,'Material routes'!$A$6:$A$1005,0)),"MISSING ID")</x:f>
        <x:v>Processed material</x:v>
      </x:c>
      <x:c r="I149" s="4" t="str">
        <x:f>IFERROR(INDEX('Material routes'!$G$6:$G$1005,MATCH(V149,'Material routes'!$A$6:$A$1005,0)),"MISSING ID")</x:f>
        <x:v>Resources</x:v>
      </x:c>
      <x:c r="J149" s="4" t="str">
        <x:f>IFERROR(INDEX('Material routes'!$B$6:$B$1005,MATCH(U149,'Material routes'!$A$6:$A$1005,0)),"MISSING ID")</x:f>
        <x:v>design.branch.branch.sealing_sheet</x:v>
      </x:c>
      <x:c r="K149" s="4" t="str">
        <x:f>IFERROR(INDEX('Crafting recipes'!$C$6:$C$1005,MATCH(J149,'Crafting recipes'!$A$6:$A$1005,0)),"MISSING ID")</x:f>
        <x:v>Material refinement</x:v>
      </x:c>
      <x:c r="L149" s="4" t="str">
        <x:f>IFERROR(INDEX('Material routes'!$K$6:$K$1005,MATCH(U149,'Material routes'!$A$6:$A$1005,0)),"MISSING ID")</x:f>
        <x:v>Proposal</x:v>
      </x:c>
      <x:c r="M149" s="4" t="str">
        <x:f>IFERROR(INDEX('Material routes'!$M$6:$M$1005,MATCH(U149,'Material routes'!$A$6:$A$1005,0)),"MISSING ID")</x:f>
        <x:v>Partial proposal</x:v>
      </x:c>
      <x:c r="N149" s="4" t="str">
        <x:f>IF(IFERROR(INDEX('Material routes'!$I$6:$I$1005,MATCH(U149,'Material routes'!$A$6:$A$1005,0)),"MISSING ID")=0,"",IFERROR(INDEX('Material routes'!$I$6:$I$1005,MATCH(U149,'Material routes'!$A$6:$A$1005,0)),"MISSING ID"))</x:f>
      </x:c>
      <x:c r="O149" s="4" t="str">
        <x:f>IFERROR(INDEX('Material routes'!$J$6:$J$1005,MATCH(U149,'Material routes'!$A$6:$A$1005,0)),"MISSING ID")</x:f>
        <x:v>Unspecified</x:v>
      </x:c>
      <x:c r="P149" s="4" t="str">
        <x:f>IF(IFERROR(INDEX('Material routes'!$I$6:$I$1005,MATCH(V149,'Material routes'!$A$6:$A$1005,0)),"MISSING ID")=0,"",IFERROR(INDEX('Material routes'!$I$6:$I$1005,MATCH(V149,'Material routes'!$A$6:$A$1005,0)),"MISSING ID"))</x:f>
      </x:c>
      <x:c r="Q149" s="4" t="str">
        <x:f>IFERROR(INDEX('Material routes'!$J$6:$J$1005,MATCH(V149,'Material routes'!$A$6:$A$1005,0)),"MISSING ID")</x:f>
        <x:v>Unspecified</x:v>
      </x:c>
      <x:c r="R149" s="4" t="str">
        <x:f>IF(L149="Withheld","Withheld premise",IF(E149="Tool candidate","Reusable prerequisite",IF(K149="Raw entry preparation","Entry-resource preparation",IF(G149="Not applicable","Finished endpoint",IF(OR(IFERROR(INDEX('Crafting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routes'!$D$6:$D$1005,MATCH(U149,'Material routes'!$A$6:$A$1005,0)),"MISSING ID")</x:f>
        <x:v>proposal.branch.filled_seal</x:v>
      </x:c>
      <x:c r="T149" s="4" t="str">
        <x:f>IFERROR(INDEX('Material routes'!$D$6:$D$1005,MATCH(V149,'Material routes'!$A$6:$A$1005,0)),"MISSING ID")</x:f>
        <x:v>proposal.branch.sealing_sheet</x:v>
      </x:c>
      <x:c r="U149" s="4" t="str">
        <x:v>design.branch.branch.sealing_sheet.in.1</x:v>
      </x:c>
      <x:c r="V149" s="4" t="str">
        <x:v>design.branch.branch.sealing_sheet.out</x:v>
      </x:c>
    </x:row>
    <x:row r="150" ht="105" customHeight="1">
      <x:c r="A150" s="4" t="str">
        <x:f>IFERROR(INDEX('Material routes'!$E$6:$E$1005,MATCH(U150,'Material routes'!$A$6:$A$1005,0)),"MISSING ID")</x:f>
        <x:v>Mica composite sheet</x:v>
      </x:c>
      <x:c r="B150" s="4" t="str">
        <x:f>IFERROR(INDEX('Material routes'!$F$6:$F$1005,MATCH(U150,'Material routes'!$A$6:$A$1005,0)),"MISSING ID")</x:f>
        <x:v>T2</x:v>
      </x:c>
      <x:c r="C150" s="4" t="str">
        <x:f>IFERROR(INDEX('Material routes'!$H$6:$H$1005,MATCH(U150,'Material routes'!$A$6:$A$1005,0)),"MISSING ID")</x:f>
        <x:v>Processed material</x:v>
      </x:c>
      <x:c r="D150" s="4" t="str">
        <x:f>IFERROR(INDEX('Material routes'!$G$6:$G$1005,MATCH(U150,'Material routes'!$A$6:$A$1005,0)),"MISSING ID")</x:f>
        <x:v>Resources</x:v>
      </x:c>
      <x:c r="E150" s="4" t="str">
        <x:f>IFERROR(INDEX('Material routes'!$C$6:$C$1005,MATCH(U150,'Material routes'!$A$6:$A$1005,0)),"MISSING ID")</x:f>
        <x:v>Ingredient candidate</x:v>
      </x:c>
      <x:c r="F150" s="4" t="str">
        <x:f>IFERROR(INDEX('Material routes'!$E$6:$E$1005,MATCH(V150,'Material routes'!$A$6:$A$1005,0)),"MISSING ID")</x:f>
        <x:v>Reinforced sealing sheet</x:v>
      </x:c>
      <x:c r="G150" s="4" t="str">
        <x:f>IFERROR(INDEX('Material routes'!$F$6:$F$1005,MATCH(V150,'Material routes'!$A$6:$A$1005,0)),"MISSING ID")</x:f>
        <x:v>T3</x:v>
      </x:c>
      <x:c r="H150" s="4" t="str">
        <x:f>IFERROR(INDEX('Material routes'!$H$6:$H$1005,MATCH(V150,'Material routes'!$A$6:$A$1005,0)),"MISSING ID")</x:f>
        <x:v>Processed material</x:v>
      </x:c>
      <x:c r="I150" s="4" t="str">
        <x:f>IFERROR(INDEX('Material routes'!$G$6:$G$1005,MATCH(V150,'Material routes'!$A$6:$A$1005,0)),"MISSING ID")</x:f>
        <x:v>Resources</x:v>
      </x:c>
      <x:c r="J150" s="4" t="str">
        <x:f>IFERROR(INDEX('Material routes'!$B$6:$B$1005,MATCH(U150,'Material routes'!$A$6:$A$1005,0)),"MISSING ID")</x:f>
        <x:v>design.branch.branch.sealing_sheet</x:v>
      </x:c>
      <x:c r="K150" s="4" t="str">
        <x:f>IFERROR(INDEX('Crafting recipes'!$C$6:$C$1005,MATCH(J150,'Crafting recipes'!$A$6:$A$1005,0)),"MISSING ID")</x:f>
        <x:v>Material refinement</x:v>
      </x:c>
      <x:c r="L150" s="4" t="str">
        <x:f>IFERROR(INDEX('Material routes'!$K$6:$K$1005,MATCH(U150,'Material routes'!$A$6:$A$1005,0)),"MISSING ID")</x:f>
        <x:v>Proposal</x:v>
      </x:c>
      <x:c r="M150" s="4" t="str">
        <x:f>IFERROR(INDEX('Material routes'!$M$6:$M$1005,MATCH(U150,'Material routes'!$A$6:$A$1005,0)),"MISSING ID")</x:f>
        <x:v>Partial proposal</x:v>
      </x:c>
      <x:c r="N150" s="4" t="str">
        <x:f>IF(IFERROR(INDEX('Material routes'!$I$6:$I$1005,MATCH(U150,'Material routes'!$A$6:$A$1005,0)),"MISSING ID")=0,"",IFERROR(INDEX('Material routes'!$I$6:$I$1005,MATCH(U150,'Material routes'!$A$6:$A$1005,0)),"MISSING ID"))</x:f>
      </x:c>
      <x:c r="O150" s="4" t="str">
        <x:f>IFERROR(INDEX('Material routes'!$J$6:$J$1005,MATCH(U150,'Material routes'!$A$6:$A$1005,0)),"MISSING ID")</x:f>
        <x:v>Unspecified</x:v>
      </x:c>
      <x:c r="P150" s="4" t="str">
        <x:f>IF(IFERROR(INDEX('Material routes'!$I$6:$I$1005,MATCH(V150,'Material routes'!$A$6:$A$1005,0)),"MISSING ID")=0,"",IFERROR(INDEX('Material routes'!$I$6:$I$1005,MATCH(V150,'Material routes'!$A$6:$A$1005,0)),"MISSING ID"))</x:f>
      </x:c>
      <x:c r="Q150" s="4" t="str">
        <x:f>IFERROR(INDEX('Material routes'!$J$6:$J$1005,MATCH(V150,'Material routes'!$A$6:$A$1005,0)),"MISSING ID")</x:f>
        <x:v>Unspecified</x:v>
      </x:c>
      <x:c r="R150" s="4" t="str">
        <x:f>IF(L150="Withheld","Withheld premise",IF(E150="Tool candidate","Reusable prerequisite",IF(K150="Raw entry preparation","Entry-resource preparation",IF(G150="Not applicable","Finished endpoint",IF(OR(IFERROR(INDEX('Crafting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routes'!$D$6:$D$1005,MATCH(U150,'Material routes'!$A$6:$A$1005,0)),"MISSING ID")</x:f>
        <x:v>proposal.branch.mica_sheet</x:v>
      </x:c>
      <x:c r="T150" s="4" t="str">
        <x:f>IFERROR(INDEX('Material routes'!$D$6:$D$1005,MATCH(V150,'Material routes'!$A$6:$A$1005,0)),"MISSING ID")</x:f>
        <x:v>proposal.branch.sealing_sheet</x:v>
      </x:c>
      <x:c r="U150" s="4" t="str">
        <x:v>design.branch.branch.sealing_sheet.in.2</x:v>
      </x:c>
      <x:c r="V150" s="4" t="str">
        <x:v>design.branch.branch.sealing_sheet.out</x:v>
      </x:c>
    </x:row>
    <x:row r="151" ht="105" customHeight="1">
      <x:c r="A151" s="4" t="str">
        <x:f>IFERROR(INDEX('Material routes'!$E$6:$E$1005,MATCH(U151,'Material routes'!$A$6:$A$1005,0)),"MISSING ID")</x:f>
        <x:v>Flexible membrane-bonding compound</x:v>
      </x:c>
      <x:c r="B151" s="4" t="str">
        <x:f>IFERROR(INDEX('Material routes'!$F$6:$F$1005,MATCH(U151,'Material routes'!$A$6:$A$1005,0)),"MISSING ID")</x:f>
        <x:v>T2</x:v>
      </x:c>
      <x:c r="C151" s="4" t="str">
        <x:f>IFERROR(INDEX('Material routes'!$H$6:$H$1005,MATCH(U151,'Material routes'!$A$6:$A$1005,0)),"MISSING ID")</x:f>
        <x:v>Chemical material</x:v>
      </x:c>
      <x:c r="D151" s="4" t="str">
        <x:f>IFERROR(INDEX('Material routes'!$G$6:$G$1005,MATCH(U151,'Material routes'!$A$6:$A$1005,0)),"MISSING ID")</x:f>
        <x:v>Resources</x:v>
      </x:c>
      <x:c r="E151" s="4" t="str">
        <x:f>IFERROR(INDEX('Material routes'!$C$6:$C$1005,MATCH(U151,'Material routes'!$A$6:$A$1005,0)),"MISSING ID")</x:f>
        <x:v>Ingredient candidate</x:v>
      </x:c>
      <x:c r="F151" s="4" t="str">
        <x:f>IFERROR(INDEX('Material routes'!$E$6:$E$1005,MATCH(V151,'Material routes'!$A$6:$A$1005,0)),"MISSING ID")</x:f>
        <x:v>Reinforced sealing sheet</x:v>
      </x:c>
      <x:c r="G151" s="4" t="str">
        <x:f>IFERROR(INDEX('Material routes'!$F$6:$F$1005,MATCH(V151,'Material routes'!$A$6:$A$1005,0)),"MISSING ID")</x:f>
        <x:v>T3</x:v>
      </x:c>
      <x:c r="H151" s="4" t="str">
        <x:f>IFERROR(INDEX('Material routes'!$H$6:$H$1005,MATCH(V151,'Material routes'!$A$6:$A$1005,0)),"MISSING ID")</x:f>
        <x:v>Processed material</x:v>
      </x:c>
      <x:c r="I151" s="4" t="str">
        <x:f>IFERROR(INDEX('Material routes'!$G$6:$G$1005,MATCH(V151,'Material routes'!$A$6:$A$1005,0)),"MISSING ID")</x:f>
        <x:v>Resources</x:v>
      </x:c>
      <x:c r="J151" s="4" t="str">
        <x:f>IFERROR(INDEX('Material routes'!$B$6:$B$1005,MATCH(U151,'Material routes'!$A$6:$A$1005,0)),"MISSING ID")</x:f>
        <x:v>design.branch.branch.sealing_sheet</x:v>
      </x:c>
      <x:c r="K151" s="4" t="str">
        <x:f>IFERROR(INDEX('Crafting recipes'!$C$6:$C$1005,MATCH(J151,'Crafting recipes'!$A$6:$A$1005,0)),"MISSING ID")</x:f>
        <x:v>Material refinement</x:v>
      </x:c>
      <x:c r="L151" s="4" t="str">
        <x:f>IFERROR(INDEX('Material routes'!$K$6:$K$1005,MATCH(U151,'Material routes'!$A$6:$A$1005,0)),"MISSING ID")</x:f>
        <x:v>Proposal</x:v>
      </x:c>
      <x:c r="M151" s="4" t="str">
        <x:f>IFERROR(INDEX('Material routes'!$M$6:$M$1005,MATCH(U151,'Material routes'!$A$6:$A$1005,0)),"MISSING ID")</x:f>
        <x:v>Partial proposal</x:v>
      </x:c>
      <x:c r="N151" s="4" t="str">
        <x:f>IF(IFERROR(INDEX('Material routes'!$I$6:$I$1005,MATCH(U151,'Material routes'!$A$6:$A$1005,0)),"MISSING ID")=0,"",IFERROR(INDEX('Material routes'!$I$6:$I$1005,MATCH(U151,'Material routes'!$A$6:$A$1005,0)),"MISSING ID"))</x:f>
      </x:c>
      <x:c r="O151" s="4" t="str">
        <x:f>IFERROR(INDEX('Material routes'!$J$6:$J$1005,MATCH(U151,'Material routes'!$A$6:$A$1005,0)),"MISSING ID")</x:f>
        <x:v>Unspecified</x:v>
      </x:c>
      <x:c r="P151" s="4" t="str">
        <x:f>IF(IFERROR(INDEX('Material routes'!$I$6:$I$1005,MATCH(V151,'Material routes'!$A$6:$A$1005,0)),"MISSING ID")=0,"",IFERROR(INDEX('Material routes'!$I$6:$I$1005,MATCH(V151,'Material routes'!$A$6:$A$1005,0)),"MISSING ID"))</x:f>
      </x:c>
      <x:c r="Q151" s="4" t="str">
        <x:f>IFERROR(INDEX('Material routes'!$J$6:$J$1005,MATCH(V151,'Material routes'!$A$6:$A$1005,0)),"MISSING ID")</x:f>
        <x:v>Unspecified</x:v>
      </x:c>
      <x:c r="R151" s="4" t="str">
        <x:f>IF(L151="Withheld","Withheld premise",IF(E151="Tool candidate","Reusable prerequisite",IF(K151="Raw entry preparation","Entry-resource preparation",IF(G151="Not applicable","Finished endpoint",IF(OR(IFERROR(INDEX('Crafting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routes'!$D$6:$D$1005,MATCH(U151,'Material routes'!$A$6:$A$1005,0)),"MISSING ID")</x:f>
        <x:v>proposal.branch.flex_bond</x:v>
      </x:c>
      <x:c r="T151" s="4" t="str">
        <x:f>IFERROR(INDEX('Material routes'!$D$6:$D$1005,MATCH(V151,'Material routes'!$A$6:$A$1005,0)),"MISSING ID")</x:f>
        <x:v>proposal.branch.sealing_sheet</x:v>
      </x:c>
      <x:c r="U151" s="4" t="str">
        <x:v>design.branch.branch.sealing_sheet.in.3</x:v>
      </x:c>
      <x:c r="V151" s="4" t="str">
        <x:v>design.branch.branch.sealing_sheet.out</x:v>
      </x:c>
    </x:row>
    <x:row r="152" ht="105" customHeight="1">
      <x:c r="A152" s="4" t="str">
        <x:f>IFERROR(INDEX('Material routes'!$E$6:$E$1005,MATCH(U152,'Material routes'!$A$6:$A$1005,0)),"MISSING ID")</x:f>
        <x:v>Husk-fiber paper</x:v>
      </x:c>
      <x:c r="B152" s="4" t="str">
        <x:f>IFERROR(INDEX('Material routes'!$F$6:$F$1005,MATCH(U152,'Material routes'!$A$6:$A$1005,0)),"MISSING ID")</x:f>
        <x:v>T2</x:v>
      </x:c>
      <x:c r="C152" s="4" t="str">
        <x:f>IFERROR(INDEX('Material routes'!$H$6:$H$1005,MATCH(U152,'Material routes'!$A$6:$A$1005,0)),"MISSING ID")</x:f>
        <x:v>Processed material</x:v>
      </x:c>
      <x:c r="D152" s="4" t="str">
        <x:f>IFERROR(INDEX('Material routes'!$G$6:$G$1005,MATCH(U152,'Material routes'!$A$6:$A$1005,0)),"MISSING ID")</x:f>
        <x:v>Crafting components</x:v>
      </x:c>
      <x:c r="E152" s="4" t="str">
        <x:f>IFERROR(INDEX('Material routes'!$C$6:$C$1005,MATCH(U152,'Material routes'!$A$6:$A$1005,0)),"MISSING ID")</x:f>
        <x:v>Ingredient candidate</x:v>
      </x:c>
      <x:c r="F152" s="4" t="str">
        <x:f>IFERROR(INDEX('Material routes'!$E$6:$E$1005,MATCH(V152,'Material routes'!$A$6:$A$1005,0)),"MISSING ID")</x:f>
        <x:v>Finished decorative husk stock</x:v>
      </x:c>
      <x:c r="G152" s="4" t="str">
        <x:f>IFERROR(INDEX('Material routes'!$F$6:$F$1005,MATCH(V152,'Material routes'!$A$6:$A$1005,0)),"MISSING ID")</x:f>
        <x:v>T3</x:v>
      </x:c>
      <x:c r="H152" s="4" t="str">
        <x:f>IFERROR(INDEX('Material routes'!$H$6:$H$1005,MATCH(V152,'Material routes'!$A$6:$A$1005,0)),"MISSING ID")</x:f>
        <x:v>Processed material</x:v>
      </x:c>
      <x:c r="I152" s="4" t="str">
        <x:f>IFERROR(INDEX('Material routes'!$G$6:$G$1005,MATCH(V152,'Material routes'!$A$6:$A$1005,0)),"MISSING ID")</x:f>
        <x:v>Resources</x:v>
      </x:c>
      <x:c r="J152" s="4" t="str">
        <x:f>IFERROR(INDEX('Material routes'!$B$6:$B$1005,MATCH(U152,'Material routes'!$A$6:$A$1005,0)),"MISSING ID")</x:f>
        <x:v>design.branch.branch.decorative_husk</x:v>
      </x:c>
      <x:c r="K152" s="4" t="str">
        <x:f>IFERROR(INDEX('Crafting recipes'!$C$6:$C$1005,MATCH(J152,'Crafting recipes'!$A$6:$A$1005,0)),"MISSING ID")</x:f>
        <x:v>Material refinement</x:v>
      </x:c>
      <x:c r="L152" s="4" t="str">
        <x:f>IFERROR(INDEX('Material routes'!$K$6:$K$1005,MATCH(U152,'Material routes'!$A$6:$A$1005,0)),"MISSING ID")</x:f>
        <x:v>Proposal</x:v>
      </x:c>
      <x:c r="M152" s="4" t="str">
        <x:f>IFERROR(INDEX('Material routes'!$M$6:$M$1005,MATCH(U152,'Material routes'!$A$6:$A$1005,0)),"MISSING ID")</x:f>
        <x:v>Partial proposal</x:v>
      </x:c>
      <x:c r="N152" s="4" t="str">
        <x:f>IF(IFERROR(INDEX('Material routes'!$I$6:$I$1005,MATCH(U152,'Material routes'!$A$6:$A$1005,0)),"MISSING ID")=0,"",IFERROR(INDEX('Material routes'!$I$6:$I$1005,MATCH(U152,'Material routes'!$A$6:$A$1005,0)),"MISSING ID"))</x:f>
      </x:c>
      <x:c r="O152" s="4" t="str">
        <x:f>IFERROR(INDEX('Material routes'!$J$6:$J$1005,MATCH(U152,'Material routes'!$A$6:$A$1005,0)),"MISSING ID")</x:f>
        <x:v>Unspecified</x:v>
      </x:c>
      <x:c r="P152" s="4" t="str">
        <x:f>IF(IFERROR(INDEX('Material routes'!$I$6:$I$1005,MATCH(V152,'Material routes'!$A$6:$A$1005,0)),"MISSING ID")=0,"",IFERROR(INDEX('Material routes'!$I$6:$I$1005,MATCH(V152,'Material routes'!$A$6:$A$1005,0)),"MISSING ID"))</x:f>
      </x:c>
      <x:c r="Q152" s="4" t="str">
        <x:f>IFERROR(INDEX('Material routes'!$J$6:$J$1005,MATCH(V152,'Material routes'!$A$6:$A$1005,0)),"MISSING ID")</x:f>
        <x:v>Unspecified</x:v>
      </x:c>
      <x:c r="R152" s="4" t="str">
        <x:f>IF(L152="Withheld","Withheld premise",IF(E152="Tool candidate","Reusable prerequisite",IF(K152="Raw entry preparation","Entry-resource preparation",IF(G152="Not applicable","Finished endpoint",IF(OR(IFERROR(INDEX('Crafting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routes'!$D$6:$D$1005,MATCH(U152,'Material routes'!$A$6:$A$1005,0)),"MISSING ID")</x:f>
        <x:v>proposal.bio.husk_paper</x:v>
      </x:c>
      <x:c r="T152" s="4" t="str">
        <x:f>IFERROR(INDEX('Material routes'!$D$6:$D$1005,MATCH(V152,'Material routes'!$A$6:$A$1005,0)),"MISSING ID")</x:f>
        <x:v>proposal.branch.decorative_husk</x:v>
      </x:c>
      <x:c r="U152" s="4" t="str">
        <x:v>design.branch.branch.decorative_husk.in.1</x:v>
      </x:c>
      <x:c r="V152" s="4" t="str">
        <x:v>design.branch.branch.decorative_husk.out</x:v>
      </x:c>
    </x:row>
    <x:row r="153" ht="105" customHeight="1">
      <x:c r="A153" s="4" t="str">
        <x:f>IFERROR(INDEX('Material routes'!$E$6:$E$1005,MATCH(U153,'Material routes'!$A$6:$A$1005,0)),"MISSING ID")</x:f>
        <x:v>Mineral pigment coating</x:v>
      </x:c>
      <x:c r="B153" s="4" t="str">
        <x:f>IFERROR(INDEX('Material routes'!$F$6:$F$1005,MATCH(U153,'Material routes'!$A$6:$A$1005,0)),"MISSING ID")</x:f>
        <x:v>T2</x:v>
      </x:c>
      <x:c r="C153" s="4" t="str">
        <x:f>IFERROR(INDEX('Material routes'!$H$6:$H$1005,MATCH(U153,'Material routes'!$A$6:$A$1005,0)),"MISSING ID")</x:f>
        <x:v>Processed material</x:v>
      </x:c>
      <x:c r="D153" s="4" t="str">
        <x:f>IFERROR(INDEX('Material routes'!$G$6:$G$1005,MATCH(U153,'Material routes'!$A$6:$A$1005,0)),"MISSING ID")</x:f>
        <x:v>Resources</x:v>
      </x:c>
      <x:c r="E153" s="4" t="str">
        <x:f>IFERROR(INDEX('Material routes'!$C$6:$C$1005,MATCH(U153,'Material routes'!$A$6:$A$1005,0)),"MISSING ID")</x:f>
        <x:v>Ingredient candidate</x:v>
      </x:c>
      <x:c r="F153" s="4" t="str">
        <x:f>IFERROR(INDEX('Material routes'!$E$6:$E$1005,MATCH(V153,'Material routes'!$A$6:$A$1005,0)),"MISSING ID")</x:f>
        <x:v>Finished decorative husk stock</x:v>
      </x:c>
      <x:c r="G153" s="4" t="str">
        <x:f>IFERROR(INDEX('Material routes'!$F$6:$F$1005,MATCH(V153,'Material routes'!$A$6:$A$1005,0)),"MISSING ID")</x:f>
        <x:v>T3</x:v>
      </x:c>
      <x:c r="H153" s="4" t="str">
        <x:f>IFERROR(INDEX('Material routes'!$H$6:$H$1005,MATCH(V153,'Material routes'!$A$6:$A$1005,0)),"MISSING ID")</x:f>
        <x:v>Processed material</x:v>
      </x:c>
      <x:c r="I153" s="4" t="str">
        <x:f>IFERROR(INDEX('Material routes'!$G$6:$G$1005,MATCH(V153,'Material routes'!$A$6:$A$1005,0)),"MISSING ID")</x:f>
        <x:v>Resources</x:v>
      </x:c>
      <x:c r="J153" s="4" t="str">
        <x:f>IFERROR(INDEX('Material routes'!$B$6:$B$1005,MATCH(U153,'Material routes'!$A$6:$A$1005,0)),"MISSING ID")</x:f>
        <x:v>design.branch.branch.decorative_husk</x:v>
      </x:c>
      <x:c r="K153" s="4" t="str">
        <x:f>IFERROR(INDEX('Crafting recipes'!$C$6:$C$1005,MATCH(J153,'Crafting recipes'!$A$6:$A$1005,0)),"MISSING ID")</x:f>
        <x:v>Material refinement</x:v>
      </x:c>
      <x:c r="L153" s="4" t="str">
        <x:f>IFERROR(INDEX('Material routes'!$K$6:$K$1005,MATCH(U153,'Material routes'!$A$6:$A$1005,0)),"MISSING ID")</x:f>
        <x:v>Proposal</x:v>
      </x:c>
      <x:c r="M153" s="4" t="str">
        <x:f>IFERROR(INDEX('Material routes'!$M$6:$M$1005,MATCH(U153,'Material routes'!$A$6:$A$1005,0)),"MISSING ID")</x:f>
        <x:v>Partial proposal</x:v>
      </x:c>
      <x:c r="N153" s="4" t="str">
        <x:f>IF(IFERROR(INDEX('Material routes'!$I$6:$I$1005,MATCH(U153,'Material routes'!$A$6:$A$1005,0)),"MISSING ID")=0,"",IFERROR(INDEX('Material routes'!$I$6:$I$1005,MATCH(U153,'Material routes'!$A$6:$A$1005,0)),"MISSING ID"))</x:f>
      </x:c>
      <x:c r="O153" s="4" t="str">
        <x:f>IFERROR(INDEX('Material routes'!$J$6:$J$1005,MATCH(U153,'Material routes'!$A$6:$A$1005,0)),"MISSING ID")</x:f>
        <x:v>Unspecified</x:v>
      </x:c>
      <x:c r="P153" s="4" t="str">
        <x:f>IF(IFERROR(INDEX('Material routes'!$I$6:$I$1005,MATCH(V153,'Material routes'!$A$6:$A$1005,0)),"MISSING ID")=0,"",IFERROR(INDEX('Material routes'!$I$6:$I$1005,MATCH(V153,'Material routes'!$A$6:$A$1005,0)),"MISSING ID"))</x:f>
      </x:c>
      <x:c r="Q153" s="4" t="str">
        <x:f>IFERROR(INDEX('Material routes'!$J$6:$J$1005,MATCH(V153,'Material routes'!$A$6:$A$1005,0)),"MISSING ID")</x:f>
        <x:v>Unspecified</x:v>
      </x:c>
      <x:c r="R153" s="4" t="str">
        <x:f>IF(L153="Withheld","Withheld premise",IF(E153="Tool candidate","Reusable prerequisite",IF(K153="Raw entry preparation","Entry-resource preparation",IF(G153="Not applicable","Finished endpoint",IF(OR(IFERROR(INDEX('Crafting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routes'!$D$6:$D$1005,MATCH(U153,'Material routes'!$A$6:$A$1005,0)),"MISSING ID")</x:f>
        <x:v>proposal.branch.pigment_coating</x:v>
      </x:c>
      <x:c r="T153" s="4" t="str">
        <x:f>IFERROR(INDEX('Material routes'!$D$6:$D$1005,MATCH(V153,'Material routes'!$A$6:$A$1005,0)),"MISSING ID")</x:f>
        <x:v>proposal.branch.decorative_husk</x:v>
      </x:c>
      <x:c r="U153" s="4" t="str">
        <x:v>design.branch.branch.decorative_husk.in.2</x:v>
      </x:c>
      <x:c r="V153" s="4" t="str">
        <x:v>design.branch.branch.decorative_husk.out</x:v>
      </x:c>
    </x:row>
    <x:row r="154" ht="105" customHeight="1">
      <x:c r="A154" s="4" t="str">
        <x:f>IFERROR(INDEX('Material routes'!$E$6:$E$1005,MATCH(U154,'Material routes'!$A$6:$A$1005,0)),"MISSING ID")</x:f>
        <x:v>Filled faunal seal compound</x:v>
      </x:c>
      <x:c r="B154" s="4" t="str">
        <x:f>IFERROR(INDEX('Material routes'!$F$6:$F$1005,MATCH(U154,'Material routes'!$A$6:$A$1005,0)),"MISSING ID")</x:f>
        <x:v>T2</x:v>
      </x:c>
      <x:c r="C154" s="4" t="str">
        <x:f>IFERROR(INDEX('Material routes'!$H$6:$H$1005,MATCH(U154,'Material routes'!$A$6:$A$1005,0)),"MISSING ID")</x:f>
        <x:v>Chemical material</x:v>
      </x:c>
      <x:c r="D154" s="4" t="str">
        <x:f>IFERROR(INDEX('Material routes'!$G$6:$G$1005,MATCH(U154,'Material routes'!$A$6:$A$1005,0)),"MISSING ID")</x:f>
        <x:v>Resources</x:v>
      </x:c>
      <x:c r="E154" s="4" t="str">
        <x:f>IFERROR(INDEX('Material routes'!$C$6:$C$1005,MATCH(U154,'Material routes'!$A$6:$A$1005,0)),"MISSING ID")</x:f>
        <x:v>Ingredient candidate</x:v>
      </x:c>
      <x:c r="F154" s="4" t="str">
        <x:f>IFERROR(INDEX('Material routes'!$E$6:$E$1005,MATCH(V154,'Material routes'!$A$6:$A$1005,0)),"MISSING ID")</x:f>
        <x:v>Canister joint sealant</x:v>
      </x:c>
      <x:c r="G154" s="4" t="str">
        <x:f>IFERROR(INDEX('Material routes'!$F$6:$F$1005,MATCH(V154,'Material routes'!$A$6:$A$1005,0)),"MISSING ID")</x:f>
        <x:v>T3</x:v>
      </x:c>
      <x:c r="H154" s="4" t="str">
        <x:f>IFERROR(INDEX('Material routes'!$H$6:$H$1005,MATCH(V154,'Material routes'!$A$6:$A$1005,0)),"MISSING ID")</x:f>
        <x:v>Chemical material</x:v>
      </x:c>
      <x:c r="I154" s="4" t="str">
        <x:f>IFERROR(INDEX('Material routes'!$G$6:$G$1005,MATCH(V154,'Material routes'!$A$6:$A$1005,0)),"MISSING ID")</x:f>
        <x:v>Crafting components</x:v>
      </x:c>
      <x:c r="J154" s="4" t="str">
        <x:f>IFERROR(INDEX('Material routes'!$B$6:$B$1005,MATCH(U154,'Material routes'!$A$6:$A$1005,0)),"MISSING ID")</x:f>
        <x:v>design.branch.canister.sealant</x:v>
      </x:c>
      <x:c r="K154" s="4" t="str">
        <x:f>IFERROR(INDEX('Crafting recipes'!$C$6:$C$1005,MATCH(J154,'Crafting recipes'!$A$6:$A$1005,0)),"MISSING ID")</x:f>
        <x:v>Material refinement</x:v>
      </x:c>
      <x:c r="L154" s="4" t="str">
        <x:f>IFERROR(INDEX('Material routes'!$K$6:$K$1005,MATCH(U154,'Material routes'!$A$6:$A$1005,0)),"MISSING ID")</x:f>
        <x:v>Proposal</x:v>
      </x:c>
      <x:c r="M154" s="4" t="str">
        <x:f>IFERROR(INDEX('Material routes'!$M$6:$M$1005,MATCH(U154,'Material routes'!$A$6:$A$1005,0)),"MISSING ID")</x:f>
        <x:v>Partial proposal</x:v>
      </x:c>
      <x:c r="N154" s="4" t="str">
        <x:f>IF(IFERROR(INDEX('Material routes'!$I$6:$I$1005,MATCH(U154,'Material routes'!$A$6:$A$1005,0)),"MISSING ID")=0,"",IFERROR(INDEX('Material routes'!$I$6:$I$1005,MATCH(U154,'Material routes'!$A$6:$A$1005,0)),"MISSING ID"))</x:f>
      </x:c>
      <x:c r="O154" s="4" t="str">
        <x:f>IFERROR(INDEX('Material routes'!$J$6:$J$1005,MATCH(U154,'Material routes'!$A$6:$A$1005,0)),"MISSING ID")</x:f>
        <x:v>Unspecified</x:v>
      </x:c>
      <x:c r="P154" s="4" t="str">
        <x:f>IF(IFERROR(INDEX('Material routes'!$I$6:$I$1005,MATCH(V154,'Material routes'!$A$6:$A$1005,0)),"MISSING ID")=0,"",IFERROR(INDEX('Material routes'!$I$6:$I$1005,MATCH(V154,'Material routes'!$A$6:$A$1005,0)),"MISSING ID"))</x:f>
      </x:c>
      <x:c r="Q154" s="4" t="str">
        <x:f>IFERROR(INDEX('Material routes'!$J$6:$J$1005,MATCH(V154,'Material routes'!$A$6:$A$1005,0)),"MISSING ID")</x:f>
        <x:v>Unspecified</x:v>
      </x:c>
      <x:c r="R154" s="4" t="str">
        <x:f>IF(L154="Withheld","Withheld premise",IF(E154="Tool candidate","Reusable prerequisite",IF(K154="Raw entry preparation","Entry-resource preparation",IF(G154="Not applicable","Finished endpoint",IF(OR(IFERROR(INDEX('Crafting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routes'!$D$6:$D$1005,MATCH(U154,'Material routes'!$A$6:$A$1005,0)),"MISSING ID")</x:f>
        <x:v>proposal.branch.filled_seal</x:v>
      </x:c>
      <x:c r="T154" s="4" t="str">
        <x:f>IFERROR(INDEX('Material routes'!$D$6:$D$1005,MATCH(V154,'Material routes'!$A$6:$A$1005,0)),"MISSING ID")</x:f>
        <x:v>proposal.canister.sealant</x:v>
      </x:c>
      <x:c r="U154" s="4" t="str">
        <x:v>design.branch.canister.sealant.in.1</x:v>
      </x:c>
      <x:c r="V154" s="4" t="str">
        <x:v>design.branch.canister.sealant.out</x:v>
      </x:c>
    </x:row>
    <x:row r="155" ht="105" customHeight="1">
      <x:c r="A155" s="4" t="str">
        <x:f>IFERROR(INDEX('Material routes'!$E$6:$E$1005,MATCH(U155,'Material routes'!$A$6:$A$1005,0)),"MISSING ID")</x:f>
        <x:v>Flexible membrane-bonding compound</x:v>
      </x:c>
      <x:c r="B155" s="4" t="str">
        <x:f>IFERROR(INDEX('Material routes'!$F$6:$F$1005,MATCH(U155,'Material routes'!$A$6:$A$1005,0)),"MISSING ID")</x:f>
        <x:v>T2</x:v>
      </x:c>
      <x:c r="C155" s="4" t="str">
        <x:f>IFERROR(INDEX('Material routes'!$H$6:$H$1005,MATCH(U155,'Material routes'!$A$6:$A$1005,0)),"MISSING ID")</x:f>
        <x:v>Chemical material</x:v>
      </x:c>
      <x:c r="D155" s="4" t="str">
        <x:f>IFERROR(INDEX('Material routes'!$G$6:$G$1005,MATCH(U155,'Material routes'!$A$6:$A$1005,0)),"MISSING ID")</x:f>
        <x:v>Resources</x:v>
      </x:c>
      <x:c r="E155" s="4" t="str">
        <x:f>IFERROR(INDEX('Material routes'!$C$6:$C$1005,MATCH(U155,'Material routes'!$A$6:$A$1005,0)),"MISSING ID")</x:f>
        <x:v>Ingredient candidate</x:v>
      </x:c>
      <x:c r="F155" s="4" t="str">
        <x:f>IFERROR(INDEX('Material routes'!$E$6:$E$1005,MATCH(V155,'Material routes'!$A$6:$A$1005,0)),"MISSING ID")</x:f>
        <x:v>Canister joint sealant</x:v>
      </x:c>
      <x:c r="G155" s="4" t="str">
        <x:f>IFERROR(INDEX('Material routes'!$F$6:$F$1005,MATCH(V155,'Material routes'!$A$6:$A$1005,0)),"MISSING ID")</x:f>
        <x:v>T3</x:v>
      </x:c>
      <x:c r="H155" s="4" t="str">
        <x:f>IFERROR(INDEX('Material routes'!$H$6:$H$1005,MATCH(V155,'Material routes'!$A$6:$A$1005,0)),"MISSING ID")</x:f>
        <x:v>Chemical material</x:v>
      </x:c>
      <x:c r="I155" s="4" t="str">
        <x:f>IFERROR(INDEX('Material routes'!$G$6:$G$1005,MATCH(V155,'Material routes'!$A$6:$A$1005,0)),"MISSING ID")</x:f>
        <x:v>Crafting components</x:v>
      </x:c>
      <x:c r="J155" s="4" t="str">
        <x:f>IFERROR(INDEX('Material routes'!$B$6:$B$1005,MATCH(U155,'Material routes'!$A$6:$A$1005,0)),"MISSING ID")</x:f>
        <x:v>design.branch.canister.sealant</x:v>
      </x:c>
      <x:c r="K155" s="4" t="str">
        <x:f>IFERROR(INDEX('Crafting recipes'!$C$6:$C$1005,MATCH(J155,'Crafting recipes'!$A$6:$A$1005,0)),"MISSING ID")</x:f>
        <x:v>Material refinement</x:v>
      </x:c>
      <x:c r="L155" s="4" t="str">
        <x:f>IFERROR(INDEX('Material routes'!$K$6:$K$1005,MATCH(U155,'Material routes'!$A$6:$A$1005,0)),"MISSING ID")</x:f>
        <x:v>Proposal</x:v>
      </x:c>
      <x:c r="M155" s="4" t="str">
        <x:f>IFERROR(INDEX('Material routes'!$M$6:$M$1005,MATCH(U155,'Material routes'!$A$6:$A$1005,0)),"MISSING ID")</x:f>
        <x:v>Partial proposal</x:v>
      </x:c>
      <x:c r="N155" s="4" t="str">
        <x:f>IF(IFERROR(INDEX('Material routes'!$I$6:$I$1005,MATCH(U155,'Material routes'!$A$6:$A$1005,0)),"MISSING ID")=0,"",IFERROR(INDEX('Material routes'!$I$6:$I$1005,MATCH(U155,'Material routes'!$A$6:$A$1005,0)),"MISSING ID"))</x:f>
      </x:c>
      <x:c r="O155" s="4" t="str">
        <x:f>IFERROR(INDEX('Material routes'!$J$6:$J$1005,MATCH(U155,'Material routes'!$A$6:$A$1005,0)),"MISSING ID")</x:f>
        <x:v>Unspecified</x:v>
      </x:c>
      <x:c r="P155" s="4" t="str">
        <x:f>IF(IFERROR(INDEX('Material routes'!$I$6:$I$1005,MATCH(V155,'Material routes'!$A$6:$A$1005,0)),"MISSING ID")=0,"",IFERROR(INDEX('Material routes'!$I$6:$I$1005,MATCH(V155,'Material routes'!$A$6:$A$1005,0)),"MISSING ID"))</x:f>
      </x:c>
      <x:c r="Q155" s="4" t="str">
        <x:f>IFERROR(INDEX('Material routes'!$J$6:$J$1005,MATCH(V155,'Material routes'!$A$6:$A$1005,0)),"MISSING ID")</x:f>
        <x:v>Unspecified</x:v>
      </x:c>
      <x:c r="R155" s="4" t="str">
        <x:f>IF(L155="Withheld","Withheld premise",IF(E155="Tool candidate","Reusable prerequisite",IF(K155="Raw entry preparation","Entry-resource preparation",IF(G155="Not applicable","Finished endpoint",IF(OR(IFERROR(INDEX('Crafting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routes'!$D$6:$D$1005,MATCH(U155,'Material routes'!$A$6:$A$1005,0)),"MISSING ID")</x:f>
        <x:v>proposal.branch.flex_bond</x:v>
      </x:c>
      <x:c r="T155" s="4" t="str">
        <x:f>IFERROR(INDEX('Material routes'!$D$6:$D$1005,MATCH(V155,'Material routes'!$A$6:$A$1005,0)),"MISSING ID")</x:f>
        <x:v>proposal.canister.sealant</x:v>
      </x:c>
      <x:c r="U155" s="4" t="str">
        <x:v>design.branch.canister.sealant.in.2</x:v>
      </x:c>
      <x:c r="V155" s="4" t="str">
        <x:v>design.branch.canister.sealant.out</x:v>
      </x:c>
    </x:row>
    <x:row r="156" ht="105" customHeight="1">
      <x:c r="A156" s="4" t="str">
        <x:f>IFERROR(INDEX('Material routes'!$E$6:$E$1005,MATCH(U156,'Material routes'!$A$6:$A$1005,0)),"MISSING ID")</x:f>
        <x:v>Steel-faced shell composite</x:v>
      </x:c>
      <x:c r="B156" s="4" t="str">
        <x:f>IFERROR(INDEX('Material routes'!$F$6:$F$1005,MATCH(U156,'Material routes'!$A$6:$A$1005,0)),"MISSING ID")</x:f>
        <x:v>T3</x:v>
      </x:c>
      <x:c r="C156" s="4" t="str">
        <x:f>IFERROR(INDEX('Material routes'!$H$6:$H$1005,MATCH(U156,'Material routes'!$A$6:$A$1005,0)),"MISSING ID")</x:f>
        <x:v>Processed material</x:v>
      </x:c>
      <x:c r="D156" s="4" t="str">
        <x:f>IFERROR(INDEX('Material routes'!$G$6:$G$1005,MATCH(U156,'Material routes'!$A$6:$A$1005,0)),"MISSING ID")</x:f>
        <x:v>Resources</x:v>
      </x:c>
      <x:c r="E156" s="4" t="str">
        <x:f>IFERROR(INDEX('Material routes'!$C$6:$C$1005,MATCH(U156,'Material routes'!$A$6:$A$1005,0)),"MISSING ID")</x:f>
        <x:v>Ingredient candidate</x:v>
      </x:c>
      <x:c r="F156" s="4" t="str">
        <x:f>IFERROR(INDEX('Material routes'!$E$6:$E$1005,MATCH(V156,'Material routes'!$A$6:$A$1005,0)),"MISSING ID")</x:f>
        <x:v>Layered protective composite stock</x:v>
      </x:c>
      <x:c r="G156" s="4" t="str">
        <x:f>IFERROR(INDEX('Material routes'!$F$6:$F$1005,MATCH(V156,'Material routes'!$A$6:$A$1005,0)),"MISSING ID")</x:f>
        <x:v>T4</x:v>
      </x:c>
      <x:c r="H156" s="4" t="str">
        <x:f>IFERROR(INDEX('Material routes'!$H$6:$H$1005,MATCH(V156,'Material routes'!$A$6:$A$1005,0)),"MISSING ID")</x:f>
        <x:v>Processed material</x:v>
      </x:c>
      <x:c r="I156" s="4" t="str">
        <x:f>IFERROR(INDEX('Material routes'!$G$6:$G$1005,MATCH(V156,'Material routes'!$A$6:$A$1005,0)),"MISSING ID")</x:f>
        <x:v>Resources</x:v>
      </x:c>
      <x:c r="J156" s="4" t="str">
        <x:f>IFERROR(INDEX('Material routes'!$B$6:$B$1005,MATCH(U156,'Material routes'!$A$6:$A$1005,0)),"MISSING ID")</x:f>
        <x:v>design.branch.branch.protective_stock</x:v>
      </x:c>
      <x:c r="K156" s="4" t="str">
        <x:f>IFERROR(INDEX('Crafting recipes'!$C$6:$C$1005,MATCH(J156,'Crafting recipes'!$A$6:$A$1005,0)),"MISSING ID")</x:f>
        <x:v>Material refinement</x:v>
      </x:c>
      <x:c r="L156" s="4" t="str">
        <x:f>IFERROR(INDEX('Material routes'!$K$6:$K$1005,MATCH(U156,'Material routes'!$A$6:$A$1005,0)),"MISSING ID")</x:f>
        <x:v>Proposal</x:v>
      </x:c>
      <x:c r="M156" s="4" t="str">
        <x:f>IFERROR(INDEX('Material routes'!$M$6:$M$1005,MATCH(U156,'Material routes'!$A$6:$A$1005,0)),"MISSING ID")</x:f>
        <x:v>Partial proposal</x:v>
      </x:c>
      <x:c r="N156" s="4" t="str">
        <x:f>IF(IFERROR(INDEX('Material routes'!$I$6:$I$1005,MATCH(U156,'Material routes'!$A$6:$A$1005,0)),"MISSING ID")=0,"",IFERROR(INDEX('Material routes'!$I$6:$I$1005,MATCH(U156,'Material routes'!$A$6:$A$1005,0)),"MISSING ID"))</x:f>
      </x:c>
      <x:c r="O156" s="4" t="str">
        <x:f>IFERROR(INDEX('Material routes'!$J$6:$J$1005,MATCH(U156,'Material routes'!$A$6:$A$1005,0)),"MISSING ID")</x:f>
        <x:v>Unspecified</x:v>
      </x:c>
      <x:c r="P156" s="4" t="str">
        <x:f>IF(IFERROR(INDEX('Material routes'!$I$6:$I$1005,MATCH(V156,'Material routes'!$A$6:$A$1005,0)),"MISSING ID")=0,"",IFERROR(INDEX('Material routes'!$I$6:$I$1005,MATCH(V156,'Material routes'!$A$6:$A$1005,0)),"MISSING ID"))</x:f>
      </x:c>
      <x:c r="Q156" s="4" t="str">
        <x:f>IFERROR(INDEX('Material routes'!$J$6:$J$1005,MATCH(V156,'Material routes'!$A$6:$A$1005,0)),"MISSING ID")</x:f>
        <x:v>Unspecified</x:v>
      </x:c>
      <x:c r="R156" s="4" t="str">
        <x:f>IF(L156="Withheld","Withheld premise",IF(E156="Tool candidate","Reusable prerequisite",IF(K156="Raw entry preparation","Entry-resource preparation",IF(G156="Not applicable","Finished endpoint",IF(OR(IFERROR(INDEX('Crafting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routes'!$D$6:$D$1005,MATCH(U156,'Material routes'!$A$6:$A$1005,0)),"MISSING ID")</x:f>
        <x:v>proposal.branch.steel_shell</x:v>
      </x:c>
      <x:c r="T156" s="4" t="str">
        <x:f>IFERROR(INDEX('Material routes'!$D$6:$D$1005,MATCH(V156,'Material routes'!$A$6:$A$1005,0)),"MISSING ID")</x:f>
        <x:v>proposal.branch.protective_stock</x:v>
      </x:c>
      <x:c r="U156" s="4" t="str">
        <x:v>design.branch.branch.protective_stock.in.1</x:v>
      </x:c>
      <x:c r="V156" s="4" t="str">
        <x:v>design.branch.branch.protective_stock.out</x:v>
      </x:c>
    </x:row>
    <x:row r="157" ht="105" customHeight="1">
      <x:c r="A157" s="4" t="str">
        <x:f>IFERROR(INDEX('Material routes'!$E$6:$E$1005,MATCH(U157,'Material routes'!$A$6:$A$1005,0)),"MISSING ID")</x:f>
        <x:v>Bonded ceramic-shell composite</x:v>
      </x:c>
      <x:c r="B157" s="4" t="str">
        <x:f>IFERROR(INDEX('Material routes'!$F$6:$F$1005,MATCH(U157,'Material routes'!$A$6:$A$1005,0)),"MISSING ID")</x:f>
        <x:v>T3</x:v>
      </x:c>
      <x:c r="C157" s="4" t="str">
        <x:f>IFERROR(INDEX('Material routes'!$H$6:$H$1005,MATCH(U157,'Material routes'!$A$6:$A$1005,0)),"MISSING ID")</x:f>
        <x:v>Processed material</x:v>
      </x:c>
      <x:c r="D157" s="4" t="str">
        <x:f>IFERROR(INDEX('Material routes'!$G$6:$G$1005,MATCH(U157,'Material routes'!$A$6:$A$1005,0)),"MISSING ID")</x:f>
        <x:v>Resources</x:v>
      </x:c>
      <x:c r="E157" s="4" t="str">
        <x:f>IFERROR(INDEX('Material routes'!$C$6:$C$1005,MATCH(U157,'Material routes'!$A$6:$A$1005,0)),"MISSING ID")</x:f>
        <x:v>Ingredient candidate</x:v>
      </x:c>
      <x:c r="F157" s="4" t="str">
        <x:f>IFERROR(INDEX('Material routes'!$E$6:$E$1005,MATCH(V157,'Material routes'!$A$6:$A$1005,0)),"MISSING ID")</x:f>
        <x:v>Layered protective composite stock</x:v>
      </x:c>
      <x:c r="G157" s="4" t="str">
        <x:f>IFERROR(INDEX('Material routes'!$F$6:$F$1005,MATCH(V157,'Material routes'!$A$6:$A$1005,0)),"MISSING ID")</x:f>
        <x:v>T4</x:v>
      </x:c>
      <x:c r="H157" s="4" t="str">
        <x:f>IFERROR(INDEX('Material routes'!$H$6:$H$1005,MATCH(V157,'Material routes'!$A$6:$A$1005,0)),"MISSING ID")</x:f>
        <x:v>Processed material</x:v>
      </x:c>
      <x:c r="I157" s="4" t="str">
        <x:f>IFERROR(INDEX('Material routes'!$G$6:$G$1005,MATCH(V157,'Material routes'!$A$6:$A$1005,0)),"MISSING ID")</x:f>
        <x:v>Resources</x:v>
      </x:c>
      <x:c r="J157" s="4" t="str">
        <x:f>IFERROR(INDEX('Material routes'!$B$6:$B$1005,MATCH(U157,'Material routes'!$A$6:$A$1005,0)),"MISSING ID")</x:f>
        <x:v>design.branch.branch.protective_stock</x:v>
      </x:c>
      <x:c r="K157" s="4" t="str">
        <x:f>IFERROR(INDEX('Crafting recipes'!$C$6:$C$1005,MATCH(J157,'Crafting recipes'!$A$6:$A$1005,0)),"MISSING ID")</x:f>
        <x:v>Material refinement</x:v>
      </x:c>
      <x:c r="L157" s="4" t="str">
        <x:f>IFERROR(INDEX('Material routes'!$K$6:$K$1005,MATCH(U157,'Material routes'!$A$6:$A$1005,0)),"MISSING ID")</x:f>
        <x:v>Proposal</x:v>
      </x:c>
      <x:c r="M157" s="4" t="str">
        <x:f>IFERROR(INDEX('Material routes'!$M$6:$M$1005,MATCH(U157,'Material routes'!$A$6:$A$1005,0)),"MISSING ID")</x:f>
        <x:v>Partial proposal</x:v>
      </x:c>
      <x:c r="N157" s="4" t="str">
        <x:f>IF(IFERROR(INDEX('Material routes'!$I$6:$I$1005,MATCH(U157,'Material routes'!$A$6:$A$1005,0)),"MISSING ID")=0,"",IFERROR(INDEX('Material routes'!$I$6:$I$1005,MATCH(U157,'Material routes'!$A$6:$A$1005,0)),"MISSING ID"))</x:f>
      </x:c>
      <x:c r="O157" s="4" t="str">
        <x:f>IFERROR(INDEX('Material routes'!$J$6:$J$1005,MATCH(U157,'Material routes'!$A$6:$A$1005,0)),"MISSING ID")</x:f>
        <x:v>Unspecified</x:v>
      </x:c>
      <x:c r="P157" s="4" t="str">
        <x:f>IF(IFERROR(INDEX('Material routes'!$I$6:$I$1005,MATCH(V157,'Material routes'!$A$6:$A$1005,0)),"MISSING ID")=0,"",IFERROR(INDEX('Material routes'!$I$6:$I$1005,MATCH(V157,'Material routes'!$A$6:$A$1005,0)),"MISSING ID"))</x:f>
      </x:c>
      <x:c r="Q157" s="4" t="str">
        <x:f>IFERROR(INDEX('Material routes'!$J$6:$J$1005,MATCH(V157,'Material routes'!$A$6:$A$1005,0)),"MISSING ID")</x:f>
        <x:v>Unspecified</x:v>
      </x:c>
      <x:c r="R157" s="4" t="str">
        <x:f>IF(L157="Withheld","Withheld premise",IF(E157="Tool candidate","Reusable prerequisite",IF(K157="Raw entry preparation","Entry-resource preparation",IF(G157="Not applicable","Finished endpoint",IF(OR(IFERROR(INDEX('Crafting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routes'!$D$6:$D$1005,MATCH(U157,'Material routes'!$A$6:$A$1005,0)),"MISSING ID")</x:f>
        <x:v>proposal.branch.ceramic_shell</x:v>
      </x:c>
      <x:c r="T157" s="4" t="str">
        <x:f>IFERROR(INDEX('Material routes'!$D$6:$D$1005,MATCH(V157,'Material routes'!$A$6:$A$1005,0)),"MISSING ID")</x:f>
        <x:v>proposal.branch.protective_stock</x:v>
      </x:c>
      <x:c r="U157" s="4" t="str">
        <x:v>design.branch.branch.protective_stock.in.2</x:v>
      </x:c>
      <x:c r="V157" s="4" t="str">
        <x:v>design.branch.branch.protective_stock.out</x:v>
      </x:c>
    </x:row>
    <x:row r="158" ht="105" customHeight="1">
      <x:c r="A158" s="4" t="str">
        <x:f>IFERROR(INDEX('Material routes'!$E$6:$E$1005,MATCH(U158,'Material routes'!$A$6:$A$1005,0)),"MISSING ID")</x:f>
        <x:v>Filled shell-binding compound</x:v>
      </x:c>
      <x:c r="B158" s="4" t="str">
        <x:f>IFERROR(INDEX('Material routes'!$F$6:$F$1005,MATCH(U158,'Material routes'!$A$6:$A$1005,0)),"MISSING ID")</x:f>
        <x:v>T2</x:v>
      </x:c>
      <x:c r="C158" s="4" t="str">
        <x:f>IFERROR(INDEX('Material routes'!$H$6:$H$1005,MATCH(U158,'Material routes'!$A$6:$A$1005,0)),"MISSING ID")</x:f>
        <x:v>Chemical material</x:v>
      </x:c>
      <x:c r="D158" s="4" t="str">
        <x:f>IFERROR(INDEX('Material routes'!$G$6:$G$1005,MATCH(U158,'Material routes'!$A$6:$A$1005,0)),"MISSING ID")</x:f>
        <x:v>Resources</x:v>
      </x:c>
      <x:c r="E158" s="4" t="str">
        <x:f>IFERROR(INDEX('Material routes'!$C$6:$C$1005,MATCH(U158,'Material routes'!$A$6:$A$1005,0)),"MISSING ID")</x:f>
        <x:v>Ingredient candidate</x:v>
      </x:c>
      <x:c r="F158" s="4" t="str">
        <x:f>IFERROR(INDEX('Material routes'!$E$6:$E$1005,MATCH(V158,'Material routes'!$A$6:$A$1005,0)),"MISSING ID")</x:f>
        <x:v>Layered protective composite stock</x:v>
      </x:c>
      <x:c r="G158" s="4" t="str">
        <x:f>IFERROR(INDEX('Material routes'!$F$6:$F$1005,MATCH(V158,'Material routes'!$A$6:$A$1005,0)),"MISSING ID")</x:f>
        <x:v>T4</x:v>
      </x:c>
      <x:c r="H158" s="4" t="str">
        <x:f>IFERROR(INDEX('Material routes'!$H$6:$H$1005,MATCH(V158,'Material routes'!$A$6:$A$1005,0)),"MISSING ID")</x:f>
        <x:v>Processed material</x:v>
      </x:c>
      <x:c r="I158" s="4" t="str">
        <x:f>IFERROR(INDEX('Material routes'!$G$6:$G$1005,MATCH(V158,'Material routes'!$A$6:$A$1005,0)),"MISSING ID")</x:f>
        <x:v>Resources</x:v>
      </x:c>
      <x:c r="J158" s="4" t="str">
        <x:f>IFERROR(INDEX('Material routes'!$B$6:$B$1005,MATCH(U158,'Material routes'!$A$6:$A$1005,0)),"MISSING ID")</x:f>
        <x:v>design.branch.branch.protective_stock</x:v>
      </x:c>
      <x:c r="K158" s="4" t="str">
        <x:f>IFERROR(INDEX('Crafting recipes'!$C$6:$C$1005,MATCH(J158,'Crafting recipes'!$A$6:$A$1005,0)),"MISSING ID")</x:f>
        <x:v>Material refinement</x:v>
      </x:c>
      <x:c r="L158" s="4" t="str">
        <x:f>IFERROR(INDEX('Material routes'!$K$6:$K$1005,MATCH(U158,'Material routes'!$A$6:$A$1005,0)),"MISSING ID")</x:f>
        <x:v>Proposal</x:v>
      </x:c>
      <x:c r="M158" s="4" t="str">
        <x:f>IFERROR(INDEX('Material routes'!$M$6:$M$1005,MATCH(U158,'Material routes'!$A$6:$A$1005,0)),"MISSING ID")</x:f>
        <x:v>Partial proposal</x:v>
      </x:c>
      <x:c r="N158" s="4" t="str">
        <x:f>IF(IFERROR(INDEX('Material routes'!$I$6:$I$1005,MATCH(U158,'Material routes'!$A$6:$A$1005,0)),"MISSING ID")=0,"",IFERROR(INDEX('Material routes'!$I$6:$I$1005,MATCH(U158,'Material routes'!$A$6:$A$1005,0)),"MISSING ID"))</x:f>
      </x:c>
      <x:c r="O158" s="4" t="str">
        <x:f>IFERROR(INDEX('Material routes'!$J$6:$J$1005,MATCH(U158,'Material routes'!$A$6:$A$1005,0)),"MISSING ID")</x:f>
        <x:v>Unspecified</x:v>
      </x:c>
      <x:c r="P158" s="4" t="str">
        <x:f>IF(IFERROR(INDEX('Material routes'!$I$6:$I$1005,MATCH(V158,'Material routes'!$A$6:$A$1005,0)),"MISSING ID")=0,"",IFERROR(INDEX('Material routes'!$I$6:$I$1005,MATCH(V158,'Material routes'!$A$6:$A$1005,0)),"MISSING ID"))</x:f>
      </x:c>
      <x:c r="Q158" s="4" t="str">
        <x:f>IFERROR(INDEX('Material routes'!$J$6:$J$1005,MATCH(V158,'Material routes'!$A$6:$A$1005,0)),"MISSING ID")</x:f>
        <x:v>Unspecified</x:v>
      </x:c>
      <x:c r="R158" s="4" t="str">
        <x:f>IF(L158="Withheld","Withheld premise",IF(E158="Tool candidate","Reusable prerequisite",IF(K158="Raw entry preparation","Entry-resource preparation",IF(G158="Not applicable","Finished endpoint",IF(OR(IFERROR(INDEX('Crafting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routes'!$D$6:$D$1005,MATCH(U158,'Material routes'!$A$6:$A$1005,0)),"MISSING ID")</x:f>
        <x:v>proposal.branch.filled_binder</x:v>
      </x:c>
      <x:c r="T158" s="4" t="str">
        <x:f>IFERROR(INDEX('Material routes'!$D$6:$D$1005,MATCH(V158,'Material routes'!$A$6:$A$1005,0)),"MISSING ID")</x:f>
        <x:v>proposal.branch.protective_stock</x:v>
      </x:c>
      <x:c r="U158" s="4" t="str">
        <x:v>design.branch.branch.protective_stock.in.3</x:v>
      </x:c>
      <x:c r="V158" s="4" t="str">
        <x:v>design.branch.branch.protective_stock.out</x:v>
      </x:c>
    </x:row>
    <x:row r="159" ht="105" customHeight="1">
      <x:c r="A159" s="4" t="str">
        <x:f>IFERROR(INDEX('Material routes'!$E$6:$E$1005,MATCH(U159,'Material routes'!$A$6:$A$1005,0)),"MISSING ID")</x:f>
        <x:v>Insulated conductor stock</x:v>
      </x:c>
      <x:c r="B159" s="4" t="str">
        <x:f>IFERROR(INDEX('Material routes'!$F$6:$F$1005,MATCH(U159,'Material routes'!$A$6:$A$1005,0)),"MISSING ID")</x:f>
        <x:v>T3</x:v>
      </x:c>
      <x:c r="C159" s="4" t="str">
        <x:f>IFERROR(INDEX('Material routes'!$H$6:$H$1005,MATCH(U159,'Material routes'!$A$6:$A$1005,0)),"MISSING ID")</x:f>
        <x:v>Processed material</x:v>
      </x:c>
      <x:c r="D159" s="4" t="str">
        <x:f>IFERROR(INDEX('Material routes'!$G$6:$G$1005,MATCH(U159,'Material routes'!$A$6:$A$1005,0)),"MISSING ID")</x:f>
        <x:v>Resources</x:v>
      </x:c>
      <x:c r="E159" s="4" t="str">
        <x:f>IFERROR(INDEX('Material routes'!$C$6:$C$1005,MATCH(U159,'Material routes'!$A$6:$A$1005,0)),"MISSING ID")</x:f>
        <x:v>Ingredient candidate</x:v>
      </x:c>
      <x:c r="F159" s="4" t="str">
        <x:f>IFERROR(INDEX('Material routes'!$E$6:$E$1005,MATCH(V159,'Material routes'!$A$6:$A$1005,0)),"MISSING ID")</x:f>
        <x:v>Encapsulated conductor stock</x:v>
      </x:c>
      <x:c r="G159" s="4" t="str">
        <x:f>IFERROR(INDEX('Material routes'!$F$6:$F$1005,MATCH(V159,'Material routes'!$A$6:$A$1005,0)),"MISSING ID")</x:f>
        <x:v>T4</x:v>
      </x:c>
      <x:c r="H159" s="4" t="str">
        <x:f>IFERROR(INDEX('Material routes'!$H$6:$H$1005,MATCH(V159,'Material routes'!$A$6:$A$1005,0)),"MISSING ID")</x:f>
        <x:v>Processed material</x:v>
      </x:c>
      <x:c r="I159" s="4" t="str">
        <x:f>IFERROR(INDEX('Material routes'!$G$6:$G$1005,MATCH(V159,'Material routes'!$A$6:$A$1005,0)),"MISSING ID")</x:f>
        <x:v>Resources</x:v>
      </x:c>
      <x:c r="J159" s="4" t="str">
        <x:f>IFERROR(INDEX('Material routes'!$B$6:$B$1005,MATCH(U159,'Material routes'!$A$6:$A$1005,0)),"MISSING ID")</x:f>
        <x:v>design.branch.branch.encapsulated_conductor</x:v>
      </x:c>
      <x:c r="K159" s="4" t="str">
        <x:f>IFERROR(INDEX('Crafting recipes'!$C$6:$C$1005,MATCH(J159,'Crafting recipes'!$A$6:$A$1005,0)),"MISSING ID")</x:f>
        <x:v>Material refinement</x:v>
      </x:c>
      <x:c r="L159" s="4" t="str">
        <x:f>IFERROR(INDEX('Material routes'!$K$6:$K$1005,MATCH(U159,'Material routes'!$A$6:$A$1005,0)),"MISSING ID")</x:f>
        <x:v>Proposal</x:v>
      </x:c>
      <x:c r="M159" s="4" t="str">
        <x:f>IFERROR(INDEX('Material routes'!$M$6:$M$1005,MATCH(U159,'Material routes'!$A$6:$A$1005,0)),"MISSING ID")</x:f>
        <x:v>Partial proposal</x:v>
      </x:c>
      <x:c r="N159" s="4" t="str">
        <x:f>IF(IFERROR(INDEX('Material routes'!$I$6:$I$1005,MATCH(U159,'Material routes'!$A$6:$A$1005,0)),"MISSING ID")=0,"",IFERROR(INDEX('Material routes'!$I$6:$I$1005,MATCH(U159,'Material routes'!$A$6:$A$1005,0)),"MISSING ID"))</x:f>
      </x:c>
      <x:c r="O159" s="4" t="str">
        <x:f>IFERROR(INDEX('Material routes'!$J$6:$J$1005,MATCH(U159,'Material routes'!$A$6:$A$1005,0)),"MISSING ID")</x:f>
        <x:v>Unspecified</x:v>
      </x:c>
      <x:c r="P159" s="4" t="str">
        <x:f>IF(IFERROR(INDEX('Material routes'!$I$6:$I$1005,MATCH(V159,'Material routes'!$A$6:$A$1005,0)),"MISSING ID")=0,"",IFERROR(INDEX('Material routes'!$I$6:$I$1005,MATCH(V159,'Material routes'!$A$6:$A$1005,0)),"MISSING ID"))</x:f>
      </x:c>
      <x:c r="Q159" s="4" t="str">
        <x:f>IFERROR(INDEX('Material routes'!$J$6:$J$1005,MATCH(V159,'Material routes'!$A$6:$A$1005,0)),"MISSING ID")</x:f>
        <x:v>Unspecified</x:v>
      </x:c>
      <x:c r="R159" s="4" t="str">
        <x:f>IF(L159="Withheld","Withheld premise",IF(E159="Tool candidate","Reusable prerequisite",IF(K159="Raw entry preparation","Entry-resource preparation",IF(G159="Not applicable","Finished endpoint",IF(OR(IFERROR(INDEX('Crafting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routes'!$D$6:$D$1005,MATCH(U159,'Material routes'!$A$6:$A$1005,0)),"MISSING ID")</x:f>
        <x:v>proposal.branch.insulated_conductor</x:v>
      </x:c>
      <x:c r="T159" s="4" t="str">
        <x:f>IFERROR(INDEX('Material routes'!$D$6:$D$1005,MATCH(V159,'Material routes'!$A$6:$A$1005,0)),"MISSING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routes'!$E$6:$E$1005,MATCH(U160,'Material routes'!$A$6:$A$1005,0)),"MISSING ID")</x:f>
        <x:v>Reinforced sealing sheet</x:v>
      </x:c>
      <x:c r="B160" s="4" t="str">
        <x:f>IFERROR(INDEX('Material routes'!$F$6:$F$1005,MATCH(U160,'Material routes'!$A$6:$A$1005,0)),"MISSING ID")</x:f>
        <x:v>T3</x:v>
      </x:c>
      <x:c r="C160" s="4" t="str">
        <x:f>IFERROR(INDEX('Material routes'!$H$6:$H$1005,MATCH(U160,'Material routes'!$A$6:$A$1005,0)),"MISSING ID")</x:f>
        <x:v>Processed material</x:v>
      </x:c>
      <x:c r="D160" s="4" t="str">
        <x:f>IFERROR(INDEX('Material routes'!$G$6:$G$1005,MATCH(U160,'Material routes'!$A$6:$A$1005,0)),"MISSING ID")</x:f>
        <x:v>Resources</x:v>
      </x:c>
      <x:c r="E160" s="4" t="str">
        <x:f>IFERROR(INDEX('Material routes'!$C$6:$C$1005,MATCH(U160,'Material routes'!$A$6:$A$1005,0)),"MISSING ID")</x:f>
        <x:v>Ingredient candidate</x:v>
      </x:c>
      <x:c r="F160" s="4" t="str">
        <x:f>IFERROR(INDEX('Material routes'!$E$6:$E$1005,MATCH(V160,'Material routes'!$A$6:$A$1005,0)),"MISSING ID")</x:f>
        <x:v>Encapsulated conductor stock</x:v>
      </x:c>
      <x:c r="G160" s="4" t="str">
        <x:f>IFERROR(INDEX('Material routes'!$F$6:$F$1005,MATCH(V160,'Material routes'!$A$6:$A$1005,0)),"MISSING ID")</x:f>
        <x:v>T4</x:v>
      </x:c>
      <x:c r="H160" s="4" t="str">
        <x:f>IFERROR(INDEX('Material routes'!$H$6:$H$1005,MATCH(V160,'Material routes'!$A$6:$A$1005,0)),"MISSING ID")</x:f>
        <x:v>Processed material</x:v>
      </x:c>
      <x:c r="I160" s="4" t="str">
        <x:f>IFERROR(INDEX('Material routes'!$G$6:$G$1005,MATCH(V160,'Material routes'!$A$6:$A$1005,0)),"MISSING ID")</x:f>
        <x:v>Resources</x:v>
      </x:c>
      <x:c r="J160" s="4" t="str">
        <x:f>IFERROR(INDEX('Material routes'!$B$6:$B$1005,MATCH(U160,'Material routes'!$A$6:$A$1005,0)),"MISSING ID")</x:f>
        <x:v>design.branch.branch.encapsulated_conductor</x:v>
      </x:c>
      <x:c r="K160" s="4" t="str">
        <x:f>IFERROR(INDEX('Crafting recipes'!$C$6:$C$1005,MATCH(J160,'Crafting recipes'!$A$6:$A$1005,0)),"MISSING ID")</x:f>
        <x:v>Material refinement</x:v>
      </x:c>
      <x:c r="L160" s="4" t="str">
        <x:f>IFERROR(INDEX('Material routes'!$K$6:$K$1005,MATCH(U160,'Material routes'!$A$6:$A$1005,0)),"MISSING ID")</x:f>
        <x:v>Proposal</x:v>
      </x:c>
      <x:c r="M160" s="4" t="str">
        <x:f>IFERROR(INDEX('Material routes'!$M$6:$M$1005,MATCH(U160,'Material routes'!$A$6:$A$1005,0)),"MISSING ID")</x:f>
        <x:v>Partial proposal</x:v>
      </x:c>
      <x:c r="N160" s="4" t="str">
        <x:f>IF(IFERROR(INDEX('Material routes'!$I$6:$I$1005,MATCH(U160,'Material routes'!$A$6:$A$1005,0)),"MISSING ID")=0,"",IFERROR(INDEX('Material routes'!$I$6:$I$1005,MATCH(U160,'Material routes'!$A$6:$A$1005,0)),"MISSING ID"))</x:f>
      </x:c>
      <x:c r="O160" s="4" t="str">
        <x:f>IFERROR(INDEX('Material routes'!$J$6:$J$1005,MATCH(U160,'Material routes'!$A$6:$A$1005,0)),"MISSING ID")</x:f>
        <x:v>Unspecified</x:v>
      </x:c>
      <x:c r="P160" s="4" t="str">
        <x:f>IF(IFERROR(INDEX('Material routes'!$I$6:$I$1005,MATCH(V160,'Material routes'!$A$6:$A$1005,0)),"MISSING ID")=0,"",IFERROR(INDEX('Material routes'!$I$6:$I$1005,MATCH(V160,'Material routes'!$A$6:$A$1005,0)),"MISSING ID"))</x:f>
      </x:c>
      <x:c r="Q160" s="4" t="str">
        <x:f>IFERROR(INDEX('Material routes'!$J$6:$J$1005,MATCH(V160,'Material routes'!$A$6:$A$1005,0)),"MISSING ID")</x:f>
        <x:v>Unspecified</x:v>
      </x:c>
      <x:c r="R160" s="4" t="str">
        <x:f>IF(L160="Withheld","Withheld premise",IF(E160="Tool candidate","Reusable prerequisite",IF(K160="Raw entry preparation","Entry-resource preparation",IF(G160="Not applicable","Finished endpoint",IF(OR(IFERROR(INDEX('Crafting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routes'!$D$6:$D$1005,MATCH(U160,'Material routes'!$A$6:$A$1005,0)),"MISSING ID")</x:f>
        <x:v>proposal.branch.sealing_sheet</x:v>
      </x:c>
      <x:c r="T160" s="4" t="str">
        <x:f>IFERROR(INDEX('Material routes'!$D$6:$D$1005,MATCH(V160,'Material routes'!$A$6:$A$1005,0)),"MISSING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routes'!$E$6:$E$1005,MATCH(U161,'Material routes'!$A$6:$A$1005,0)),"MISSING ID")</x:f>
        <x:v>Insulating ceramic blanks</x:v>
      </x:c>
      <x:c r="B161" s="4" t="str">
        <x:f>IFERROR(INDEX('Material routes'!$F$6:$F$1005,MATCH(U161,'Material routes'!$A$6:$A$1005,0)),"MISSING ID")</x:f>
        <x:v>T2</x:v>
      </x:c>
      <x:c r="C161" s="4" t="str">
        <x:f>IFERROR(INDEX('Material routes'!$H$6:$H$1005,MATCH(U161,'Material routes'!$A$6:$A$1005,0)),"MISSING ID")</x:f>
        <x:v>Processed material</x:v>
      </x:c>
      <x:c r="D161" s="4" t="str">
        <x:f>IFERROR(INDEX('Material routes'!$G$6:$G$1005,MATCH(U161,'Material routes'!$A$6:$A$1005,0)),"MISSING ID")</x:f>
        <x:v>Resources</x:v>
      </x:c>
      <x:c r="E161" s="4" t="str">
        <x:f>IFERROR(INDEX('Material routes'!$C$6:$C$1005,MATCH(U161,'Material routes'!$A$6:$A$1005,0)),"MISSING ID")</x:f>
        <x:v>Ingredient candidate</x:v>
      </x:c>
      <x:c r="F161" s="4" t="str">
        <x:f>IFERROR(INDEX('Material routes'!$E$6:$E$1005,MATCH(V161,'Material routes'!$A$6:$A$1005,0)),"MISSING ID")</x:f>
        <x:v>Encapsulated conductor stock</x:v>
      </x:c>
      <x:c r="G161" s="4" t="str">
        <x:f>IFERROR(INDEX('Material routes'!$F$6:$F$1005,MATCH(V161,'Material routes'!$A$6:$A$1005,0)),"MISSING ID")</x:f>
        <x:v>T4</x:v>
      </x:c>
      <x:c r="H161" s="4" t="str">
        <x:f>IFERROR(INDEX('Material routes'!$H$6:$H$1005,MATCH(V161,'Material routes'!$A$6:$A$1005,0)),"MISSING ID")</x:f>
        <x:v>Processed material</x:v>
      </x:c>
      <x:c r="I161" s="4" t="str">
        <x:f>IFERROR(INDEX('Material routes'!$G$6:$G$1005,MATCH(V161,'Material routes'!$A$6:$A$1005,0)),"MISSING ID")</x:f>
        <x:v>Resources</x:v>
      </x:c>
      <x:c r="J161" s="4" t="str">
        <x:f>IFERROR(INDEX('Material routes'!$B$6:$B$1005,MATCH(U161,'Material routes'!$A$6:$A$1005,0)),"MISSING ID")</x:f>
        <x:v>design.branch.branch.encapsulated_conductor</x:v>
      </x:c>
      <x:c r="K161" s="4" t="str">
        <x:f>IFERROR(INDEX('Crafting recipes'!$C$6:$C$1005,MATCH(J161,'Crafting recipes'!$A$6:$A$1005,0)),"MISSING ID")</x:f>
        <x:v>Material refinement</x:v>
      </x:c>
      <x:c r="L161" s="4" t="str">
        <x:f>IFERROR(INDEX('Material routes'!$K$6:$K$1005,MATCH(U161,'Material routes'!$A$6:$A$1005,0)),"MISSING ID")</x:f>
        <x:v>Proposal</x:v>
      </x:c>
      <x:c r="M161" s="4" t="str">
        <x:f>IFERROR(INDEX('Material routes'!$M$6:$M$1005,MATCH(U161,'Material routes'!$A$6:$A$1005,0)),"MISSING ID")</x:f>
        <x:v>Partial proposal</x:v>
      </x:c>
      <x:c r="N161" s="4" t="str">
        <x:f>IF(IFERROR(INDEX('Material routes'!$I$6:$I$1005,MATCH(U161,'Material routes'!$A$6:$A$1005,0)),"MISSING ID")=0,"",IFERROR(INDEX('Material routes'!$I$6:$I$1005,MATCH(U161,'Material routes'!$A$6:$A$1005,0)),"MISSING ID"))</x:f>
      </x:c>
      <x:c r="O161" s="4" t="str">
        <x:f>IFERROR(INDEX('Material routes'!$J$6:$J$1005,MATCH(U161,'Material routes'!$A$6:$A$1005,0)),"MISSING ID")</x:f>
        <x:v>Unspecified</x:v>
      </x:c>
      <x:c r="P161" s="4" t="str">
        <x:f>IF(IFERROR(INDEX('Material routes'!$I$6:$I$1005,MATCH(V161,'Material routes'!$A$6:$A$1005,0)),"MISSING ID")=0,"",IFERROR(INDEX('Material routes'!$I$6:$I$1005,MATCH(V161,'Material routes'!$A$6:$A$1005,0)),"MISSING ID"))</x:f>
      </x:c>
      <x:c r="Q161" s="4" t="str">
        <x:f>IFERROR(INDEX('Material routes'!$J$6:$J$1005,MATCH(V161,'Material routes'!$A$6:$A$1005,0)),"MISSING ID")</x:f>
        <x:v>Unspecified</x:v>
      </x:c>
      <x:c r="R161" s="4" t="str">
        <x:f>IF(L161="Withheld","Withheld premise",IF(E161="Tool candidate","Reusable prerequisite",IF(K161="Raw entry preparation","Entry-resource preparation",IF(G161="Not applicable","Finished endpoint",IF(OR(IFERROR(INDEX('Crafting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routes'!$D$6:$D$1005,MATCH(U161,'Material routes'!$A$6:$A$1005,0)),"MISSING ID")</x:f>
        <x:v>proposal.natural.ceramic</x:v>
      </x:c>
      <x:c r="T161" s="4" t="str">
        <x:f>IFERROR(INDEX('Material routes'!$D$6:$D$1005,MATCH(V161,'Material routes'!$A$6:$A$1005,0)),"MISSING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routes'!$E$6:$E$1005,MATCH(U162,'Material routes'!$A$6:$A$1005,0)),"MISSING ID")</x:f>
        <x:v>Ground optical glass stock</x:v>
      </x:c>
      <x:c r="B162" s="4" t="str">
        <x:f>IFERROR(INDEX('Material routes'!$F$6:$F$1005,MATCH(U162,'Material routes'!$A$6:$A$1005,0)),"MISSING ID")</x:f>
        <x:v>T3</x:v>
      </x:c>
      <x:c r="C162" s="4" t="str">
        <x:f>IFERROR(INDEX('Material routes'!$H$6:$H$1005,MATCH(U162,'Material routes'!$A$6:$A$1005,0)),"MISSING ID")</x:f>
        <x:v>Processed material</x:v>
      </x:c>
      <x:c r="D162" s="4" t="str">
        <x:f>IFERROR(INDEX('Material routes'!$G$6:$G$1005,MATCH(U162,'Material routes'!$A$6:$A$1005,0)),"MISSING ID")</x:f>
        <x:v>Resources</x:v>
      </x:c>
      <x:c r="E162" s="4" t="str">
        <x:f>IFERROR(INDEX('Material routes'!$C$6:$C$1005,MATCH(U162,'Material routes'!$A$6:$A$1005,0)),"MISSING ID")</x:f>
        <x:v>Ingredient candidate</x:v>
      </x:c>
      <x:c r="F162" s="4" t="str">
        <x:f>IFERROR(INDEX('Material routes'!$E$6:$E$1005,MATCH(V162,'Material routes'!$A$6:$A$1005,0)),"MISSING ID")</x:f>
        <x:v>Aligned optical subassembly</x:v>
      </x:c>
      <x:c r="G162" s="4" t="str">
        <x:f>IFERROR(INDEX('Material routes'!$F$6:$F$1005,MATCH(V162,'Material routes'!$A$6:$A$1005,0)),"MISSING ID")</x:f>
        <x:v>T4</x:v>
      </x:c>
      <x:c r="H162" s="4" t="str">
        <x:f>IFERROR(INDEX('Material routes'!$H$6:$H$1005,MATCH(V162,'Material routes'!$A$6:$A$1005,0)),"MISSING ID")</x:f>
        <x:v>Crafting component</x:v>
      </x:c>
      <x:c r="I162" s="4" t="str">
        <x:f>IFERROR(INDEX('Material routes'!$G$6:$G$1005,MATCH(V162,'Material routes'!$A$6:$A$1005,0)),"MISSING ID")</x:f>
        <x:v>Crafting components</x:v>
      </x:c>
      <x:c r="J162" s="4" t="str">
        <x:f>IFERROR(INDEX('Material routes'!$B$6:$B$1005,MATCH(U162,'Material routes'!$A$6:$A$1005,0)),"MISSING ID")</x:f>
        <x:v>design.branch.branch.optical_module</x:v>
      </x:c>
      <x:c r="K162" s="4" t="str">
        <x:f>IFERROR(INDEX('Crafting recipes'!$C$6:$C$1005,MATCH(J162,'Crafting recipes'!$A$6:$A$1005,0)),"MISSING ID")</x:f>
        <x:v>Material refinement</x:v>
      </x:c>
      <x:c r="L162" s="4" t="str">
        <x:f>IFERROR(INDEX('Material routes'!$K$6:$K$1005,MATCH(U162,'Material routes'!$A$6:$A$1005,0)),"MISSING ID")</x:f>
        <x:v>Proposal</x:v>
      </x:c>
      <x:c r="M162" s="4" t="str">
        <x:f>IFERROR(INDEX('Material routes'!$M$6:$M$1005,MATCH(U162,'Material routes'!$A$6:$A$1005,0)),"MISSING ID")</x:f>
        <x:v>Partial proposal</x:v>
      </x:c>
      <x:c r="N162" s="4" t="str">
        <x:f>IF(IFERROR(INDEX('Material routes'!$I$6:$I$1005,MATCH(U162,'Material routes'!$A$6:$A$1005,0)),"MISSING ID")=0,"",IFERROR(INDEX('Material routes'!$I$6:$I$1005,MATCH(U162,'Material routes'!$A$6:$A$1005,0)),"MISSING ID"))</x:f>
      </x:c>
      <x:c r="O162" s="4" t="str">
        <x:f>IFERROR(INDEX('Material routes'!$J$6:$J$1005,MATCH(U162,'Material routes'!$A$6:$A$1005,0)),"MISSING ID")</x:f>
        <x:v>Unspecified</x:v>
      </x:c>
      <x:c r="P162" s="4" t="str">
        <x:f>IF(IFERROR(INDEX('Material routes'!$I$6:$I$1005,MATCH(V162,'Material routes'!$A$6:$A$1005,0)),"MISSING ID")=0,"",IFERROR(INDEX('Material routes'!$I$6:$I$1005,MATCH(V162,'Material routes'!$A$6:$A$1005,0)),"MISSING ID"))</x:f>
      </x:c>
      <x:c r="Q162" s="4" t="str">
        <x:f>IFERROR(INDEX('Material routes'!$J$6:$J$1005,MATCH(V162,'Material routes'!$A$6:$A$1005,0)),"MISSING ID")</x:f>
        <x:v>Unspecified</x:v>
      </x:c>
      <x:c r="R162" s="4" t="str">
        <x:f>IF(L162="Withheld","Withheld premise",IF(E162="Tool candidate","Reusable prerequisite",IF(K162="Raw entry preparation","Entry-resource preparation",IF(G162="Not applicable","Finished endpoint",IF(OR(IFERROR(INDEX('Crafting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routes'!$D$6:$D$1005,MATCH(U162,'Material routes'!$A$6:$A$1005,0)),"MISSING ID")</x:f>
        <x:v>proposal.branch.optical_glass</x:v>
      </x:c>
      <x:c r="T162" s="4" t="str">
        <x:f>IFERROR(INDEX('Material routes'!$D$6:$D$1005,MATCH(V162,'Material routes'!$A$6:$A$1005,0)),"MISSING ID")</x:f>
        <x:v>proposal.branch.optical_module</x:v>
      </x:c>
      <x:c r="U162" s="4" t="str">
        <x:v>design.branch.branch.optical_module.in.1</x:v>
      </x:c>
      <x:c r="V162" s="4" t="str">
        <x:v>design.branch.branch.optical_module.out</x:v>
      </x:c>
    </x:row>
    <x:row r="163" ht="105" customHeight="1">
      <x:c r="A163" s="4" t="str">
        <x:f>IFERROR(INDEX('Material routes'!$E$6:$E$1005,MATCH(U163,'Material routes'!$A$6:$A$1005,0)),"MISSING ID")</x:f>
        <x:v>Spring-grade steel stock</x:v>
      </x:c>
      <x:c r="B163" s="4" t="str">
        <x:f>IFERROR(INDEX('Material routes'!$F$6:$F$1005,MATCH(U163,'Material routes'!$A$6:$A$1005,0)),"MISSING ID")</x:f>
        <x:v>T3</x:v>
      </x:c>
      <x:c r="C163" s="4" t="str">
        <x:f>IFERROR(INDEX('Material routes'!$H$6:$H$1005,MATCH(U163,'Material routes'!$A$6:$A$1005,0)),"MISSING ID")</x:f>
        <x:v>Processed material</x:v>
      </x:c>
      <x:c r="D163" s="4" t="str">
        <x:f>IFERROR(INDEX('Material routes'!$G$6:$G$1005,MATCH(U163,'Material routes'!$A$6:$A$1005,0)),"MISSING ID")</x:f>
        <x:v>Resources</x:v>
      </x:c>
      <x:c r="E163" s="4" t="str">
        <x:f>IFERROR(INDEX('Material routes'!$C$6:$C$1005,MATCH(U163,'Material routes'!$A$6:$A$1005,0)),"MISSING ID")</x:f>
        <x:v>Ingredient candidate</x:v>
      </x:c>
      <x:c r="F163" s="4" t="str">
        <x:f>IFERROR(INDEX('Material routes'!$E$6:$E$1005,MATCH(V163,'Material routes'!$A$6:$A$1005,0)),"MISSING ID")</x:f>
        <x:v>Aligned optical subassembly</x:v>
      </x:c>
      <x:c r="G163" s="4" t="str">
        <x:f>IFERROR(INDEX('Material routes'!$F$6:$F$1005,MATCH(V163,'Material routes'!$A$6:$A$1005,0)),"MISSING ID")</x:f>
        <x:v>T4</x:v>
      </x:c>
      <x:c r="H163" s="4" t="str">
        <x:f>IFERROR(INDEX('Material routes'!$H$6:$H$1005,MATCH(V163,'Material routes'!$A$6:$A$1005,0)),"MISSING ID")</x:f>
        <x:v>Crafting component</x:v>
      </x:c>
      <x:c r="I163" s="4" t="str">
        <x:f>IFERROR(INDEX('Material routes'!$G$6:$G$1005,MATCH(V163,'Material routes'!$A$6:$A$1005,0)),"MISSING ID")</x:f>
        <x:v>Crafting components</x:v>
      </x:c>
      <x:c r="J163" s="4" t="str">
        <x:f>IFERROR(INDEX('Material routes'!$B$6:$B$1005,MATCH(U163,'Material routes'!$A$6:$A$1005,0)),"MISSING ID")</x:f>
        <x:v>design.branch.branch.optical_module</x:v>
      </x:c>
      <x:c r="K163" s="4" t="str">
        <x:f>IFERROR(INDEX('Crafting recipes'!$C$6:$C$1005,MATCH(J163,'Crafting recipes'!$A$6:$A$1005,0)),"MISSING ID")</x:f>
        <x:v>Material refinement</x:v>
      </x:c>
      <x:c r="L163" s="4" t="str">
        <x:f>IFERROR(INDEX('Material routes'!$K$6:$K$1005,MATCH(U163,'Material routes'!$A$6:$A$1005,0)),"MISSING ID")</x:f>
        <x:v>Proposal</x:v>
      </x:c>
      <x:c r="M163" s="4" t="str">
        <x:f>IFERROR(INDEX('Material routes'!$M$6:$M$1005,MATCH(U163,'Material routes'!$A$6:$A$1005,0)),"MISSING ID")</x:f>
        <x:v>Partial proposal</x:v>
      </x:c>
      <x:c r="N163" s="4" t="str">
        <x:f>IF(IFERROR(INDEX('Material routes'!$I$6:$I$1005,MATCH(U163,'Material routes'!$A$6:$A$1005,0)),"MISSING ID")=0,"",IFERROR(INDEX('Material routes'!$I$6:$I$1005,MATCH(U163,'Material routes'!$A$6:$A$1005,0)),"MISSING ID"))</x:f>
      </x:c>
      <x:c r="O163" s="4" t="str">
        <x:f>IFERROR(INDEX('Material routes'!$J$6:$J$1005,MATCH(U163,'Material routes'!$A$6:$A$1005,0)),"MISSING ID")</x:f>
        <x:v>Unspecified</x:v>
      </x:c>
      <x:c r="P163" s="4" t="str">
        <x:f>IF(IFERROR(INDEX('Material routes'!$I$6:$I$1005,MATCH(V163,'Material routes'!$A$6:$A$1005,0)),"MISSING ID")=0,"",IFERROR(INDEX('Material routes'!$I$6:$I$1005,MATCH(V163,'Material routes'!$A$6:$A$1005,0)),"MISSING ID"))</x:f>
      </x:c>
      <x:c r="Q163" s="4" t="str">
        <x:f>IFERROR(INDEX('Material routes'!$J$6:$J$1005,MATCH(V163,'Material routes'!$A$6:$A$1005,0)),"MISSING ID")</x:f>
        <x:v>Unspecified</x:v>
      </x:c>
      <x:c r="R163" s="4" t="str">
        <x:f>IF(L163="Withheld","Withheld premise",IF(E163="Tool candidate","Reusable prerequisite",IF(K163="Raw entry preparation","Entry-resource preparation",IF(G163="Not applicable","Finished endpoint",IF(OR(IFERROR(INDEX('Crafting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routes'!$D$6:$D$1005,MATCH(U163,'Material routes'!$A$6:$A$1005,0)),"MISSING ID")</x:f>
        <x:v>proposal.branch.spring_steel</x:v>
      </x:c>
      <x:c r="T163" s="4" t="str">
        <x:f>IFERROR(INDEX('Material routes'!$D$6:$D$1005,MATCH(V163,'Material routes'!$A$6:$A$1005,0)),"MISSING ID")</x:f>
        <x:v>proposal.branch.optical_module</x:v>
      </x:c>
      <x:c r="U163" s="4" t="str">
        <x:v>design.branch.branch.optical_module.in.2</x:v>
      </x:c>
      <x:c r="V163" s="4" t="str">
        <x:v>design.branch.branch.optical_module.out</x:v>
      </x:c>
    </x:row>
    <x:row r="164" ht="105" customHeight="1">
      <x:c r="A164" s="4" t="str">
        <x:f>IFERROR(INDEX('Material routes'!$E$6:$E$1005,MATCH(U164,'Material routes'!$A$6:$A$1005,0)),"MISSING ID")</x:f>
        <x:v>Steel stock</x:v>
      </x:c>
      <x:c r="B164" s="4" t="str">
        <x:f>IFERROR(INDEX('Material routes'!$F$6:$F$1005,MATCH(U164,'Material routes'!$A$6:$A$1005,0)),"MISSING ID")</x:f>
        <x:v>T2</x:v>
      </x:c>
      <x:c r="C164" s="4" t="str">
        <x:f>IFERROR(INDEX('Material routes'!$H$6:$H$1005,MATCH(U164,'Material routes'!$A$6:$A$1005,0)),"MISSING ID")</x:f>
        <x:v>Processed material</x:v>
      </x:c>
      <x:c r="D164" s="4" t="str">
        <x:f>IFERROR(INDEX('Material routes'!$G$6:$G$1005,MATCH(U164,'Material routes'!$A$6:$A$1005,0)),"MISSING ID")</x:f>
        <x:v>Resources</x:v>
      </x:c>
      <x:c r="E164" s="4" t="str">
        <x:f>IFERROR(INDEX('Material routes'!$C$6:$C$1005,MATCH(U164,'Material routes'!$A$6:$A$1005,0)),"MISSING ID")</x:f>
        <x:v>Ingredient candidate</x:v>
      </x:c>
      <x:c r="F164" s="4" t="str">
        <x:f>IFERROR(INDEX('Material routes'!$E$6:$E$1005,MATCH(V164,'Material routes'!$A$6:$A$1005,0)),"MISSING ID")</x:f>
        <x:v>Aligned optical subassembly</x:v>
      </x:c>
      <x:c r="G164" s="4" t="str">
        <x:f>IFERROR(INDEX('Material routes'!$F$6:$F$1005,MATCH(V164,'Material routes'!$A$6:$A$1005,0)),"MISSING ID")</x:f>
        <x:v>T4</x:v>
      </x:c>
      <x:c r="H164" s="4" t="str">
        <x:f>IFERROR(INDEX('Material routes'!$H$6:$H$1005,MATCH(V164,'Material routes'!$A$6:$A$1005,0)),"MISSING ID")</x:f>
        <x:v>Crafting component</x:v>
      </x:c>
      <x:c r="I164" s="4" t="str">
        <x:f>IFERROR(INDEX('Material routes'!$G$6:$G$1005,MATCH(V164,'Material routes'!$A$6:$A$1005,0)),"MISSING ID")</x:f>
        <x:v>Crafting components</x:v>
      </x:c>
      <x:c r="J164" s="4" t="str">
        <x:f>IFERROR(INDEX('Material routes'!$B$6:$B$1005,MATCH(U164,'Material routes'!$A$6:$A$1005,0)),"MISSING ID")</x:f>
        <x:v>design.branch.branch.optical_module</x:v>
      </x:c>
      <x:c r="K164" s="4" t="str">
        <x:f>IFERROR(INDEX('Crafting recipes'!$C$6:$C$1005,MATCH(J164,'Crafting recipes'!$A$6:$A$1005,0)),"MISSING ID")</x:f>
        <x:v>Material refinement</x:v>
      </x:c>
      <x:c r="L164" s="4" t="str">
        <x:f>IFERROR(INDEX('Material routes'!$K$6:$K$1005,MATCH(U164,'Material routes'!$A$6:$A$1005,0)),"MISSING ID")</x:f>
        <x:v>Proposal</x:v>
      </x:c>
      <x:c r="M164" s="4" t="str">
        <x:f>IFERROR(INDEX('Material routes'!$M$6:$M$1005,MATCH(U164,'Material routes'!$A$6:$A$1005,0)),"MISSING ID")</x:f>
        <x:v>Partial proposal</x:v>
      </x:c>
      <x:c r="N164" s="4" t="str">
        <x:f>IF(IFERROR(INDEX('Material routes'!$I$6:$I$1005,MATCH(U164,'Material routes'!$A$6:$A$1005,0)),"MISSING ID")=0,"",IFERROR(INDEX('Material routes'!$I$6:$I$1005,MATCH(U164,'Material routes'!$A$6:$A$1005,0)),"MISSING ID"))</x:f>
      </x:c>
      <x:c r="O164" s="4" t="str">
        <x:f>IFERROR(INDEX('Material routes'!$J$6:$J$1005,MATCH(U164,'Material routes'!$A$6:$A$1005,0)),"MISSING ID")</x:f>
        <x:v>Unspecified</x:v>
      </x:c>
      <x:c r="P164" s="4" t="str">
        <x:f>IF(IFERROR(INDEX('Material routes'!$I$6:$I$1005,MATCH(V164,'Material routes'!$A$6:$A$1005,0)),"MISSING ID")=0,"",IFERROR(INDEX('Material routes'!$I$6:$I$1005,MATCH(V164,'Material routes'!$A$6:$A$1005,0)),"MISSING ID"))</x:f>
      </x:c>
      <x:c r="Q164" s="4" t="str">
        <x:f>IFERROR(INDEX('Material routes'!$J$6:$J$1005,MATCH(V164,'Material routes'!$A$6:$A$1005,0)),"MISSING ID")</x:f>
        <x:v>Unspecified</x:v>
      </x:c>
      <x:c r="R164" s="4" t="str">
        <x:f>IF(L164="Withheld","Withheld premise",IF(E164="Tool candidate","Reusable prerequisite",IF(K164="Raw entry preparation","Entry-resource preparation",IF(G164="Not applicable","Finished endpoint",IF(OR(IFERROR(INDEX('Crafting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routes'!$D$6:$D$1005,MATCH(U164,'Material routes'!$A$6:$A$1005,0)),"MISSING ID")</x:f>
        <x:v>author.metallurgy.steel_stock</x:v>
      </x:c>
      <x:c r="T164" s="4" t="str">
        <x:f>IFERROR(INDEX('Material routes'!$D$6:$D$1005,MATCH(V164,'Material routes'!$A$6:$A$1005,0)),"MISSING ID")</x:f>
        <x:v>proposal.branch.optical_module</x:v>
      </x:c>
      <x:c r="U164" s="4" t="str">
        <x:v>design.branch.branch.optical_module.in.3</x:v>
      </x:c>
      <x:c r="V164" s="4" t="str">
        <x:v>design.branch.branch.optical_module.out</x:v>
      </x:c>
    </x:row>
    <x:row r="165" ht="105" customHeight="1">
      <x:c r="A165" s="4" t="str">
        <x:f>IFERROR(INDEX('Material routes'!$E$6:$E$1005,MATCH(U165,'Material routes'!$A$6:$A$1005,0)),"MISSING ID")</x:f>
        <x:v>Layered husk composite stock</x:v>
      </x:c>
      <x:c r="B165" s="4" t="str">
        <x:f>IFERROR(INDEX('Material routes'!$F$6:$F$1005,MATCH(U165,'Material routes'!$A$6:$A$1005,0)),"MISSING ID")</x:f>
        <x:v>T3</x:v>
      </x:c>
      <x:c r="C165" s="4" t="str">
        <x:f>IFERROR(INDEX('Material routes'!$H$6:$H$1005,MATCH(U165,'Material routes'!$A$6:$A$1005,0)),"MISSING ID")</x:f>
        <x:v>Processed material</x:v>
      </x:c>
      <x:c r="D165" s="4" t="str">
        <x:f>IFERROR(INDEX('Material routes'!$G$6:$G$1005,MATCH(U165,'Material routes'!$A$6:$A$1005,0)),"MISSING ID")</x:f>
        <x:v>Resources</x:v>
      </x:c>
      <x:c r="E165" s="4" t="str">
        <x:f>IFERROR(INDEX('Material routes'!$C$6:$C$1005,MATCH(U165,'Material routes'!$A$6:$A$1005,0)),"MISSING ID")</x:f>
        <x:v>Ingredient candidate</x:v>
      </x:c>
      <x:c r="F165" s="4" t="str">
        <x:f>IFERROR(INDEX('Material routes'!$E$6:$E$1005,MATCH(V165,'Material routes'!$A$6:$A$1005,0)),"MISSING ID")</x:f>
        <x:v>Sealed composite casing stock</x:v>
      </x:c>
      <x:c r="G165" s="4" t="str">
        <x:f>IFERROR(INDEX('Material routes'!$F$6:$F$1005,MATCH(V165,'Material routes'!$A$6:$A$1005,0)),"MISSING ID")</x:f>
        <x:v>T4</x:v>
      </x:c>
      <x:c r="H165" s="4" t="str">
        <x:f>IFERROR(INDEX('Material routes'!$H$6:$H$1005,MATCH(V165,'Material routes'!$A$6:$A$1005,0)),"MISSING ID")</x:f>
        <x:v>Processed material</x:v>
      </x:c>
      <x:c r="I165" s="4" t="str">
        <x:f>IFERROR(INDEX('Material routes'!$G$6:$G$1005,MATCH(V165,'Material routes'!$A$6:$A$1005,0)),"MISSING ID")</x:f>
        <x:v>Resources</x:v>
      </x:c>
      <x:c r="J165" s="4" t="str">
        <x:f>IFERROR(INDEX('Material routes'!$B$6:$B$1005,MATCH(U165,'Material routes'!$A$6:$A$1005,0)),"MISSING ID")</x:f>
        <x:v>design.branch.branch.sealed_casing</x:v>
      </x:c>
      <x:c r="K165" s="4" t="str">
        <x:f>IFERROR(INDEX('Crafting recipes'!$C$6:$C$1005,MATCH(J165,'Crafting recipes'!$A$6:$A$1005,0)),"MISSING ID")</x:f>
        <x:v>Material refinement</x:v>
      </x:c>
      <x:c r="L165" s="4" t="str">
        <x:f>IFERROR(INDEX('Material routes'!$K$6:$K$1005,MATCH(U165,'Material routes'!$A$6:$A$1005,0)),"MISSING ID")</x:f>
        <x:v>Proposal</x:v>
      </x:c>
      <x:c r="M165" s="4" t="str">
        <x:f>IFERROR(INDEX('Material routes'!$M$6:$M$1005,MATCH(U165,'Material routes'!$A$6:$A$1005,0)),"MISSING ID")</x:f>
        <x:v>Partial proposal</x:v>
      </x:c>
      <x:c r="N165" s="4" t="str">
        <x:f>IF(IFERROR(INDEX('Material routes'!$I$6:$I$1005,MATCH(U165,'Material routes'!$A$6:$A$1005,0)),"MISSING ID")=0,"",IFERROR(INDEX('Material routes'!$I$6:$I$1005,MATCH(U165,'Material routes'!$A$6:$A$1005,0)),"MISSING ID"))</x:f>
      </x:c>
      <x:c r="O165" s="4" t="str">
        <x:f>IFERROR(INDEX('Material routes'!$J$6:$J$1005,MATCH(U165,'Material routes'!$A$6:$A$1005,0)),"MISSING ID")</x:f>
        <x:v>Unspecified</x:v>
      </x:c>
      <x:c r="P165" s="4" t="str">
        <x:f>IF(IFERROR(INDEX('Material routes'!$I$6:$I$1005,MATCH(V165,'Material routes'!$A$6:$A$1005,0)),"MISSING ID")=0,"",IFERROR(INDEX('Material routes'!$I$6:$I$1005,MATCH(V165,'Material routes'!$A$6:$A$1005,0)),"MISSING ID"))</x:f>
      </x:c>
      <x:c r="Q165" s="4" t="str">
        <x:f>IFERROR(INDEX('Material routes'!$J$6:$J$1005,MATCH(V165,'Material routes'!$A$6:$A$1005,0)),"MISSING ID")</x:f>
        <x:v>Unspecified</x:v>
      </x:c>
      <x:c r="R165" s="4" t="str">
        <x:f>IF(L165="Withheld","Withheld premise",IF(E165="Tool candidate","Reusable prerequisite",IF(K165="Raw entry preparation","Entry-resource preparation",IF(G165="Not applicable","Finished endpoint",IF(OR(IFERROR(INDEX('Crafting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routes'!$D$6:$D$1005,MATCH(U165,'Material routes'!$A$6:$A$1005,0)),"MISSING ID")</x:f>
        <x:v>proposal.branch.husk_composite</x:v>
      </x:c>
      <x:c r="T165" s="4" t="str">
        <x:f>IFERROR(INDEX('Material routes'!$D$6:$D$1005,MATCH(V165,'Material routes'!$A$6:$A$1005,0)),"MISSING ID")</x:f>
        <x:v>proposal.branch.sealed_casing</x:v>
      </x:c>
      <x:c r="U165" s="4" t="str">
        <x:v>design.branch.branch.sealed_casing.in.1</x:v>
      </x:c>
      <x:c r="V165" s="4" t="str">
        <x:v>design.branch.branch.sealed_casing.out</x:v>
      </x:c>
    </x:row>
    <x:row r="166" ht="105" customHeight="1">
      <x:c r="A166" s="4" t="str">
        <x:f>IFERROR(INDEX('Material routes'!$E$6:$E$1005,MATCH(U166,'Material routes'!$A$6:$A$1005,0)),"MISSING ID")</x:f>
        <x:v>Reinforced sealing sheet</x:v>
      </x:c>
      <x:c r="B166" s="4" t="str">
        <x:f>IFERROR(INDEX('Material routes'!$F$6:$F$1005,MATCH(U166,'Material routes'!$A$6:$A$1005,0)),"MISSING ID")</x:f>
        <x:v>T3</x:v>
      </x:c>
      <x:c r="C166" s="4" t="str">
        <x:f>IFERROR(INDEX('Material routes'!$H$6:$H$1005,MATCH(U166,'Material routes'!$A$6:$A$1005,0)),"MISSING ID")</x:f>
        <x:v>Processed material</x:v>
      </x:c>
      <x:c r="D166" s="4" t="str">
        <x:f>IFERROR(INDEX('Material routes'!$G$6:$G$1005,MATCH(U166,'Material routes'!$A$6:$A$1005,0)),"MISSING ID")</x:f>
        <x:v>Resources</x:v>
      </x:c>
      <x:c r="E166" s="4" t="str">
        <x:f>IFERROR(INDEX('Material routes'!$C$6:$C$1005,MATCH(U166,'Material routes'!$A$6:$A$1005,0)),"MISSING ID")</x:f>
        <x:v>Ingredient candidate</x:v>
      </x:c>
      <x:c r="F166" s="4" t="str">
        <x:f>IFERROR(INDEX('Material routes'!$E$6:$E$1005,MATCH(V166,'Material routes'!$A$6:$A$1005,0)),"MISSING ID")</x:f>
        <x:v>Sealed composite casing stock</x:v>
      </x:c>
      <x:c r="G166" s="4" t="str">
        <x:f>IFERROR(INDEX('Material routes'!$F$6:$F$1005,MATCH(V166,'Material routes'!$A$6:$A$1005,0)),"MISSING ID")</x:f>
        <x:v>T4</x:v>
      </x:c>
      <x:c r="H166" s="4" t="str">
        <x:f>IFERROR(INDEX('Material routes'!$H$6:$H$1005,MATCH(V166,'Material routes'!$A$6:$A$1005,0)),"MISSING ID")</x:f>
        <x:v>Processed material</x:v>
      </x:c>
      <x:c r="I166" s="4" t="str">
        <x:f>IFERROR(INDEX('Material routes'!$G$6:$G$1005,MATCH(V166,'Material routes'!$A$6:$A$1005,0)),"MISSING ID")</x:f>
        <x:v>Resources</x:v>
      </x:c>
      <x:c r="J166" s="4" t="str">
        <x:f>IFERROR(INDEX('Material routes'!$B$6:$B$1005,MATCH(U166,'Material routes'!$A$6:$A$1005,0)),"MISSING ID")</x:f>
        <x:v>design.branch.branch.sealed_casing</x:v>
      </x:c>
      <x:c r="K166" s="4" t="str">
        <x:f>IFERROR(INDEX('Crafting recipes'!$C$6:$C$1005,MATCH(J166,'Crafting recipes'!$A$6:$A$1005,0)),"MISSING ID")</x:f>
        <x:v>Material refinement</x:v>
      </x:c>
      <x:c r="L166" s="4" t="str">
        <x:f>IFERROR(INDEX('Material routes'!$K$6:$K$1005,MATCH(U166,'Material routes'!$A$6:$A$1005,0)),"MISSING ID")</x:f>
        <x:v>Proposal</x:v>
      </x:c>
      <x:c r="M166" s="4" t="str">
        <x:f>IFERROR(INDEX('Material routes'!$M$6:$M$1005,MATCH(U166,'Material routes'!$A$6:$A$1005,0)),"MISSING ID")</x:f>
        <x:v>Partial proposal</x:v>
      </x:c>
      <x:c r="N166" s="4" t="str">
        <x:f>IF(IFERROR(INDEX('Material routes'!$I$6:$I$1005,MATCH(U166,'Material routes'!$A$6:$A$1005,0)),"MISSING ID")=0,"",IFERROR(INDEX('Material routes'!$I$6:$I$1005,MATCH(U166,'Material routes'!$A$6:$A$1005,0)),"MISSING ID"))</x:f>
      </x:c>
      <x:c r="O166" s="4" t="str">
        <x:f>IFERROR(INDEX('Material routes'!$J$6:$J$1005,MATCH(U166,'Material routes'!$A$6:$A$1005,0)),"MISSING ID")</x:f>
        <x:v>Unspecified</x:v>
      </x:c>
      <x:c r="P166" s="4" t="str">
        <x:f>IF(IFERROR(INDEX('Material routes'!$I$6:$I$1005,MATCH(V166,'Material routes'!$A$6:$A$1005,0)),"MISSING ID")=0,"",IFERROR(INDEX('Material routes'!$I$6:$I$1005,MATCH(V166,'Material routes'!$A$6:$A$1005,0)),"MISSING ID"))</x:f>
      </x:c>
      <x:c r="Q166" s="4" t="str">
        <x:f>IFERROR(INDEX('Material routes'!$J$6:$J$1005,MATCH(V166,'Material routes'!$A$6:$A$1005,0)),"MISSING ID")</x:f>
        <x:v>Unspecified</x:v>
      </x:c>
      <x:c r="R166" s="4" t="str">
        <x:f>IF(L166="Withheld","Withheld premise",IF(E166="Tool candidate","Reusable prerequisite",IF(K166="Raw entry preparation","Entry-resource preparation",IF(G166="Not applicable","Finished endpoint",IF(OR(IFERROR(INDEX('Crafting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routes'!$D$6:$D$1005,MATCH(U166,'Material routes'!$A$6:$A$1005,0)),"MISSING ID")</x:f>
        <x:v>proposal.branch.sealing_sheet</x:v>
      </x:c>
      <x:c r="T166" s="4" t="str">
        <x:f>IFERROR(INDEX('Material routes'!$D$6:$D$1005,MATCH(V166,'Material routes'!$A$6:$A$1005,0)),"MISSING ID")</x:f>
        <x:v>proposal.branch.sealed_casing</x:v>
      </x:c>
      <x:c r="U166" s="4" t="str">
        <x:v>design.branch.branch.sealed_casing.in.2</x:v>
      </x:c>
      <x:c r="V166" s="4" t="str">
        <x:v>design.branch.branch.sealed_casing.out</x:v>
      </x:c>
    </x:row>
    <x:row r="167" ht="105" customHeight="1">
      <x:c r="A167" s="4" t="str">
        <x:f>IFERROR(INDEX('Material routes'!$E$6:$E$1005,MATCH(U167,'Material routes'!$A$6:$A$1005,0)),"MISSING ID")</x:f>
        <x:v>Spring-grade steel stock</x:v>
      </x:c>
      <x:c r="B167" s="4" t="str">
        <x:f>IFERROR(INDEX('Material routes'!$F$6:$F$1005,MATCH(U167,'Material routes'!$A$6:$A$1005,0)),"MISSING ID")</x:f>
        <x:v>T3</x:v>
      </x:c>
      <x:c r="C167" s="4" t="str">
        <x:f>IFERROR(INDEX('Material routes'!$H$6:$H$1005,MATCH(U167,'Material routes'!$A$6:$A$1005,0)),"MISSING ID")</x:f>
        <x:v>Processed material</x:v>
      </x:c>
      <x:c r="D167" s="4" t="str">
        <x:f>IFERROR(INDEX('Material routes'!$G$6:$G$1005,MATCH(U167,'Material routes'!$A$6:$A$1005,0)),"MISSING ID")</x:f>
        <x:v>Resources</x:v>
      </x:c>
      <x:c r="E167" s="4" t="str">
        <x:f>IFERROR(INDEX('Material routes'!$C$6:$C$1005,MATCH(U167,'Material routes'!$A$6:$A$1005,0)),"MISSING ID")</x:f>
        <x:v>Ingredient candidate</x:v>
      </x:c>
      <x:c r="F167" s="4" t="str">
        <x:f>IFERROR(INDEX('Material routes'!$E$6:$E$1005,MATCH(V167,'Material routes'!$A$6:$A$1005,0)),"MISSING ID")</x:f>
        <x:v>Preloaded spring subassembly</x:v>
      </x:c>
      <x:c r="G167" s="4" t="str">
        <x:f>IFERROR(INDEX('Material routes'!$F$6:$F$1005,MATCH(V167,'Material routes'!$A$6:$A$1005,0)),"MISSING ID")</x:f>
        <x:v>T4</x:v>
      </x:c>
      <x:c r="H167" s="4" t="str">
        <x:f>IFERROR(INDEX('Material routes'!$H$6:$H$1005,MATCH(V167,'Material routes'!$A$6:$A$1005,0)),"MISSING ID")</x:f>
        <x:v>Crafting component</x:v>
      </x:c>
      <x:c r="I167" s="4" t="str">
        <x:f>IFERROR(INDEX('Material routes'!$G$6:$G$1005,MATCH(V167,'Material routes'!$A$6:$A$1005,0)),"MISSING ID")</x:f>
        <x:v>Crafting components</x:v>
      </x:c>
      <x:c r="J167" s="4" t="str">
        <x:f>IFERROR(INDEX('Material routes'!$B$6:$B$1005,MATCH(U167,'Material routes'!$A$6:$A$1005,0)),"MISSING ID")</x:f>
        <x:v>design.branch.branch.spring_pack</x:v>
      </x:c>
      <x:c r="K167" s="4" t="str">
        <x:f>IFERROR(INDEX('Crafting recipes'!$C$6:$C$1005,MATCH(J167,'Crafting recipes'!$A$6:$A$1005,0)),"MISSING ID")</x:f>
        <x:v>Material refinement</x:v>
      </x:c>
      <x:c r="L167" s="4" t="str">
        <x:f>IFERROR(INDEX('Material routes'!$K$6:$K$1005,MATCH(U167,'Material routes'!$A$6:$A$1005,0)),"MISSING ID")</x:f>
        <x:v>Proposal</x:v>
      </x:c>
      <x:c r="M167" s="4" t="str">
        <x:f>IFERROR(INDEX('Material routes'!$M$6:$M$1005,MATCH(U167,'Material routes'!$A$6:$A$1005,0)),"MISSING ID")</x:f>
        <x:v>Partial proposal</x:v>
      </x:c>
      <x:c r="N167" s="4" t="str">
        <x:f>IF(IFERROR(INDEX('Material routes'!$I$6:$I$1005,MATCH(U167,'Material routes'!$A$6:$A$1005,0)),"MISSING ID")=0,"",IFERROR(INDEX('Material routes'!$I$6:$I$1005,MATCH(U167,'Material routes'!$A$6:$A$1005,0)),"MISSING ID"))</x:f>
      </x:c>
      <x:c r="O167" s="4" t="str">
        <x:f>IFERROR(INDEX('Material routes'!$J$6:$J$1005,MATCH(U167,'Material routes'!$A$6:$A$1005,0)),"MISSING ID")</x:f>
        <x:v>Unspecified</x:v>
      </x:c>
      <x:c r="P167" s="4" t="str">
        <x:f>IF(IFERROR(INDEX('Material routes'!$I$6:$I$1005,MATCH(V167,'Material routes'!$A$6:$A$1005,0)),"MISSING ID")=0,"",IFERROR(INDEX('Material routes'!$I$6:$I$1005,MATCH(V167,'Material routes'!$A$6:$A$1005,0)),"MISSING ID"))</x:f>
      </x:c>
      <x:c r="Q167" s="4" t="str">
        <x:f>IFERROR(INDEX('Material routes'!$J$6:$J$1005,MATCH(V167,'Material routes'!$A$6:$A$1005,0)),"MISSING ID")</x:f>
        <x:v>Unspecified</x:v>
      </x:c>
      <x:c r="R167" s="4" t="str">
        <x:f>IF(L167="Withheld","Withheld premise",IF(E167="Tool candidate","Reusable prerequisite",IF(K167="Raw entry preparation","Entry-resource preparation",IF(G167="Not applicable","Finished endpoint",IF(OR(IFERROR(INDEX('Crafting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routes'!$D$6:$D$1005,MATCH(U167,'Material routes'!$A$6:$A$1005,0)),"MISSING ID")</x:f>
        <x:v>proposal.branch.spring_steel</x:v>
      </x:c>
      <x:c r="T167" s="4" t="str">
        <x:f>IFERROR(INDEX('Material routes'!$D$6:$D$1005,MATCH(V167,'Material routes'!$A$6:$A$1005,0)),"MISSING ID")</x:f>
        <x:v>proposal.branch.spring_pack</x:v>
      </x:c>
      <x:c r="U167" s="4" t="str">
        <x:v>design.branch.branch.spring_pack.in.1</x:v>
      </x:c>
      <x:c r="V167" s="4" t="str">
        <x:v>design.branch.branch.spring_pack.out</x:v>
      </x:c>
    </x:row>
    <x:row r="168" ht="105" customHeight="1">
      <x:c r="A168" s="4" t="str">
        <x:f>IFERROR(INDEX('Material routes'!$E$6:$E$1005,MATCH(U168,'Material routes'!$A$6:$A$1005,0)),"MISSING ID")</x:f>
        <x:v>Steel stock</x:v>
      </x:c>
      <x:c r="B168" s="4" t="str">
        <x:f>IFERROR(INDEX('Material routes'!$F$6:$F$1005,MATCH(U168,'Material routes'!$A$6:$A$1005,0)),"MISSING ID")</x:f>
        <x:v>T2</x:v>
      </x:c>
      <x:c r="C168" s="4" t="str">
        <x:f>IFERROR(INDEX('Material routes'!$H$6:$H$1005,MATCH(U168,'Material routes'!$A$6:$A$1005,0)),"MISSING ID")</x:f>
        <x:v>Processed material</x:v>
      </x:c>
      <x:c r="D168" s="4" t="str">
        <x:f>IFERROR(INDEX('Material routes'!$G$6:$G$1005,MATCH(U168,'Material routes'!$A$6:$A$1005,0)),"MISSING ID")</x:f>
        <x:v>Resources</x:v>
      </x:c>
      <x:c r="E168" s="4" t="str">
        <x:f>IFERROR(INDEX('Material routes'!$C$6:$C$1005,MATCH(U168,'Material routes'!$A$6:$A$1005,0)),"MISSING ID")</x:f>
        <x:v>Ingredient candidate</x:v>
      </x:c>
      <x:c r="F168" s="4" t="str">
        <x:f>IFERROR(INDEX('Material routes'!$E$6:$E$1005,MATCH(V168,'Material routes'!$A$6:$A$1005,0)),"MISSING ID")</x:f>
        <x:v>Preloaded spring subassembly</x:v>
      </x:c>
      <x:c r="G168" s="4" t="str">
        <x:f>IFERROR(INDEX('Material routes'!$F$6:$F$1005,MATCH(V168,'Material routes'!$A$6:$A$1005,0)),"MISSING ID")</x:f>
        <x:v>T4</x:v>
      </x:c>
      <x:c r="H168" s="4" t="str">
        <x:f>IFERROR(INDEX('Material routes'!$H$6:$H$1005,MATCH(V168,'Material routes'!$A$6:$A$1005,0)),"MISSING ID")</x:f>
        <x:v>Crafting component</x:v>
      </x:c>
      <x:c r="I168" s="4" t="str">
        <x:f>IFERROR(INDEX('Material routes'!$G$6:$G$1005,MATCH(V168,'Material routes'!$A$6:$A$1005,0)),"MISSING ID")</x:f>
        <x:v>Crafting components</x:v>
      </x:c>
      <x:c r="J168" s="4" t="str">
        <x:f>IFERROR(INDEX('Material routes'!$B$6:$B$1005,MATCH(U168,'Material routes'!$A$6:$A$1005,0)),"MISSING ID")</x:f>
        <x:v>design.branch.branch.spring_pack</x:v>
      </x:c>
      <x:c r="K168" s="4" t="str">
        <x:f>IFERROR(INDEX('Crafting recipes'!$C$6:$C$1005,MATCH(J168,'Crafting recipes'!$A$6:$A$1005,0)),"MISSING ID")</x:f>
        <x:v>Material refinement</x:v>
      </x:c>
      <x:c r="L168" s="4" t="str">
        <x:f>IFERROR(INDEX('Material routes'!$K$6:$K$1005,MATCH(U168,'Material routes'!$A$6:$A$1005,0)),"MISSING ID")</x:f>
        <x:v>Proposal</x:v>
      </x:c>
      <x:c r="M168" s="4" t="str">
        <x:f>IFERROR(INDEX('Material routes'!$M$6:$M$1005,MATCH(U168,'Material routes'!$A$6:$A$1005,0)),"MISSING ID")</x:f>
        <x:v>Partial proposal</x:v>
      </x:c>
      <x:c r="N168" s="4" t="str">
        <x:f>IF(IFERROR(INDEX('Material routes'!$I$6:$I$1005,MATCH(U168,'Material routes'!$A$6:$A$1005,0)),"MISSING ID")=0,"",IFERROR(INDEX('Material routes'!$I$6:$I$1005,MATCH(U168,'Material routes'!$A$6:$A$1005,0)),"MISSING ID"))</x:f>
      </x:c>
      <x:c r="O168" s="4" t="str">
        <x:f>IFERROR(INDEX('Material routes'!$J$6:$J$1005,MATCH(U168,'Material routes'!$A$6:$A$1005,0)),"MISSING ID")</x:f>
        <x:v>Unspecified</x:v>
      </x:c>
      <x:c r="P168" s="4" t="str">
        <x:f>IF(IFERROR(INDEX('Material routes'!$I$6:$I$1005,MATCH(V168,'Material routes'!$A$6:$A$1005,0)),"MISSING ID")=0,"",IFERROR(INDEX('Material routes'!$I$6:$I$1005,MATCH(V168,'Material routes'!$A$6:$A$1005,0)),"MISSING ID"))</x:f>
      </x:c>
      <x:c r="Q168" s="4" t="str">
        <x:f>IFERROR(INDEX('Material routes'!$J$6:$J$1005,MATCH(V168,'Material routes'!$A$6:$A$1005,0)),"MISSING ID")</x:f>
        <x:v>Unspecified</x:v>
      </x:c>
      <x:c r="R168" s="4" t="str">
        <x:f>IF(L168="Withheld","Withheld premise",IF(E168="Tool candidate","Reusable prerequisite",IF(K168="Raw entry preparation","Entry-resource preparation",IF(G168="Not applicable","Finished endpoint",IF(OR(IFERROR(INDEX('Crafting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routes'!$D$6:$D$1005,MATCH(U168,'Material routes'!$A$6:$A$1005,0)),"MISSING ID")</x:f>
        <x:v>author.metallurgy.steel_stock</x:v>
      </x:c>
      <x:c r="T168" s="4" t="str">
        <x:f>IFERROR(INDEX('Material routes'!$D$6:$D$1005,MATCH(V168,'Material routes'!$A$6:$A$1005,0)),"MISSING ID")</x:f>
        <x:v>proposal.branch.spring_pack</x:v>
      </x:c>
      <x:c r="U168" s="4" t="str">
        <x:v>design.branch.branch.spring_pack.in.2</x:v>
      </x:c>
      <x:c r="V168" s="4" t="str">
        <x:v>design.branch.branch.spring_pack.out</x:v>
      </x:c>
    </x:row>
    <x:row r="169" ht="105" customHeight="1">
      <x:c r="A169" s="4" t="str">
        <x:f>IFERROR(INDEX('Material routes'!$E$6:$E$1005,MATCH(U169,'Material routes'!$A$6:$A$1005,0)),"MISSING ID")</x:f>
        <x:v>Fine mechanism oil</x:v>
      </x:c>
      <x:c r="B169" s="4" t="str">
        <x:f>IFERROR(INDEX('Material routes'!$F$6:$F$1005,MATCH(U169,'Material routes'!$A$6:$A$1005,0)),"MISSING ID")</x:f>
        <x:v>T2</x:v>
      </x:c>
      <x:c r="C169" s="4" t="str">
        <x:f>IFERROR(INDEX('Material routes'!$H$6:$H$1005,MATCH(U169,'Material routes'!$A$6:$A$1005,0)),"MISSING ID")</x:f>
        <x:v>Chemical material</x:v>
      </x:c>
      <x:c r="D169" s="4" t="str">
        <x:f>IFERROR(INDEX('Material routes'!$G$6:$G$1005,MATCH(U169,'Material routes'!$A$6:$A$1005,0)),"MISSING ID")</x:f>
        <x:v>Resources</x:v>
      </x:c>
      <x:c r="E169" s="4" t="str">
        <x:f>IFERROR(INDEX('Material routes'!$C$6:$C$1005,MATCH(U169,'Material routes'!$A$6:$A$1005,0)),"MISSING ID")</x:f>
        <x:v>Ingredient candidate</x:v>
      </x:c>
      <x:c r="F169" s="4" t="str">
        <x:f>IFERROR(INDEX('Material routes'!$E$6:$E$1005,MATCH(V169,'Material routes'!$A$6:$A$1005,0)),"MISSING ID")</x:f>
        <x:v>Preloaded spring subassembly</x:v>
      </x:c>
      <x:c r="G169" s="4" t="str">
        <x:f>IFERROR(INDEX('Material routes'!$F$6:$F$1005,MATCH(V169,'Material routes'!$A$6:$A$1005,0)),"MISSING ID")</x:f>
        <x:v>T4</x:v>
      </x:c>
      <x:c r="H169" s="4" t="str">
        <x:f>IFERROR(INDEX('Material routes'!$H$6:$H$1005,MATCH(V169,'Material routes'!$A$6:$A$1005,0)),"MISSING ID")</x:f>
        <x:v>Crafting component</x:v>
      </x:c>
      <x:c r="I169" s="4" t="str">
        <x:f>IFERROR(INDEX('Material routes'!$G$6:$G$1005,MATCH(V169,'Material routes'!$A$6:$A$1005,0)),"MISSING ID")</x:f>
        <x:v>Crafting components</x:v>
      </x:c>
      <x:c r="J169" s="4" t="str">
        <x:f>IFERROR(INDEX('Material routes'!$B$6:$B$1005,MATCH(U169,'Material routes'!$A$6:$A$1005,0)),"MISSING ID")</x:f>
        <x:v>design.branch.branch.spring_pack</x:v>
      </x:c>
      <x:c r="K169" s="4" t="str">
        <x:f>IFERROR(INDEX('Crafting recipes'!$C$6:$C$1005,MATCH(J169,'Crafting recipes'!$A$6:$A$1005,0)),"MISSING ID")</x:f>
        <x:v>Material refinement</x:v>
      </x:c>
      <x:c r="L169" s="4" t="str">
        <x:f>IFERROR(INDEX('Material routes'!$K$6:$K$1005,MATCH(U169,'Material routes'!$A$6:$A$1005,0)),"MISSING ID")</x:f>
        <x:v>Proposal</x:v>
      </x:c>
      <x:c r="M169" s="4" t="str">
        <x:f>IFERROR(INDEX('Material routes'!$M$6:$M$1005,MATCH(U169,'Material routes'!$A$6:$A$1005,0)),"MISSING ID")</x:f>
        <x:v>Partial proposal</x:v>
      </x:c>
      <x:c r="N169" s="4" t="str">
        <x:f>IF(IFERROR(INDEX('Material routes'!$I$6:$I$1005,MATCH(U169,'Material routes'!$A$6:$A$1005,0)),"MISSING ID")=0,"",IFERROR(INDEX('Material routes'!$I$6:$I$1005,MATCH(U169,'Material routes'!$A$6:$A$1005,0)),"MISSING ID"))</x:f>
      </x:c>
      <x:c r="O169" s="4" t="str">
        <x:f>IFERROR(INDEX('Material routes'!$J$6:$J$1005,MATCH(U169,'Material routes'!$A$6:$A$1005,0)),"MISSING ID")</x:f>
        <x:v>Unspecified</x:v>
      </x:c>
      <x:c r="P169" s="4" t="str">
        <x:f>IF(IFERROR(INDEX('Material routes'!$I$6:$I$1005,MATCH(V169,'Material routes'!$A$6:$A$1005,0)),"MISSING ID")=0,"",IFERROR(INDEX('Material routes'!$I$6:$I$1005,MATCH(V169,'Material routes'!$A$6:$A$1005,0)),"MISSING ID"))</x:f>
      </x:c>
      <x:c r="Q169" s="4" t="str">
        <x:f>IFERROR(INDEX('Material routes'!$J$6:$J$1005,MATCH(V169,'Material routes'!$A$6:$A$1005,0)),"MISSING ID")</x:f>
        <x:v>Unspecified</x:v>
      </x:c>
      <x:c r="R169" s="4" t="str">
        <x:f>IF(L169="Withheld","Withheld premise",IF(E169="Tool candidate","Reusable prerequisite",IF(K169="Raw entry preparation","Entry-resource preparation",IF(G169="Not applicable","Finished endpoint",IF(OR(IFERROR(INDEX('Crafting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routes'!$D$6:$D$1005,MATCH(U169,'Material routes'!$A$6:$A$1005,0)),"MISSING ID")</x:f>
        <x:v>proposal.lubricant.precision_oil</x:v>
      </x:c>
      <x:c r="T169" s="4" t="str">
        <x:f>IFERROR(INDEX('Material routes'!$D$6:$D$1005,MATCH(V169,'Material routes'!$A$6:$A$1005,0)),"MISSING ID")</x:f>
        <x:v>proposal.branch.spring_pack</x:v>
      </x:c>
      <x:c r="U169" s="4" t="str">
        <x:v>design.branch.branch.spring_pack.in.3</x:v>
      </x:c>
      <x:c r="V169" s="4" t="str">
        <x:v>design.branch.branch.spring_pack.out</x:v>
      </x:c>
    </x:row>
    <x:row r="170" ht="105" customHeight="1">
      <x:c r="A170" s="4" t="str">
        <x:f>IFERROR(INDEX('Material routes'!$E$6:$E$1005,MATCH(U170,'Material routes'!$A$6:$A$1005,0)),"MISSING ID")</x:f>
        <x:v>Refractory ceramic stock</x:v>
      </x:c>
      <x:c r="B170" s="4" t="str">
        <x:f>IFERROR(INDEX('Material routes'!$F$6:$F$1005,MATCH(U170,'Material routes'!$A$6:$A$1005,0)),"MISSING ID")</x:f>
        <x:v>T2</x:v>
      </x:c>
      <x:c r="C170" s="4" t="str">
        <x:f>IFERROR(INDEX('Material routes'!$H$6:$H$1005,MATCH(U170,'Material routes'!$A$6:$A$1005,0)),"MISSING ID")</x:f>
        <x:v>Processed material</x:v>
      </x:c>
      <x:c r="D170" s="4" t="str">
        <x:f>IFERROR(INDEX('Material routes'!$G$6:$G$1005,MATCH(U170,'Material routes'!$A$6:$A$1005,0)),"MISSING ID")</x:f>
        <x:v>Resources</x:v>
      </x:c>
      <x:c r="E170" s="4" t="str">
        <x:f>IFERROR(INDEX('Material routes'!$C$6:$C$1005,MATCH(U170,'Material routes'!$A$6:$A$1005,0)),"MISSING ID")</x:f>
        <x:v>Ingredient candidate</x:v>
      </x:c>
      <x:c r="F170" s="4" t="str">
        <x:f>IFERROR(INDEX('Material routes'!$E$6:$E$1005,MATCH(V170,'Material routes'!$A$6:$A$1005,0)),"MISSING ID")</x:f>
        <x:v>Ceramic crucible</x:v>
      </x:c>
      <x:c r="G170" s="4" t="str">
        <x:f>IFERROR(INDEX('Material routes'!$F$6:$F$1005,MATCH(V170,'Material routes'!$A$6:$A$1005,0)),"MISSING ID")</x:f>
        <x:v>Not applicable</x:v>
      </x:c>
      <x:c r="H170" s="4" t="str">
        <x:f>IFERROR(INDEX('Material routes'!$H$6:$H$1005,MATCH(V170,'Material routes'!$A$6:$A$1005,0)),"MISSING ID")</x:f>
        <x:v>Tool</x:v>
      </x:c>
      <x:c r="I170" s="4" t="str">
        <x:f>IFERROR(INDEX('Material routes'!$G$6:$G$1005,MATCH(V170,'Material routes'!$A$6:$A$1005,0)),"MISSING ID")</x:f>
        <x:v>Equipment</x:v>
      </x:c>
      <x:c r="J170" s="4" t="str">
        <x:f>IFERROR(INDEX('Material routes'!$B$6:$B$1005,MATCH(U170,'Material routes'!$A$6:$A$1005,0)),"MISSING ID")</x:f>
        <x:v>design.finished.refractory_crucible</x:v>
      </x:c>
      <x:c r="K170" s="4" t="str">
        <x:f>IFERROR(INDEX('Crafting recipes'!$C$6:$C$1005,MATCH(J170,'Crafting recipes'!$A$6:$A$1005,0)),"MISSING ID")</x:f>
        <x:v>Finished-item crafting</x:v>
      </x:c>
      <x:c r="L170" s="4" t="str">
        <x:f>IFERROR(INDEX('Material routes'!$K$6:$K$1005,MATCH(U170,'Material routes'!$A$6:$A$1005,0)),"MISSING ID")</x:f>
        <x:v>Proposal</x:v>
      </x:c>
      <x:c r="M170" s="4" t="str">
        <x:f>IFERROR(INDEX('Material routes'!$M$6:$M$1005,MATCH(U170,'Material routes'!$A$6:$A$1005,0)),"MISSING ID")</x:f>
        <x:v>Partial proposal</x:v>
      </x:c>
      <x:c r="N170" s="4" t="str">
        <x:f>IF(IFERROR(INDEX('Material routes'!$I$6:$I$1005,MATCH(U170,'Material routes'!$A$6:$A$1005,0)),"MISSING ID")=0,"",IFERROR(INDEX('Material routes'!$I$6:$I$1005,MATCH(U170,'Material routes'!$A$6:$A$1005,0)),"MISSING ID"))</x:f>
      </x:c>
      <x:c r="O170" s="4" t="str">
        <x:f>IFERROR(INDEX('Material routes'!$J$6:$J$1005,MATCH(U170,'Material routes'!$A$6:$A$1005,0)),"MISSING ID")</x:f>
        <x:v>Unspecified</x:v>
      </x:c>
      <x:c r="P170" s="4" t="str">
        <x:f>IF(IFERROR(INDEX('Material routes'!$I$6:$I$1005,MATCH(V170,'Material routes'!$A$6:$A$1005,0)),"MISSING ID")=0,"",IFERROR(INDEX('Material routes'!$I$6:$I$1005,MATCH(V170,'Material routes'!$A$6:$A$1005,0)),"MISSING ID"))</x:f>
      </x:c>
      <x:c r="Q170" s="4" t="str">
        <x:f>IFERROR(INDEX('Material routes'!$J$6:$J$1005,MATCH(V170,'Material routes'!$A$6:$A$1005,0)),"MISSING ID")</x:f>
        <x:v>Unspecified</x:v>
      </x:c>
      <x:c r="R170" s="4" t="str">
        <x:f>IF(L170="Withheld","Withheld premise",IF(E170="Tool candidate","Reusable prerequisite",IF(K170="Raw entry preparation","Entry-resource preparation",IF(G170="Not applicable","Finished endpoint",IF(OR(IFERROR(INDEX('Crafting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routes'!$D$6:$D$1005,MATCH(U170,'Material routes'!$A$6:$A$1005,0)),"MISSING ID")</x:f>
        <x:v>proposal.branch.refractory_ceramic</x:v>
      </x:c>
      <x:c r="T170" s="4" t="str">
        <x:f>IFERROR(INDEX('Material routes'!$D$6:$D$1005,MATCH(V170,'Material routes'!$A$6:$A$1005,0)),"MISSING ID")</x:f>
        <x:v>proposal.ceramic.crucible</x:v>
      </x:c>
      <x:c r="U170" s="4" t="str">
        <x:v>design.finished.refractory_crucible.in.1</x:v>
      </x:c>
      <x:c r="V170" s="4" t="str">
        <x:v>design.finished.refractory_crucible.out</x:v>
      </x:c>
    </x:row>
    <x:row r="171" ht="105" customHeight="1">
      <x:c r="A171" s="4" t="str">
        <x:f>IFERROR(INDEX('Material routes'!$E$6:$E$1005,MATCH(U171,'Material routes'!$A$6:$A$1005,0)),"MISSING ID")</x:f>
        <x:v>Mica composite sheet</x:v>
      </x:c>
      <x:c r="B171" s="4" t="str">
        <x:f>IFERROR(INDEX('Material routes'!$F$6:$F$1005,MATCH(U171,'Material routes'!$A$6:$A$1005,0)),"MISSING ID")</x:f>
        <x:v>T2</x:v>
      </x:c>
      <x:c r="C171" s="4" t="str">
        <x:f>IFERROR(INDEX('Material routes'!$H$6:$H$1005,MATCH(U171,'Material routes'!$A$6:$A$1005,0)),"MISSING ID")</x:f>
        <x:v>Processed material</x:v>
      </x:c>
      <x:c r="D171" s="4" t="str">
        <x:f>IFERROR(INDEX('Material routes'!$G$6:$G$1005,MATCH(U171,'Material routes'!$A$6:$A$1005,0)),"MISSING ID")</x:f>
        <x:v>Resources</x:v>
      </x:c>
      <x:c r="E171" s="4" t="str">
        <x:f>IFERROR(INDEX('Material routes'!$C$6:$C$1005,MATCH(U171,'Material routes'!$A$6:$A$1005,0)),"MISSING ID")</x:f>
        <x:v>Ingredient candidate</x:v>
      </x:c>
      <x:c r="F171" s="4" t="str">
        <x:f>IFERROR(INDEX('Material routes'!$E$6:$E$1005,MATCH(V171,'Material routes'!$A$6:$A$1005,0)),"MISSING ID")</x:f>
        <x:v>Electrical insulating gloves</x:v>
      </x:c>
      <x:c r="G171" s="4" t="str">
        <x:f>IFERROR(INDEX('Material routes'!$F$6:$F$1005,MATCH(V171,'Material routes'!$A$6:$A$1005,0)),"MISSING ID")</x:f>
        <x:v>Not applicable</x:v>
      </x:c>
      <x:c r="H171" s="4" t="str">
        <x:f>IFERROR(INDEX('Material routes'!$H$6:$H$1005,MATCH(V171,'Material routes'!$A$6:$A$1005,0)),"MISSING ID")</x:f>
        <x:v>Wearable</x:v>
      </x:c>
      <x:c r="I171" s="4" t="str">
        <x:f>IFERROR(INDEX('Material routes'!$G$6:$G$1005,MATCH(V171,'Material routes'!$A$6:$A$1005,0)),"MISSING ID")</x:f>
        <x:v>Equipment</x:v>
      </x:c>
      <x:c r="J171" s="4" t="str">
        <x:f>IFERROR(INDEX('Material routes'!$B$6:$B$1005,MATCH(U171,'Material routes'!$A$6:$A$1005,0)),"MISSING ID")</x:f>
        <x:v>design.finished.electrical_gloves</x:v>
      </x:c>
      <x:c r="K171" s="4" t="str">
        <x:f>IFERROR(INDEX('Crafting recipes'!$C$6:$C$1005,MATCH(J171,'Crafting recipes'!$A$6:$A$1005,0)),"MISSING ID")</x:f>
        <x:v>Finished-item crafting</x:v>
      </x:c>
      <x:c r="L171" s="4" t="str">
        <x:f>IFERROR(INDEX('Material routes'!$K$6:$K$1005,MATCH(U171,'Material routes'!$A$6:$A$1005,0)),"MISSING ID")</x:f>
        <x:v>Proposal</x:v>
      </x:c>
      <x:c r="M171" s="4" t="str">
        <x:f>IFERROR(INDEX('Material routes'!$M$6:$M$1005,MATCH(U171,'Material routes'!$A$6:$A$1005,0)),"MISSING ID")</x:f>
        <x:v>Partial proposal</x:v>
      </x:c>
      <x:c r="N171" s="4" t="str">
        <x:f>IF(IFERROR(INDEX('Material routes'!$I$6:$I$1005,MATCH(U171,'Material routes'!$A$6:$A$1005,0)),"MISSING ID")=0,"",IFERROR(INDEX('Material routes'!$I$6:$I$1005,MATCH(U171,'Material routes'!$A$6:$A$1005,0)),"MISSING ID"))</x:f>
      </x:c>
      <x:c r="O171" s="4" t="str">
        <x:f>IFERROR(INDEX('Material routes'!$J$6:$J$1005,MATCH(U171,'Material routes'!$A$6:$A$1005,0)),"MISSING ID")</x:f>
        <x:v>Unspecified</x:v>
      </x:c>
      <x:c r="P171" s="4" t="str">
        <x:f>IF(IFERROR(INDEX('Material routes'!$I$6:$I$1005,MATCH(V171,'Material routes'!$A$6:$A$1005,0)),"MISSING ID")=0,"",IFERROR(INDEX('Material routes'!$I$6:$I$1005,MATCH(V171,'Material routes'!$A$6:$A$1005,0)),"MISSING ID"))</x:f>
      </x:c>
      <x:c r="Q171" s="4" t="str">
        <x:f>IFERROR(INDEX('Material routes'!$J$6:$J$1005,MATCH(V171,'Material routes'!$A$6:$A$1005,0)),"MISSING ID")</x:f>
        <x:v>Unspecified</x:v>
      </x:c>
      <x:c r="R171" s="4" t="str">
        <x:f>IF(L171="Withheld","Withheld premise",IF(E171="Tool candidate","Reusable prerequisite",IF(K171="Raw entry preparation","Entry-resource preparation",IF(G171="Not applicable","Finished endpoint",IF(OR(IFERROR(INDEX('Crafting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routes'!$D$6:$D$1005,MATCH(U171,'Material routes'!$A$6:$A$1005,0)),"MISSING ID")</x:f>
        <x:v>proposal.branch.mica_sheet</x:v>
      </x:c>
      <x:c r="T171" s="4" t="str">
        <x:f>IFERROR(INDEX('Material routes'!$D$6:$D$1005,MATCH(V171,'Material routes'!$A$6:$A$1005,0)),"MISSING ID")</x:f>
        <x:v>author.electrical.insulated_gloves</x:v>
      </x:c>
      <x:c r="U171" s="4" t="str">
        <x:v>design.finished.electrical_gloves.in.1</x:v>
      </x:c>
      <x:c r="V171" s="4" t="str">
        <x:v>design.finished.electrical_gloves.out</x:v>
      </x:c>
    </x:row>
    <x:row r="172" ht="105" customHeight="1">
      <x:c r="A172" s="4" t="str">
        <x:f>IFERROR(INDEX('Material routes'!$E$6:$E$1005,MATCH(U172,'Material routes'!$A$6:$A$1005,0)),"MISSING ID")</x:f>
        <x:v>Flexible membrane-bonding compound</x:v>
      </x:c>
      <x:c r="B172" s="4" t="str">
        <x:f>IFERROR(INDEX('Material routes'!$F$6:$F$1005,MATCH(U172,'Material routes'!$A$6:$A$1005,0)),"MISSING ID")</x:f>
        <x:v>T2</x:v>
      </x:c>
      <x:c r="C172" s="4" t="str">
        <x:f>IFERROR(INDEX('Material routes'!$H$6:$H$1005,MATCH(U172,'Material routes'!$A$6:$A$1005,0)),"MISSING ID")</x:f>
        <x:v>Chemical material</x:v>
      </x:c>
      <x:c r="D172" s="4" t="str">
        <x:f>IFERROR(INDEX('Material routes'!$G$6:$G$1005,MATCH(U172,'Material routes'!$A$6:$A$1005,0)),"MISSING ID")</x:f>
        <x:v>Resources</x:v>
      </x:c>
      <x:c r="E172" s="4" t="str">
        <x:f>IFERROR(INDEX('Material routes'!$C$6:$C$1005,MATCH(U172,'Material routes'!$A$6:$A$1005,0)),"MISSING ID")</x:f>
        <x:v>Ingredient candidate</x:v>
      </x:c>
      <x:c r="F172" s="4" t="str">
        <x:f>IFERROR(INDEX('Material routes'!$E$6:$E$1005,MATCH(V172,'Material routes'!$A$6:$A$1005,0)),"MISSING ID")</x:f>
        <x:v>Electrical insulating gloves</x:v>
      </x:c>
      <x:c r="G172" s="4" t="str">
        <x:f>IFERROR(INDEX('Material routes'!$F$6:$F$1005,MATCH(V172,'Material routes'!$A$6:$A$1005,0)),"MISSING ID")</x:f>
        <x:v>Not applicable</x:v>
      </x:c>
      <x:c r="H172" s="4" t="str">
        <x:f>IFERROR(INDEX('Material routes'!$H$6:$H$1005,MATCH(V172,'Material routes'!$A$6:$A$1005,0)),"MISSING ID")</x:f>
        <x:v>Wearable</x:v>
      </x:c>
      <x:c r="I172" s="4" t="str">
        <x:f>IFERROR(INDEX('Material routes'!$G$6:$G$1005,MATCH(V172,'Material routes'!$A$6:$A$1005,0)),"MISSING ID")</x:f>
        <x:v>Equipment</x:v>
      </x:c>
      <x:c r="J172" s="4" t="str">
        <x:f>IFERROR(INDEX('Material routes'!$B$6:$B$1005,MATCH(U172,'Material routes'!$A$6:$A$1005,0)),"MISSING ID")</x:f>
        <x:v>design.finished.electrical_gloves</x:v>
      </x:c>
      <x:c r="K172" s="4" t="str">
        <x:f>IFERROR(INDEX('Crafting recipes'!$C$6:$C$1005,MATCH(J172,'Crafting recipes'!$A$6:$A$1005,0)),"MISSING ID")</x:f>
        <x:v>Finished-item crafting</x:v>
      </x:c>
      <x:c r="L172" s="4" t="str">
        <x:f>IFERROR(INDEX('Material routes'!$K$6:$K$1005,MATCH(U172,'Material routes'!$A$6:$A$1005,0)),"MISSING ID")</x:f>
        <x:v>Proposal</x:v>
      </x:c>
      <x:c r="M172" s="4" t="str">
        <x:f>IFERROR(INDEX('Material routes'!$M$6:$M$1005,MATCH(U172,'Material routes'!$A$6:$A$1005,0)),"MISSING ID")</x:f>
        <x:v>Partial proposal</x:v>
      </x:c>
      <x:c r="N172" s="4" t="str">
        <x:f>IF(IFERROR(INDEX('Material routes'!$I$6:$I$1005,MATCH(U172,'Material routes'!$A$6:$A$1005,0)),"MISSING ID")=0,"",IFERROR(INDEX('Material routes'!$I$6:$I$1005,MATCH(U172,'Material routes'!$A$6:$A$1005,0)),"MISSING ID"))</x:f>
      </x:c>
      <x:c r="O172" s="4" t="str">
        <x:f>IFERROR(INDEX('Material routes'!$J$6:$J$1005,MATCH(U172,'Material routes'!$A$6:$A$1005,0)),"MISSING ID")</x:f>
        <x:v>Unspecified</x:v>
      </x:c>
      <x:c r="P172" s="4" t="str">
        <x:f>IF(IFERROR(INDEX('Material routes'!$I$6:$I$1005,MATCH(V172,'Material routes'!$A$6:$A$1005,0)),"MISSING ID")=0,"",IFERROR(INDEX('Material routes'!$I$6:$I$1005,MATCH(V172,'Material routes'!$A$6:$A$1005,0)),"MISSING ID"))</x:f>
      </x:c>
      <x:c r="Q172" s="4" t="str">
        <x:f>IFERROR(INDEX('Material routes'!$J$6:$J$1005,MATCH(V172,'Material routes'!$A$6:$A$1005,0)),"MISSING ID")</x:f>
        <x:v>Unspecified</x:v>
      </x:c>
      <x:c r="R172" s="4" t="str">
        <x:f>IF(L172="Withheld","Withheld premise",IF(E172="Tool candidate","Reusable prerequisite",IF(K172="Raw entry preparation","Entry-resource preparation",IF(G172="Not applicable","Finished endpoint",IF(OR(IFERROR(INDEX('Crafting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routes'!$D$6:$D$1005,MATCH(U172,'Material routes'!$A$6:$A$1005,0)),"MISSING ID")</x:f>
        <x:v>proposal.branch.flex_bond</x:v>
      </x:c>
      <x:c r="T172" s="4" t="str">
        <x:f>IFERROR(INDEX('Material routes'!$D$6:$D$1005,MATCH(V172,'Material routes'!$A$6:$A$1005,0)),"MISSING ID")</x:f>
        <x:v>author.electrical.insulated_gloves</x:v>
      </x:c>
      <x:c r="U172" s="4" t="str">
        <x:v>design.finished.electrical_gloves.in.2</x:v>
      </x:c>
      <x:c r="V172" s="4" t="str">
        <x:v>design.finished.electrical_gloves.out</x:v>
      </x:c>
    </x:row>
    <x:row r="173" ht="105" customHeight="1">
      <x:c r="A173" s="4" t="str">
        <x:f>IFERROR(INDEX('Material routes'!$E$6:$E$1005,MATCH(U173,'Material routes'!$A$6:$A$1005,0)),"MISSING ID")</x:f>
        <x:v>Bonded husk sheet</x:v>
      </x:c>
      <x:c r="B173" s="4" t="str">
        <x:f>IFERROR(INDEX('Material routes'!$F$6:$F$1005,MATCH(U173,'Material routes'!$A$6:$A$1005,0)),"MISSING ID")</x:f>
        <x:v>T2</x:v>
      </x:c>
      <x:c r="C173" s="4" t="str">
        <x:f>IFERROR(INDEX('Material routes'!$H$6:$H$1005,MATCH(U173,'Material routes'!$A$6:$A$1005,0)),"MISSING ID")</x:f>
        <x:v>Processed material</x:v>
      </x:c>
      <x:c r="D173" s="4" t="str">
        <x:f>IFERROR(INDEX('Material routes'!$G$6:$G$1005,MATCH(U173,'Material routes'!$A$6:$A$1005,0)),"MISSING ID")</x:f>
        <x:v>Resources</x:v>
      </x:c>
      <x:c r="E173" s="4" t="str">
        <x:f>IFERROR(INDEX('Material routes'!$C$6:$C$1005,MATCH(U173,'Material routes'!$A$6:$A$1005,0)),"MISSING ID")</x:f>
        <x:v>Ingredient candidate</x:v>
      </x:c>
      <x:c r="F173" s="4" t="str">
        <x:f>IFERROR(INDEX('Material routes'!$E$6:$E$1005,MATCH(V173,'Material routes'!$A$6:$A$1005,0)),"MISSING ID")</x:f>
        <x:v>Electrical insulating gloves</x:v>
      </x:c>
      <x:c r="G173" s="4" t="str">
        <x:f>IFERROR(INDEX('Material routes'!$F$6:$F$1005,MATCH(V173,'Material routes'!$A$6:$A$1005,0)),"MISSING ID")</x:f>
        <x:v>Not applicable</x:v>
      </x:c>
      <x:c r="H173" s="4" t="str">
        <x:f>IFERROR(INDEX('Material routes'!$H$6:$H$1005,MATCH(V173,'Material routes'!$A$6:$A$1005,0)),"MISSING ID")</x:f>
        <x:v>Wearable</x:v>
      </x:c>
      <x:c r="I173" s="4" t="str">
        <x:f>IFERROR(INDEX('Material routes'!$G$6:$G$1005,MATCH(V173,'Material routes'!$A$6:$A$1005,0)),"MISSING ID")</x:f>
        <x:v>Equipment</x:v>
      </x:c>
      <x:c r="J173" s="4" t="str">
        <x:f>IFERROR(INDEX('Material routes'!$B$6:$B$1005,MATCH(U173,'Material routes'!$A$6:$A$1005,0)),"MISSING ID")</x:f>
        <x:v>design.finished.electrical_gloves</x:v>
      </x:c>
      <x:c r="K173" s="4" t="str">
        <x:f>IFERROR(INDEX('Crafting recipes'!$C$6:$C$1005,MATCH(J173,'Crafting recipes'!$A$6:$A$1005,0)),"MISSING ID")</x:f>
        <x:v>Finished-item crafting</x:v>
      </x:c>
      <x:c r="L173" s="4" t="str">
        <x:f>IFERROR(INDEX('Material routes'!$K$6:$K$1005,MATCH(U173,'Material routes'!$A$6:$A$1005,0)),"MISSING ID")</x:f>
        <x:v>Proposal</x:v>
      </x:c>
      <x:c r="M173" s="4" t="str">
        <x:f>IFERROR(INDEX('Material routes'!$M$6:$M$1005,MATCH(U173,'Material routes'!$A$6:$A$1005,0)),"MISSING ID")</x:f>
        <x:v>Partial proposal</x:v>
      </x:c>
      <x:c r="N173" s="4" t="str">
        <x:f>IF(IFERROR(INDEX('Material routes'!$I$6:$I$1005,MATCH(U173,'Material routes'!$A$6:$A$1005,0)),"MISSING ID")=0,"",IFERROR(INDEX('Material routes'!$I$6:$I$1005,MATCH(U173,'Material routes'!$A$6:$A$1005,0)),"MISSING ID"))</x:f>
      </x:c>
      <x:c r="O173" s="4" t="str">
        <x:f>IFERROR(INDEX('Material routes'!$J$6:$J$1005,MATCH(U173,'Material routes'!$A$6:$A$1005,0)),"MISSING ID")</x:f>
        <x:v>Unspecified</x:v>
      </x:c>
      <x:c r="P173" s="4" t="str">
        <x:f>IF(IFERROR(INDEX('Material routes'!$I$6:$I$1005,MATCH(V173,'Material routes'!$A$6:$A$1005,0)),"MISSING ID")=0,"",IFERROR(INDEX('Material routes'!$I$6:$I$1005,MATCH(V173,'Material routes'!$A$6:$A$1005,0)),"MISSING ID"))</x:f>
      </x:c>
      <x:c r="Q173" s="4" t="str">
        <x:f>IFERROR(INDEX('Material routes'!$J$6:$J$1005,MATCH(V173,'Material routes'!$A$6:$A$1005,0)),"MISSING ID")</x:f>
        <x:v>Unspecified</x:v>
      </x:c>
      <x:c r="R173" s="4" t="str">
        <x:f>IF(L173="Withheld","Withheld premise",IF(E173="Tool candidate","Reusable prerequisite",IF(K173="Raw entry preparation","Entry-resource preparation",IF(G173="Not applicable","Finished endpoint",IF(OR(IFERROR(INDEX('Crafting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routes'!$D$6:$D$1005,MATCH(U173,'Material routes'!$A$6:$A$1005,0)),"MISSING ID")</x:f>
        <x:v>proposal.branch.husk_sheet</x:v>
      </x:c>
      <x:c r="T173" s="4" t="str">
        <x:f>IFERROR(INDEX('Material routes'!$D$6:$D$1005,MATCH(V173,'Material routes'!$A$6:$A$1005,0)),"MISSING ID")</x:f>
        <x:v>author.electrical.insulated_gloves</x:v>
      </x:c>
      <x:c r="U173" s="4" t="str">
        <x:v>design.finished.electrical_gloves.in.3</x:v>
      </x:c>
      <x:c r="V173" s="4" t="str">
        <x:v>design.finished.electrical_gloves.out</x:v>
      </x:c>
    </x:row>
  </x:sheetData>
  <x:pageMargins left="0.7" right="0.7" top="0.75" bottom="0.75" header="0.3" footer="0.3"/>
  <x:tableParts count="1">
    <x:tablePart xmlns:r="http://schemas.openxmlformats.org/officeDocument/2006/relationships" r:id="Rec1951073a504e0d"/>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135"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x:f>
        <x:v>Spring-grade steel stock; Steel-faced shell composite</x:v>
      </x:c>
      <x:c r="E6" s="4" t="str">
        <x:f>IFERROR(INDEX('Items'!$B$6:$B$1005,MATCH("proposal.branch.spring_pack",'Items'!$A$6:$A$1005,0)),"MISSING ID")&amp;"; "&amp;IFERROR(INDEX('Items'!$B$6:$B$1005,MATCH("proposal.branch.protective_stock",'Items'!$A$6:$A$1005,0)),"MISSING ID")</x:f>
        <x:v>Preloaded spring subassembly; Layered protective composite stock</x:v>
      </x:c>
      <x:c r="F6" s="4" t="str">
        <x:v>Forging tools, fitted protection, machinery parts</x:v>
      </x:c>
      <x:c r="G6" s="4" t="str">
        <x:v>Some products stop at T2 steel. Alloying and heat treatment need selected chemistry; no water-quench default.</x:v>
      </x:c>
      <x:c r="H6" s="4" t="str">
        <x:v>Proposal; partial routes</x:v>
      </x:c>
    </x:row>
    <x:row r="7" ht="135"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x:f>
        <x:v>Insulated conductor stock</x:v>
      </x:c>
      <x:c r="E7" s="4" t="str">
        <x:f>IFERROR(INDEX('Items'!$B$6:$B$1005,MATCH("proposal.branch.encapsulated_conductor",'Items'!$A$6:$A$1005,0)),"MISSING ID")</x:f>
        <x:v>Encapsulated conductor stock</x:v>
      </x:c>
      <x:c r="F7" s="4" t="str">
        <x:v>Electrical tools, radio components, field equipment</x:v>
      </x:c>
      <x:c r="G7" s="4" t="str">
        <x:v>Intended roles only; no electrical rating or ancient-machine reproduction is established.</x:v>
      </x:c>
      <x:c r="H7" s="4" t="str">
        <x:v>Proposal; partial routes</x:v>
      </x:c>
    </x:row>
    <x:row r="8" ht="135"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x:f>
        <x:v>Bonded ceramic-shell composite</x:v>
      </x:c>
      <x:c r="E8" s="4" t="str">
        <x:f>IFERROR(INDEX('Items'!$B$6:$B$1005,MATCH("proposal.branch.protective_stock",'Items'!$A$6:$A$1005,0)),"MISSING ID")</x:f>
        <x:v>Layered protective composite stock</x:v>
      </x:c>
      <x:c r="F8" s="4" t="str">
        <x:v>Pottery, insulators, workshop crucibles, fitted protection</x:v>
      </x:c>
      <x:c r="G8" s="4" t="str">
        <x:v>Electrical ceramics and refractory grades are separate services. Binder/firing qualification remains open.</x:v>
      </x:c>
      <x:c r="H8" s="4" t="str">
        <x:v>Proposal; partial routes</x:v>
      </x:c>
    </x:row>
    <x:row r="9" ht="135"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x:f>
        <x:v>Ground optical glass stock</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x:v>
      </x:c>
      <x:c r="H9" s="4" t="str">
        <x:v>Proposal; partial routes</x:v>
      </x:c>
    </x:row>
    <x:row r="10" ht="135"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x:f>
        <x:v>Layered husk composite stock; Finished decorative husk stock</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x:v>
      </x:c>
      <x:c r="H10" s="4" t="str">
        <x:v>Proposal; partial routes</x:v>
      </x:c>
    </x:row>
    <x:row r="11" ht="135"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x:f>
        <x:v>Steel-faced shell composite; Bonded ceramic-shell composite</x:v>
      </x:c>
      <x:c r="E11" s="4" t="str">
        <x:f>IFERROR(INDEX('Items'!$B$6:$B$1005,MATCH("proposal.branch.protective_stock",'Items'!$A$6:$A$1005,0)),"MISSING ID")</x:f>
        <x:v>Layered protective composite stock</x:v>
      </x:c>
      <x:c r="F11" s="4" t="str">
        <x:v>Armor plates, shields and machine covers</x:v>
      </x:c>
      <x:c r="G11" s="4" t="str">
        <x:v>Cheap raw shell can become costly qualified stock; no ballistic or universal performance guarantee.</x:v>
      </x:c>
      <x:c r="H11" s="4" t="str">
        <x:v>Proposal; partial routes</x:v>
      </x:c>
    </x:row>
    <x:row r="12" ht="135"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x:f>
        <x:v>Reinforced sealing sheet; Canister joint sealant</x:v>
      </x:c>
      <x:c r="E12" s="4" t="str">
        <x:f>IFERROR(INDEX('Items'!$B$6:$B$1005,MATCH("proposal.branch.sealed_casing",'Items'!$A$6:$A$1005,0)),"MISSING ID")&amp;"; "&amp;IFERROR(INDEX('Items'!$B$6:$B$1005,MATCH("proposal.branch.encapsulated_conductor",'Items'!$A$6:$A$1005,0)),"MISSING ID")</x:f>
        <x:v>Sealed composite casing stock; Encapsulated conductor stock</x:v>
      </x:c>
      <x:c r="F12" s="4" t="str">
        <x:v>Canister service, dust exclusion, mechanical maintenance</x:v>
      </x:c>
      <x:c r="G12" s="4" t="str">
        <x:v>Separate lubricant, adhesive and sealing functions. No raw-fat/wax assumption; canister grades need compatibility/pressure design.</x:v>
      </x:c>
      <x:c r="H12" s="4" t="str">
        <x:v>Proposal; partial routes</x:v>
      </x:c>
    </x:row>
    <x:row r="13" ht="135"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"No further stock proposed"</x:f>
        <x:v>No further stock proposed</x:v>
      </x:c>
      <x:c r="E13" s="4" t="str">
        <x:f>"No further stock proposed"</x:f>
        <x:v>No further stock proposed</x:v>
      </x:c>
      <x:c r="F13" s="4" t="str">
        <x:v>Handheld sails, vertical shades, wind devices</x:v>
      </x:c>
      <x:c r="G13" s="4" t="str">
        <x:v>This branch deliberately stops at T2 for current stock proposals; joining, frames and service limits are still needed for finished gear.</x:v>
      </x:c>
      <x:c r="H13" s="4" t="str">
        <x:v>Proposal; partial routes</x:v>
      </x:c>
    </x:row>
    <x:row r="14" ht="135"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"No further stock proposed"</x:f>
        <x:v>No further stock proposed</x:v>
      </x:c>
      <x:c r="E14" s="4" t="str">
        <x:f>"No further stock proposed"</x:f>
        <x:v>No further stock proposed</x:v>
      </x:c>
      <x:c r="F14" s="4" t="str">
        <x:v>Tuned wearables, fittings, inlays and rare display objects</x:v>
      </x:c>
      <x:c r="G14" s="4" t="str">
        <x:v>No automatic gem powers or invented national customs. Finished products can stop here.</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sheetData>
  <x:pageMargins left="0.7" right="0.7" top="0.75" bottom="0.75" header="0.3" footer="0.3"/>
  <x:tableParts count="1">
    <x:tablePart xmlns:r="http://schemas.openxmlformats.org/officeDocument/2006/relationships" r:id="R750bf8b6b1324e80"/>
  </x:tableParts>
</x:worksheet>
</file>