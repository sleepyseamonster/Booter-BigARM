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f56d3083aee462c" /></Relationships>
</file>

<file path=xl/workbook.xml><?xml version="1.0" encoding="utf-8"?>
<x:workbook xmlns:x="http://schemas.openxmlformats.org/spreadsheetml/2006/main">
  <x:sheets>
    <x:sheet xmlns:r="http://schemas.openxmlformats.org/officeDocument/2006/relationships" name="Items" sheetId="1" r:id="Ra4f67252d0d54011"/>
    <x:sheet xmlns:r="http://schemas.openxmlformats.org/officeDocument/2006/relationships" name="Variants" sheetId="2" r:id="Rb521837284ca4bae"/>
    <x:sheet xmlns:r="http://schemas.openxmlformats.org/officeDocument/2006/relationships" name="Recipes" sheetId="3" r:id="R5590d27e9fa94d04"/>
    <x:sheet xmlns:r="http://schemas.openxmlformats.org/officeDocument/2006/relationships" name="Categories" sheetId="4" r:id="Rb2d6135094aa41f3"/>
    <x:sheet xmlns:r="http://schemas.openxmlformats.org/officeDocument/2006/relationships" name="Guide" sheetId="5" r:id="R5483d1be03724412"/>
    <x:sheet xmlns:r="http://schemas.openxmlformats.org/officeDocument/2006/relationships" name="Resource chains" sheetId="6" r:id="R1751138ed51e4e92"/>
    <x:sheet xmlns:r="http://schemas.openxmlformats.org/officeDocument/2006/relationships" name="Creature concepts" sheetId="7" r:id="R0de5dc7cbbc1490c"/>
    <x:sheet xmlns:r="http://schemas.openxmlformats.org/officeDocument/2006/relationships" name="Chemical concepts" sheetId="8" r:id="Rd30cc5fa80f54134"/>
    <x:sheet xmlns:r="http://schemas.openxmlformats.org/officeDocument/2006/relationships" name="Container concepts" sheetId="9" r:id="R6fa506c56532463d"/>
    <x:sheet xmlns:r="http://schemas.openxmlformats.org/officeDocument/2006/relationships" name="Equipment concepts" sheetId="10" r:id="Raa8da61a12c64660"/>
    <x:sheet xmlns:r="http://schemas.openxmlformats.org/officeDocument/2006/relationships" name="Canister concepts" sheetId="11" r:id="R41aa9f40680d4d79"/>
    <x:sheet xmlns:r="http://schemas.openxmlformats.org/officeDocument/2006/relationships" name="Taxonomy" sheetId="12" r:id="Rc2af0c75ee51445d"/>
    <x:sheet xmlns:r="http://schemas.openxmlformats.org/officeDocument/2006/relationships" name="Item uses" sheetId="13" r:id="R3a1cc91282cf46b8"/>
    <x:sheet xmlns:r="http://schemas.openxmlformats.org/officeDocument/2006/relationships" name="Material routes" sheetId="14" r:id="Rc45c918870a041df"/>
    <x:sheet xmlns:r="http://schemas.openxmlformats.org/officeDocument/2006/relationships" name="Regional demand" sheetId="15" r:id="Rd99e1368948a418d"/>
    <x:sheet xmlns:r="http://schemas.openxmlformats.org/officeDocument/2006/relationships" name="Crafting recipes" sheetId="16" r:id="Rf29c19d32ec64bb2"/>
    <x:sheet xmlns:r="http://schemas.openxmlformats.org/officeDocument/2006/relationships" name="Crafting browser" sheetId="17" r:id="Rc4992d43c5754ba8"/>
    <x:sheet xmlns:r="http://schemas.openxmlformats.org/officeDocument/2006/relationships" name="Material branches" sheetId="18" r:id="Rad35976697a04fc5"/>
    <x:sheet xmlns:r="http://schemas.openxmlformats.org/officeDocument/2006/relationships" name="Tier review" sheetId="19" r:id="Rd1386b4981334c3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7">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cellXfs>
  <x:cellStyles count="1">
    <x:cellStyle name="Normal" xfId="0"/>
  </x:cellStyles>
  <x:dxfs count="8">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9be2c097daf48b3" /><Relationship Type="http://schemas.openxmlformats.org/officeDocument/2006/relationships/theme" Target="/xl/theme/theme1.xml" Id="R35e1a8b81f6b489f" /><Relationship Type="http://schemas.microsoft.com/office/2022/11/relationships/FeaturePropertyBag" Target="/xl/featurePropertyBag/featurePropertyBag.xml" Id="R97da4ac7b7024983" /><Relationship Type="http://schemas.openxmlformats.org/officeDocument/2006/relationships/sharedStrings" Target="/xl/sharedStrings.xml" Id="R1c6d98fd58c146bf" /><Relationship Type="http://schemas.openxmlformats.org/officeDocument/2006/relationships/worksheet" Target="/xl/worksheets/sheet1.xml" Id="Ra4f67252d0d54011" /><Relationship Type="http://schemas.openxmlformats.org/officeDocument/2006/relationships/worksheet" Target="/xl/worksheets/sheet2.xml" Id="Rb521837284ca4bae" /><Relationship Type="http://schemas.openxmlformats.org/officeDocument/2006/relationships/worksheet" Target="/xl/worksheets/sheet3.xml" Id="R5590d27e9fa94d04" /><Relationship Type="http://schemas.openxmlformats.org/officeDocument/2006/relationships/worksheet" Target="/xl/worksheets/sheet4.xml" Id="Rb2d6135094aa41f3" /><Relationship Type="http://schemas.openxmlformats.org/officeDocument/2006/relationships/worksheet" Target="/xl/worksheets/sheet5.xml" Id="R5483d1be03724412" /><Relationship Type="http://schemas.openxmlformats.org/officeDocument/2006/relationships/worksheet" Target="/xl/worksheets/sheet6.xml" Id="R1751138ed51e4e92" /><Relationship Type="http://schemas.openxmlformats.org/officeDocument/2006/relationships/worksheet" Target="/xl/worksheets/sheet7.xml" Id="R0de5dc7cbbc1490c" /><Relationship Type="http://schemas.openxmlformats.org/officeDocument/2006/relationships/worksheet" Target="/xl/worksheets/sheet8.xml" Id="Rd30cc5fa80f54134" /><Relationship Type="http://schemas.openxmlformats.org/officeDocument/2006/relationships/worksheet" Target="/xl/worksheets/sheet9.xml" Id="R6fa506c56532463d" /><Relationship Type="http://schemas.openxmlformats.org/officeDocument/2006/relationships/worksheet" Target="/xl/worksheets/sheet10.xml" Id="Raa8da61a12c64660" /><Relationship Type="http://schemas.openxmlformats.org/officeDocument/2006/relationships/worksheet" Target="/xl/worksheets/sheet11.xml" Id="R41aa9f40680d4d79" /><Relationship Type="http://schemas.openxmlformats.org/officeDocument/2006/relationships/worksheet" Target="/xl/worksheets/sheet12.xml" Id="Rc2af0c75ee51445d" /><Relationship Type="http://schemas.openxmlformats.org/officeDocument/2006/relationships/worksheet" Target="/xl/worksheets/sheet13.xml" Id="R3a1cc91282cf46b8" /><Relationship Type="http://schemas.openxmlformats.org/officeDocument/2006/relationships/worksheet" Target="/xl/worksheets/sheet14.xml" Id="Rc45c918870a041df" /><Relationship Type="http://schemas.openxmlformats.org/officeDocument/2006/relationships/worksheet" Target="/xl/worksheets/sheet15.xml" Id="Rd99e1368948a418d" /><Relationship Type="http://schemas.openxmlformats.org/officeDocument/2006/relationships/worksheet" Target="/xl/worksheets/sheet16.xml" Id="Rf29c19d32ec64bb2" /><Relationship Type="http://schemas.openxmlformats.org/officeDocument/2006/relationships/worksheet" Target="/xl/worksheets/sheet17.xml" Id="Rc4992d43c5754ba8" /><Relationship Type="http://schemas.openxmlformats.org/officeDocument/2006/relationships/worksheet" Target="/xl/worksheets/sheet18.xml" Id="Rad35976697a04fc5" /><Relationship Type="http://schemas.openxmlformats.org/officeDocument/2006/relationships/worksheet" Target="/xl/worksheets/sheet19.xml" Id="Rd1386b4981334c3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488" headerRowCount="1" totalsRowCount="0" totalsRowShown="0">
  <x:autoFilter ref="A5:AN48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15" headerRowCount="1" totalsRowCount="0" totalsRowShown="0">
  <x:autoFilter ref="A5:B215"/>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47" headerRowCount="1" totalsRowCount="0" totalsRowShown="0">
  <x:autoFilter ref="A5:F64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663" headerRowCount="1" totalsRowCount="0" totalsRowShown="0">
  <x:autoFilter ref="A5:Q663"/>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232" headerRowCount="1" totalsRowCount="0" totalsRowShown="0">
  <x:autoFilter ref="A5:M232"/>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436" headerRowCount="1" totalsRowCount="0" totalsRowShown="0">
  <x:autoFilter ref="A5:V436"/>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f2dcca1ae4842a2" /></Relationships>
</file>

<file path=xl/worksheets/_rels/sheet2.xml.rels>&#65279;<?xml version="1.0" encoding="utf-8"?><Relationships xmlns="http://schemas.openxmlformats.org/package/2006/relationships"><Relationship Type="http://schemas.openxmlformats.org/officeDocument/2006/relationships/table" Target="/xl/tables/table2.xml" Id="R3a4cb0aa0e804fe1" /></Relationships>
</file>

<file path=xl/worksheets/_rels/sheet3.xml.rels>&#65279;<?xml version="1.0" encoding="utf-8"?><Relationships xmlns="http://schemas.openxmlformats.org/package/2006/relationships"><Relationship Type="http://schemas.openxmlformats.org/officeDocument/2006/relationships/table" Target="/xl/tables/table3.xml" Id="R37e6717ef2cd4d10" /></Relationships>
</file>

<file path=xl/worksheets/_rels/sheet4.xml.rels>&#65279;<?xml version="1.0" encoding="utf-8"?><Relationships xmlns="http://schemas.openxmlformats.org/package/2006/relationships"><Relationship Type="http://schemas.openxmlformats.org/officeDocument/2006/relationships/table" Target="/xl/tables/table4.xml" Id="Rb3787575be7a49cc" /></Relationships>
</file>

<file path=xl/worksheets/_rels/sheet5.xml.rels>&#65279;<?xml version="1.0" encoding="utf-8"?><Relationships xmlns="http://schemas.openxmlformats.org/package/2006/relationships"><Relationship Type="http://schemas.openxmlformats.org/officeDocument/2006/relationships/table" Target="/xl/tables/table5.xml" Id="R39879428eb894a30" /></Relationships>
</file>

<file path=xl/worksheets/_rels/sheet6.xml.rels>&#65279;<?xml version="1.0" encoding="utf-8"?><Relationships xmlns="http://schemas.openxmlformats.org/package/2006/relationships"><Relationship Type="http://schemas.openxmlformats.org/officeDocument/2006/relationships/table" Target="/xl/tables/table6.xml" Id="R0668b973a7694ab9" /></Relationships>
</file>

<file path=xl/worksheets/_rels/sheet7.xml.rels>&#65279;<?xml version="1.0" encoding="utf-8"?><Relationships xmlns="http://schemas.openxmlformats.org/package/2006/relationships"><Relationship Type="http://schemas.openxmlformats.org/officeDocument/2006/relationships/table" Target="/xl/tables/table7.xml" Id="R760627f4eeea4a02" /></Relationships>
</file>

<file path=xl/worksheets/_rels/sheet8.xml.rels>&#65279;<?xml version="1.0" encoding="utf-8"?><Relationships xmlns="http://schemas.openxmlformats.org/package/2006/relationships"><Relationship Type="http://schemas.openxmlformats.org/officeDocument/2006/relationships/table" Target="/xl/tables/table8.xml" Id="R47320ad388e34d76" /></Relationships>
</file>

<file path=xl/worksheets/_rels/sheet9.xml.rels>&#65279;<?xml version="1.0" encoding="utf-8"?><Relationships xmlns="http://schemas.openxmlformats.org/package/2006/relationships"><Relationship Type="http://schemas.openxmlformats.org/officeDocument/2006/relationships/table" Target="/xl/tables/table9.xml" Id="Rfc756edb25864530" /></Relationships>
</file>

<file path=xl/worksheets/_rels/sheet10.xml.rels>&#65279;<?xml version="1.0" encoding="utf-8"?><Relationships xmlns="http://schemas.openxmlformats.org/package/2006/relationships"><Relationship Type="http://schemas.openxmlformats.org/officeDocument/2006/relationships/table" Target="/xl/tables/table10.xml" Id="Ra4c3534c60fc4615" /></Relationships>
</file>

<file path=xl/worksheets/_rels/sheet11.xml.rels>&#65279;<?xml version="1.0" encoding="utf-8"?><Relationships xmlns="http://schemas.openxmlformats.org/package/2006/relationships"><Relationship Type="http://schemas.openxmlformats.org/officeDocument/2006/relationships/table" Target="/xl/tables/table11.xml" Id="Ra5c8392fa5f34572" /></Relationships>
</file>

<file path=xl/worksheets/_rels/sheet12.xml.rels>&#65279;<?xml version="1.0" encoding="utf-8"?><Relationships xmlns="http://schemas.openxmlformats.org/package/2006/relationships"><Relationship Type="http://schemas.openxmlformats.org/officeDocument/2006/relationships/table" Target="/xl/tables/table12.xml" Id="Rf93125c1f7154c8d" /></Relationships>
</file>

<file path=xl/worksheets/_rels/sheet13.xml.rels>&#65279;<?xml version="1.0" encoding="utf-8"?><Relationships xmlns="http://schemas.openxmlformats.org/package/2006/relationships"><Relationship Type="http://schemas.openxmlformats.org/officeDocument/2006/relationships/table" Target="/xl/tables/table13.xml" Id="Rf95dd97171af44b2" /></Relationships>
</file>

<file path=xl/worksheets/_rels/sheet14.xml.rels>&#65279;<?xml version="1.0" encoding="utf-8"?><Relationships xmlns="http://schemas.openxmlformats.org/package/2006/relationships"><Relationship Type="http://schemas.openxmlformats.org/officeDocument/2006/relationships/table" Target="/xl/tables/table14.xml" Id="R50bbeaa7076049b3" /></Relationships>
</file>

<file path=xl/worksheets/_rels/sheet15.xml.rels>&#65279;<?xml version="1.0" encoding="utf-8"?><Relationships xmlns="http://schemas.openxmlformats.org/package/2006/relationships"><Relationship Type="http://schemas.openxmlformats.org/officeDocument/2006/relationships/table" Target="/xl/tables/table15.xml" Id="R29fa9df199224ea1" /></Relationships>
</file>

<file path=xl/worksheets/_rels/sheet16.xml.rels>&#65279;<?xml version="1.0" encoding="utf-8"?><Relationships xmlns="http://schemas.openxmlformats.org/package/2006/relationships"><Relationship Type="http://schemas.openxmlformats.org/officeDocument/2006/relationships/table" Target="/xl/tables/table16.xml" Id="Rb25a20be45654d97" /></Relationships>
</file>

<file path=xl/worksheets/_rels/sheet17.xml.rels>&#65279;<?xml version="1.0" encoding="utf-8"?><Relationships xmlns="http://schemas.openxmlformats.org/package/2006/relationships"><Relationship Type="http://schemas.openxmlformats.org/officeDocument/2006/relationships/table" Target="/xl/tables/table17.xml" Id="R16b66b03f7c94aba" /></Relationships>
</file>

<file path=xl/worksheets/_rels/sheet18.xml.rels>&#65279;<?xml version="1.0" encoding="utf-8"?><Relationships xmlns="http://schemas.openxmlformats.org/package/2006/relationships"><Relationship Type="http://schemas.openxmlformats.org/officeDocument/2006/relationships/table" Target="/xl/tables/table18.xml" Id="Rdc113bdffc8342e5" /></Relationships>
</file>

<file path=xl/worksheets/_rels/sheet19.xml.rels>&#65279;<?xml version="1.0" encoding="utf-8"?><Relationships xmlns="http://schemas.openxmlformats.org/package/2006/relationships"><Relationship Type="http://schemas.openxmlformats.org/officeDocument/2006/relationships/table" Target="/xl/tables/table19.xml" Id="Ra0587aea2eda483b"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Crafting components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crafting components; salvage; crafting component; recovered part; recovered machinery; machinery repair; mixed / unresolved; assembly; existing definition; ; not applicable; not applicable; component</x:v>
      </x:c>
      <x:c r="AF6" s="4" t="str">
        <x:v>From current item description. Proposed uses retain their existing approval status.</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Crafting components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crafting components; salvage; crafting component; recovered part; recovered machinery; fabrication; metal; solid part; existing definition; ; not applicable; not applicable; component</x:v>
      </x:c>
      <x:c r="AF7" s="4" t="str">
        <x:v>From current item description. Proposed uses retain their existing approval status.</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Crafting components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crafting components; salvage; crafting component; recovered part; recovered machinery; electrical work; metal; bundle; existing definition; ; not applicable; not applicable; component</x:v>
      </x:c>
      <x:c r="AF8" s="4" t="str">
        <x:v>From current item description. Proposed uses retain their existing approval status.</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kit</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kit; finished item; unresolved; camp rest; mixed / unresolved; assembly; existing definition; sun shading; vertical sun shade shelter; not applicable; unassigned; finished item</x:v>
      </x:c>
      <x:c r="AF17" s="4" t="str">
        <x:v>From current item description. Proposed uses retain their existing approval status.</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resources; airborne resource; raw material; raw; atmospheric; energy processing; unresolved; particles; existing definition; ; t0; not applicable; material</x:v>
      </x:c>
      <x:c r="AF18" s="4" t="str">
        <x:v>From current item description. Proposed uses retain their existing approval status.</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Resources</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resources; processed mineral; processed material; processed intermediate; geological; use unresolved; mineral; particles; existing definition; ; t1; not applicable; material</x:v>
      </x:c>
      <x:c r="AF19" s="4" t="str">
        <x:v>From current item description. Proposed uses retain their existing approval status.</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Resources</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resources; processed mineral; processed material; processed intermediate; geological; metal refining; mineral; particles; existing definition; ; t1; not applicable; material</x:v>
      </x:c>
      <x:c r="AF20" s="4" t="str">
        <x:v>From current item description. Proposed uses retain their existing approval status.</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resources; raw mineral; raw material; raw; geological; metal refining; mineral; rock; existing definition; fabrication; unprocessed iron rich stone; t0; not applicable; material</x:v>
      </x:c>
      <x:c r="AF21" s="4" t="str">
        <x:v>From current item description. Proposed uses retain their existing approval status.</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Resources</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resources; processed mineral; processed material; processed intermediate; geological; use unresolved; mineral; particles; existing definition; ; t1; not applicable; material</x:v>
      </x:c>
      <x:c r="AF22" s="4" t="str">
        <x:v>From current item description. Proposed uses retain their existing approval status.</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Resources</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resources; processed mineral; processed material; processed intermediate; geological; use unresolved; mineral; particles; existing definition; ; t1; not applicable; material</x:v>
      </x:c>
      <x:c r="AF23" s="4" t="str">
        <x:v>From current item description. Proposed uses retain their existing approval status.</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resources; raw mineral; raw material; raw; geological; metal refining; mineral; rock; proposal; magnetic tools; t0; not applicable; material</x:v>
      </x:c>
      <x:c r="AF26" s="4" t="str">
        <x:v>From current item description. Proposed uses retain their existing approval status.</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resources; raw mineral; raw material; raw; geological; surface finishing; mineral; particles; proposal; glass and ceramics; t0; not applicable; material</x:v>
      </x:c>
      <x:c r="AF27" s="4" t="str">
        <x:v>From current item description. Proposed uses retain their existing approval status.</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resources; raw mineral; raw material; raw; geological; glass and ceramics; mineral; rock; proposal; electrical insulation; t0; not applicable; material</x:v>
      </x:c>
      <x:c r="AF28" s="4" t="str">
        <x:v>From current item description. Proposed uses retain their existing approval status.</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resources; raw mineral; raw material; raw; geological; glass and ceramics; mineral; rock; proposal; ; t0; not applicable; material</x:v>
      </x:c>
      <x:c r="AF29" s="4" t="str">
        <x:v>From current item description. Proposed uses retain their existing approval status.</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resources; raw mineral; raw material; raw; geological; binding and construction; mineral; rock; proposal; ; t0; not applicable; material</x:v>
      </x:c>
      <x:c r="AF30" s="4" t="str">
        <x:v>From current item description. Proposed uses retain their existing approval status.</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resources; raw mineral; raw material; raw; geological; culture support; mineral; particles; proposal; ; t0; not applicable; material</x:v>
      </x:c>
      <x:c r="AF31" s="4" t="str">
        <x:v>From current item description. Proposed uses retain their existing approval status.</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2</x:v>
      </x:c>
      <x:c r="AL31" s="4" t="n">
        <x:f>COUNTIFS('Material routes'!$D$6:$D$1005,A31,'Material routes'!$C$6:$C$1005,"Tool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resources; raw mineral; raw material; raw; geological; lubrication; mineral; particles; proposal; electrical conduction; t0; not applicable; material</x:v>
      </x:c>
      <x:c r="AF32" s="4" t="str">
        <x:v>From current item description. Proposed uses retain their existing approval status.</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resources; raw mineral; raw material; raw; geological; electrical insulation; mineral; sheet; proposal; protective fabrication; t0; not applicable; material</x:v>
      </x:c>
      <x:c r="AF33" s="4" t="str">
        <x:v>From current item description. Proposed uses retain their existing approval status.</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Resources</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resources; processed mineral; processed material; processed intermediate; geological; metal refining; mineral; particles; proposal; ; t1; not applicable; material</x:v>
      </x:c>
      <x:c r="AF34" s="4" t="str">
        <x:v>From current item description. Proposed uses retain their existing approval status.</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Resources</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resources; processed mineral; processed material; processed intermediate; geological; fabrication; mineral; solid part; proposal; equipment repair; t2; not applicable; material</x:v>
      </x:c>
      <x:c r="AF35" s="4" t="str">
        <x:v>From current item description. Proposed uses retain their existing approval status.</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8</x:v>
      </x:c>
      <x:c r="AL35" s="4" t="n">
        <x:f>COUNTIFS('Material routes'!$D$6:$D$1005,A35,'Material routes'!$C$6:$C$1005,"Tool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Resources</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resources; processed mineral; processed material; processed intermediate; geological; surface finishing; mineral; particles; proposal; ; t1; not applicable; material</x:v>
      </x:c>
      <x:c r="AF36" s="4" t="str">
        <x:v>From current item description. Proposed uses retain their existing approval status.</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23</x:v>
      </x:c>
      <x:c r="AL36" s="4" t="n">
        <x:f>COUNTIFS('Material routes'!$D$6:$D$1005,A36,'Material routes'!$C$6:$C$1005,"Tool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Resources</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resources;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16</x:v>
      </x:c>
      <x:c r="AL37" s="4" t="n">
        <x:f>COUNTIFS('Material routes'!$D$6:$D$1005,A37,'Material routes'!$C$6:$C$1005,"Tool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Resources</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resources; processed mineral; processed material; processed intermediate; geological; binding and construction; mineral; particles; proposal; ; t1; not applicable; material</x:v>
      </x:c>
      <x:c r="AF38" s="4" t="str">
        <x:v>From current item description. Proposed uses retain their existing approval status.</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Resources</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resources; processed mineral; processed material; processed intermediate; geological; lubrication; mineral; particles; proposal; electrical conduction; t1; not applicable; material</x:v>
      </x:c>
      <x:c r="AF39" s="4" t="str">
        <x:v>From current item description. Proposed uses retain their existing approval status.</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resources; molted exoskeleton; raw material; raw; fauna; fabrication; shell / chitin; shell plate; author direction; fiber processing; t0; not applicable; material</x:v>
      </x:c>
      <x:c r="AF40" s="4" t="str">
        <x:v>From current item description. Proposed uses retain their existing approval status.</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7</x:v>
      </x:c>
      <x:c r="AL40" s="4" t="n">
        <x:f>COUNTIFS('Material routes'!$D$6:$D$1005,A40,'Material routes'!$C$6:$C$1005,"Tool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resources; connective tissue; raw material; raw; fauna; binding and construction; faunal tissue; bundle; proposal; ; t0; not applicable; material</x:v>
      </x:c>
      <x:c r="AF41" s="4" t="str">
        <x:v>From current item description. Proposed uses retain their existing approval status.</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resources; dry fibers; raw material; raw; fauna; dust exclusion; faunal fiber; fiber; proposal; ; t0; not applicable; material</x:v>
      </x:c>
      <x:c r="AF42" s="4" t="str">
        <x:v>From current item description. Proposed uses retain their existing approval status.</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resources; dry fibers; raw material; raw; fauna; textile processing; fur; fiber; proposal; ; t0; not applicable; material</x:v>
      </x:c>
      <x:c r="AF43" s="4" t="str">
        <x:v>From current item description. Proposed uses retain their existing approval status.</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resources; hard tissue; raw material; raw; fauna; tool fabrication; faunal tissue; solid piece; proposal; ; t0; not applicable; material</x:v>
      </x:c>
      <x:c r="AF44" s="4" t="str">
        <x:v>From current item description. Proposed uses retain their existing approval status.</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resources; flexible tissue; raw material; processed intermediate; fauna; sealing; faunal membrane; sheet; proposal; equipment repair; t0; not applicable; material</x:v>
      </x:c>
      <x:c r="AF45" s="4" t="str">
        <x:v>From current item description. Proposed uses retain their existing approval status.</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resources; perishable tissue; raw material; unresolved; fauna; use unresolved; unresolved; unresolved; withheld assumption; ; unassigned; unassigned; material</x:v>
      </x:c>
      <x:c r="AF46" s="4" t="str">
        <x:v>From current item description. Proposed uses retain their existing approval status.</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resources; specialized tissue; raw material; raw; fauna; electrical work; faunal tissue; solid piece; proposal; ; t0; not applicable; material</x:v>
      </x:c>
      <x:c r="AF47" s="4" t="str">
        <x:v>From current item description. Proposed uses retain their existing approval status.</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2</x:v>
      </x:c>
      <x:c r="AL47" s="4" t="n">
        <x:f>COUNTIFS('Material routes'!$D$6:$D$1005,A47,'Material routes'!$C$6:$C$1005,"Tool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7</x:v>
      </x:c>
      <x:c r="AL48" s="4" t="n">
        <x:f>COUNTIFS('Material routes'!$D$6:$D$1005,A48,'Material routes'!$C$6:$C$1005,"Tool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routes'!$D$6:$D$1005,A50,'Material routes'!$C$6:$C$1005,"Output")</x:f>
        <x:v>2</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routes'!$D$6:$D$1005,A52,'Material routes'!$C$6:$C$1005,"Output")</x:f>
        <x:v>2</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routes'!$D$6:$D$1005,A55,'Material routes'!$C$6:$C$1005,"Output")</x:f>
        <x:v>2</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Resources</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resources; processed fuel; processed material; processed intermediate; unresolved; fuel; carbonaceous material; particles; author direction; metal refining; t1; not applicable; material</x:v>
      </x:c>
      <x:c r="AF56" s="4" t="str">
        <x:v>From current item description. Proposed uses retain their existing approval status.</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routes'!$D$6:$D$1005,A56,'Material routes'!$C$6:$C$1005,"Output")</x:f>
        <x:v>2</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resources; raw mineral; raw material; raw; geological; metal refining; mineral; rock; author direction; ; t0; not applicable; material</x:v>
      </x:c>
      <x:c r="AF57" s="4" t="str">
        <x:v>From current item description. Proposed uses retain their existing approval status.</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2</x:v>
      </x:c>
      <x:c r="AL57" s="4" t="n">
        <x:f>COUNTIFS('Material routes'!$D$6:$D$1005,A57,'Material routes'!$C$6:$C$1005,"Tool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resources; sorted ore; raw material; processed intermediate; geological; metal refining; mineral; rock; author direction; ; t1; not applicable; material</x:v>
      </x:c>
      <x:c r="AF58" s="4" t="str">
        <x:v>From current item description. Proposed uses retain their existing approval status.</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routes'!$D$6:$D$1005,A58,'Material routes'!$C$6:$C$1005,"Output")</x:f>
        <x:v>2</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resources; unworked metal; processed material; unworked metal; geological; electrical conduction; metal; solid piece; author direction; fabrication; t0; not applicable; material</x:v>
      </x:c>
      <x:c r="AF59" s="4" t="str">
        <x:v>From current item description. Proposed uses retain their existing approval status.</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resources; raw mineral; raw material; raw; geological; metal refining; mineral; rock; author direction; tool fabrication; t0; not applicable; material</x:v>
      </x:c>
      <x:c r="AF60" s="4" t="str">
        <x:v>From current item description. Proposed uses retain their existing approval status.</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resources; raw mineral; raw material; raw; geological; metal refining; mineral; rock; author direction; ; t0; not applicable; material</x:v>
      </x:c>
      <x:c r="AF61" s="4" t="str">
        <x:v>From current item description. Proposed uses retain their existing approval status.</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resources; unworked metal; processed material; unworked metal; geological; fabrication; metal; solid piece; author direction; ; t0; not applicable; material</x:v>
      </x:c>
      <x:c r="AF62" s="4" t="str">
        <x:v>From current item description. Proposed uses retain their existing approval status.</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resources; iron oxide mineral; raw material; raw; geological; metal refining; mineral; rock; author direction; ; t0; not applicable; material</x:v>
      </x:c>
      <x:c r="AF63" s="4" t="str">
        <x:v>From current item description. Proposed uses retain their existing approval status.</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resources; native nonmetal; raw material; raw; geological; chemical processing; mineral; rock; author direction; ; t0; not applicable; material</x:v>
      </x:c>
      <x:c r="AF64" s="4" t="str">
        <x:v>From current item description. Proposed uses retain their existing approval status.</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resources; evaporite mineral; raw material; raw; geological; glass and ceramics; mineral; rock; proposal; ; t0; not applicable; material</x:v>
      </x:c>
      <x:c r="AF65" s="4" t="str">
        <x:v>From current item description. Proposed uses retain their existing approval status.</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resources; sulfate mineral; raw material; raw; geological; glass and ceramics; mineral; rock; proposal; ; t0; not applicable; material</x:v>
      </x:c>
      <x:c r="AF66" s="4" t="str">
        <x:v>From current item description. Proposed uses retain their existing approval status.</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resources; industrial mineral; raw material; raw; geological; glass and ceramics; mineral; rock; proposal; surface finishing; t0; not applicable; material</x:v>
      </x:c>
      <x:c r="AF67" s="4" t="str">
        <x:v>From current item description. Proposed uses retain their existing approval status.</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resources; raw mineral; raw material; raw; geological; metal refining; mineral; rock; proposal; decoration; t0; not applicable; material</x:v>
      </x:c>
      <x:c r="AF68" s="4" t="str">
        <x:v>From current item description. Proposed uses retain their existing approval status.</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resources; raw mineral; raw material; raw; geological; metal refining; mineral; rock; proposal; ; t0; not applicable; material</x:v>
      </x:c>
      <x:c r="AF69" s="4" t="str">
        <x:v>From current item description. Proposed uses retain their existing approval status.</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resources; raw mineral; raw material; raw; geological; metal refining; mineral; rock; proposal; ; t0; not applicable; material</x:v>
      </x:c>
      <x:c r="AF70" s="4" t="str">
        <x:v>From current item description. Proposed uses retain their existing approval status.</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resources; raw mineral; raw material; raw; geological; metal refining; mineral; rock; proposal; electrical conduction; t0; not applicable; material</x:v>
      </x:c>
      <x:c r="AF71" s="4" t="str">
        <x:v>From current item description. Proposed uses retain their existing approval status.</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resources; raw mineral; raw material; raw; geological; metal refining; mineral; rock; proposal; decoration; t0; not applicable; material</x:v>
      </x:c>
      <x:c r="AF72" s="4" t="str">
        <x:v>From current item description. Proposed uses retain their existing approval status.</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resources; industrial mineral; raw material; raw; geological; glass and ceramics; mineral; rock; proposal; metal refining; t0; not applicable; material</x:v>
      </x:c>
      <x:c r="AF73" s="4" t="str">
        <x:v>From current item description. Proposed uses retain their existing approval status.</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resources; raw mineral; raw material; raw; geological; metal refining; mineral; rock; proposal; ; t0; not applicable; material</x:v>
      </x:c>
      <x:c r="AF74" s="4" t="str">
        <x:v>From current item description. Proposed uses retain their existing approval status.</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resources; raw husk fiber; raw material; raw; fauna; paper making; shell / chitin; fiber; author direction; textile processing; t0; not applicable; material</x:v>
      </x:c>
      <x:c r="AF75" s="4" t="str">
        <x:v>From current item description. Proposed uses retain their existing approval status.</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resources; animal hide; raw material; raw; fauna; textile processing; hide; sheet; author direction; ; t0; not applicable; material</x:v>
      </x:c>
      <x:c r="AF79" s="4" t="str">
        <x:v>From current item description. Proposed uses retain their existing approval status.</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1</x:v>
      </x:c>
      <x:c r="AL80" s="4" t="n">
        <x:f>COUNTIFS('Material routes'!$D$6:$D$1005,A80,'Material routes'!$C$6:$C$1005,"Tool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resources; food candidate; food material; unresolved; fauna; nutrition; faunal tissue; unresolved; author direction; ; t0; not applicable; material</x:v>
      </x:c>
      <x:c r="AF81" s="4" t="str">
        <x:v>From current item description. Proposed uses retain their existing approval status.</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2</x:v>
      </x:c>
      <x:c r="AL81" s="4" t="n">
        <x:f>COUNTIFS('Material routes'!$D$6:$D$1005,A81,'Material routes'!$C$6:$C$1005,"Tool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resources; chemical material; chemical material; unresolved; fauna; chemical processing; biological chemical; unresolved; author direction; ; t0; not applicable; material</x:v>
      </x:c>
      <x:c r="AF82" s="4" t="str">
        <x:v>From current item description. Proposed uses retain their existing approval status.</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2</x:v>
      </x:c>
      <x:c r="AL82" s="4" t="n">
        <x:f>COUNTIFS('Material routes'!$D$6:$D$1005,A82,'Material routes'!$C$6:$C$1005,"Tool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resources; biological liquid material; chemical material; extracted material; fauna; chemical processing; biological chemical; liquid; author direction; ; t0; not applicable; material</x:v>
      </x:c>
      <x:c r="AF83" s="4" t="str">
        <x:v>From current item description. Proposed uses retain their existing approval status.</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resources; faunal chemical concept; chemical material; extracted material; fauna; equipment repair; biological chemical; unresolved; proposal; sealing; t0; not applicable; material</x:v>
      </x:c>
      <x:c r="AF87" s="4" t="str">
        <x:v>From current item description. Proposed uses retain their existing approval status.</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resources; faunal chemical concept; chemical material; extracted material; fauna; lubrication; biological chemical; unresolved; proposal; sealing; t0; not applicable; material</x:v>
      </x:c>
      <x:c r="AF89" s="4" t="str">
        <x:v>From current item description. Proposed uses retain their existing approval status.</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resources; faunal chemical concept; chemical material; extracted material; fauna; electrical insulation; biological chemical; unresolved; proposal; ; t0; not applicable; material</x:v>
      </x:c>
      <x:c r="AF90" s="4" t="str">
        <x:v>From current item description. Proposed uses retain their existing approval status.</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resources; faunal chemical concept; chemical material; extracted material; fauna; electrical conduction; biological chemical; gel; proposal; ; t0; not applicable; material</x:v>
      </x:c>
      <x:c r="AF91" s="4" t="str">
        <x:v>From current item description. Proposed uses retain their existing approval status.</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resources; faunal chemical concept; chemical material; extracted material; fauna; material exclusion; biological chemical; unresolved; proposal; ; t0; not applicable; material</x:v>
      </x:c>
      <x:c r="AF93" s="4" t="str">
        <x:v>From current item description. Proposed uses retain their existing approval status.</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resources; faunal chemical concept; chemical material; extracted material; fauna; specialist samples; biological chemical; unresolved; proposal; ; t0; not applicable; material</x:v>
      </x:c>
      <x:c r="AF94" s="4" t="str">
        <x:v>From current item description. Proposed uses retain their existing approval status.</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resources; faunal chemical concept; chemical material; extracted material; fauna; fauna interaction; biological chemical; unresolved; proposal; ; t0; not applicable; material</x:v>
      </x:c>
      <x:c r="AF95" s="4" t="str">
        <x:v>From current item description. Proposed uses retain their existing approval status.</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routes'!$D$6:$D$1005,A110,'Material routes'!$C$6:$C$1005,"Output")</x:f>
        <x:v>1</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routes'!$D$6:$D$1005,A111,'Material routes'!$C$6:$C$1005,"Output")</x:f>
        <x:v>1</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Resources</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resources;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Resources</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resources;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Resources</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resources;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resources; gemstone concept; gem material; unresolved; geological; decoration; gemstone; unresolved; proposal; ; t0; not applicable; material</x:v>
      </x:c>
      <x:c r="AF132" s="4" t="str">
        <x:v>From current item description. Proposed uses retain their existing approval status.</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resources; gemstone concept; gem material; unresolved; geological; decoration; gemstone; unresolved; proposal; ; t0; not applicable; material</x:v>
      </x:c>
      <x:c r="AF133" s="4" t="str">
        <x:v>From current item description. Proposed uses retain their existing approval status.</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resources; gemstone concept; gem material; unresolved; geological; decoration; gemstone; unresolved; proposal; ; t0; not applicable; material</x:v>
      </x:c>
      <x:c r="AF134" s="4" t="str">
        <x:v>From current item description. Proposed uses retain their existing approval status.</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resources; gemstone concept; gem material; unresolved; geological; decoration; gemstone; unresolved; proposal; ; t0; not applicable; material</x:v>
      </x:c>
      <x:c r="AF135" s="4" t="str">
        <x:v>From current item description. Proposed uses retain their existing approval status.</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resources; gemstone concept; gem material; unresolved; geological; decoration; gemstone; unresolved; proposal; ; t0; not applicable; material</x:v>
      </x:c>
      <x:c r="AF136" s="4" t="str">
        <x:v>From current item description. Proposed uses retain their existing approval status.</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resources; gemstone concept; gem material; unresolved; geological; decoration; gemstone; unresolved; proposal; ; t0; not applicable; material</x:v>
      </x:c>
      <x:c r="AF137" s="4" t="str">
        <x:v>From current item description. Proposed uses retain their existing approval status.</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resources; gemstone concept; gem material; unresolved; geological; decoration; gemstone; unresolved; proposal; ; t0; not applicable; material</x:v>
      </x:c>
      <x:c r="AF138" s="4" t="str">
        <x:v>From current item description. Proposed uses retain their existing approval status.</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resources; gemstone concept; gem material; unresolved; geological; decoration; gemstone; unresolved; proposal; ; t0; not applicable; material</x:v>
      </x:c>
      <x:c r="AF139" s="4" t="str">
        <x:v>From current item description. Proposed uses retain their existing approval status.</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resources; wing material; raw material; raw; fauna; sun shading; wing membrane; membrane; author direction; sail membrane; wind propulsion; t0; not applicable; material</x:v>
      </x:c>
      <x:c r="AF141" s="4" t="str">
        <x:v>From current item description. Proposed uses retain their existing approval status.</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routes'!$D$6:$D$1005,A143,'Material routes'!$C$6:$C$1005,"Output")</x:f>
        <x:v>1</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routes'!$D$6:$D$1005,A144,'Material routes'!$C$6:$C$1005,"Output")</x:f>
        <x:v>1</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routes'!$D$6:$D$1005,A145,'Material routes'!$C$6:$C$1005,"Output")</x:f>
        <x:v>1</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routes'!$D$6:$D$1005,A147,'Material routes'!$C$6:$C$1005,"Output")</x:f>
        <x:v>1</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routes'!$D$6:$D$1005,A148,'Material routes'!$C$6:$C$1005,"Output")</x:f>
        <x:v>1</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routes'!$D$6:$D$1005,A149,'Material routes'!$C$6:$C$1005,"Output")</x:f>
        <x:v>1</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routes'!$D$6:$D$1005,A150,'Material routes'!$C$6:$C$1005,"Output")</x:f>
        <x:v>1</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routes'!$D$6:$D$1005,A151,'Material routes'!$C$6:$C$1005,"Output")</x:f>
        <x:v>1</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routes'!$D$6:$D$1005,A155,'Material routes'!$C$6:$C$1005,"Output")</x:f>
        <x:v>1</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routes'!$D$6:$D$1005,A156,'Material routes'!$C$6:$C$1005,"Output")</x:f>
        <x:v>1</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routes'!$D$6:$D$1005,A157,'Material routes'!$C$6:$C$1005,"Output")</x:f>
        <x:v>1</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Resources</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Resources</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3</x:v>
      </x:c>
      <x:c r="AL183" s="4" t="n">
        <x:f>COUNTIFS('Material routes'!$D$6:$D$1005,A183,'Material routes'!$C$6:$C$1005,"Tool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Resources</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routes'!$D$6:$D$1005,A185,'Material routes'!$C$6:$C$1005,"Output")</x:f>
        <x:v>1</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routes'!$D$6:$D$1005,A195,'Material routes'!$C$6:$C$1005,"Output")</x:f>
        <x:v>1</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routes'!$D$6:$D$1005,A196,'Material routes'!$C$6:$C$1005,"Output")</x:f>
        <x:v>1</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routes'!$D$6:$D$1005,A197,'Material routes'!$C$6:$C$1005,"Output")</x:f>
        <x:v>1</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routes'!$D$6:$D$1005,A198,'Material routes'!$C$6:$C$1005,"Output")</x:f>
        <x:v>1</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routes'!$D$6:$D$1005,A199,'Material routes'!$C$6:$C$1005,"Output")</x:f>
        <x:v>1</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routes'!$D$6:$D$1005,A200,'Material routes'!$C$6:$C$1005,"Output")</x:f>
        <x:v>1</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routes'!$D$6:$D$1005,A201,'Material routes'!$C$6:$C$1005,"Output")</x:f>
        <x:v>1</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routes'!$D$6:$D$1005,A202,'Material routes'!$C$6:$C$1005,"Output")</x:f>
        <x:v>1</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routes'!$D$6:$D$1005,A203,'Material routes'!$C$6:$C$1005,"Output")</x:f>
        <x:v>1</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routes'!$D$6:$D$1005,A208,'Material routes'!$C$6:$C$1005,"Output")</x:f>
        <x:v>1</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denominations unspecified</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denominations unspecified;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resources; special stone; raw material; raw; geological; illumination; mineral; rock; author direction; ; t0; not applicable; material</x:v>
      </x:c>
      <x:c r="AF212" s="4" t="str">
        <x:v>Author direction establishes stone families. Source mechanisms remain proposal-stage; specific equipment functions are proposals.</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Resources</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resources;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routes'!$D$6:$D$1005,A215,'Material routes'!$C$6:$C$1005,"Output")</x:f>
        <x:v>1</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routes'!$D$6:$D$1005,A223,'Material routes'!$C$6:$C$1005,"Output")</x:f>
        <x:v>1</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routes'!$D$6:$D$1005,A224,'Material routes'!$C$6:$C$1005,"Output")</x:f>
        <x:v>1</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routes'!$D$6:$D$1005,A225,'Material routes'!$C$6:$C$1005,"Output")</x:f>
        <x:v>1</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Resources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6</x:v>
      </x:c>
      <x:c r="AL227" s="4" t="n">
        <x:f>COUNTIFS('Material routes'!$D$6:$D$1005,A227,'Material routes'!$C$6:$C$1005,"Tool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Resources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3</x:v>
      </x:c>
      <x:c r="AL228" s="4" t="n">
        <x:f>COUNTIFS('Material routes'!$D$6:$D$1005,A228,'Material routes'!$C$6:$C$1005,"Tool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Resources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2</x:v>
      </x:c>
      <x:c r="AL229" s="4" t="n">
        <x:f>COUNTIFS('Material routes'!$D$6:$D$1005,A229,'Material routes'!$C$6:$C$1005,"Tool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Resources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resources;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routes'!$D$6:$D$1005,A230,'Material routes'!$C$6:$C$1005,"Output")</x:f>
        <x:v>1</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Resources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resources;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routes'!$D$6:$D$1005,A231,'Material routes'!$C$6:$C$1005,"Output")</x:f>
        <x:v>1</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Resources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Resources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resources;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routes'!$D$6:$D$1005,A233,'Material routes'!$C$6:$C$1005,"Output")</x:f>
        <x:v>1</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Resources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4</x:v>
      </x:c>
      <x:c r="AL234" s="4" t="n">
        <x:f>COUNTIFS('Material routes'!$D$6:$D$1005,A234,'Material routes'!$C$6:$C$1005,"Tool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routes'!$D$6:$D$1005,A239,'Material routes'!$C$6:$C$1005,"Output")</x:f>
        <x:v>1</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routes'!$D$6:$D$1005,A240,'Material routes'!$C$6:$C$1005,"Output")</x:f>
        <x:v>1</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routes'!$D$6:$D$1005,A241,'Material routes'!$C$6:$C$1005,"Output")</x:f>
        <x:v>1</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routes'!$D$6:$D$1005,A242,'Material routes'!$C$6:$C$1005,"Output")</x:f>
        <x:v>1</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Crafting components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crafting components;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Crafting components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crafting components;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routes'!$D$6:$D$1005,A247,'Material routes'!$C$6:$C$1005,"Output")</x:f>
        <x:v>1</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routes'!$D$6:$D$1005,A248,'Material routes'!$C$6:$C$1005,"Output")</x:f>
        <x:v>1</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routes'!$D$6:$D$1005,A249,'Material routes'!$C$6:$C$1005,"Output")</x:f>
        <x:v>1</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routes'!$D$6:$D$1005,A250,'Material routes'!$C$6:$C$1005,"Output")</x:f>
        <x:v>1</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routes'!$D$6:$D$1005,A252,'Material routes'!$C$6:$C$1005,"Output")</x:f>
        <x:v>1</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routes'!$D$6:$D$1005,A253,'Material routes'!$C$6:$C$1005,"Output")</x:f>
        <x:v>1</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routes'!$D$6:$D$1005,A254,'Material routes'!$C$6:$C$1005,"Output")</x:f>
        <x:v>1</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routes'!$D$6:$D$1005,A255,'Material routes'!$C$6:$C$1005,"Output")</x:f>
        <x:v>1</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routes'!$D$6:$D$1005,A256,'Material routes'!$C$6:$C$1005,"Output")</x:f>
        <x:v>1</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routes'!$D$6:$D$1005,A257,'Material routes'!$C$6:$C$1005,"Output")</x:f>
        <x:v>1</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routes'!$D$6:$D$1005,A258,'Material routes'!$C$6:$C$1005,"Output")</x:f>
        <x:v>1</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routes'!$D$6:$D$1005,A259,'Material routes'!$C$6:$C$1005,"Output")</x:f>
        <x:v>1</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status/completeness",IF(C260="T0","Raw entry feed; no production route","No production route listed"))</x:f>
        <x:v>No production route listed</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Crafting components</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Crafting components</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routes'!$D$6:$D$1005,A272,'Material routes'!$C$6:$C$1005,"Output")</x:f>
        <x:v>1</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routes'!$D$6:$D$1005,A273,'Material routes'!$C$6:$C$1005,"Output")</x:f>
        <x:v>1</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routes'!$D$6:$D$1005,A275,'Material routes'!$C$6:$C$1005,"Output")</x:f>
        <x:v>1</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routes'!$D$6:$D$1005,A276,'Material routes'!$C$6:$C$1005,"Output")</x:f>
        <x:v>1</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routes'!$D$6:$D$1005,A277,'Material routes'!$C$6:$C$1005,"Output")</x:f>
        <x:v>1</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routes'!$D$6:$D$1005,A278,'Material routes'!$C$6:$C$1005,"Output")</x:f>
        <x:v>1</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routes'!$D$6:$D$1005,A279,'Material routes'!$C$6:$C$1005,"Output")</x:f>
        <x:v>1</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routes'!$D$6:$D$1005,A280,'Material routes'!$C$6:$C$1005,"Output")</x:f>
        <x:v>1</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routes'!$D$6:$D$1005,A281,'Material routes'!$C$6:$C$1005,"Output")</x:f>
        <x:v>1</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routes'!$D$6:$D$1005,A282,'Material routes'!$C$6:$C$1005,"Output")</x:f>
        <x:v>1</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routes'!$D$6:$D$1005,A283,'Material routes'!$C$6:$C$1005,"Output")</x:f>
        <x:v>1</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routes'!$D$6:$D$1005,A284,'Material routes'!$C$6:$C$1005,"Output")</x:f>
        <x:v>1</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routes'!$D$6:$D$1005,A285,'Material routes'!$C$6:$C$1005,"Output")</x:f>
        <x:v>1</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routes'!$D$6:$D$1005,A286,'Material routes'!$C$6:$C$1005,"Output")</x:f>
        <x:v>1</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routes'!$D$6:$D$1005,A288,'Material routes'!$C$6:$C$1005,"Output")</x:f>
        <x:v>1</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routes'!$D$6:$D$1005,A298,'Material routes'!$C$6:$C$1005,"Output")</x:f>
        <x:v>1</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Crafting components</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Crafting components</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Crafting components</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Crafting components</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Crafting components</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routes'!$D$6:$D$1005,A314,'Material routes'!$C$6:$C$1005,"Output")</x:f>
        <x:v>1</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routes'!$D$6:$D$1005,A315,'Material routes'!$C$6:$C$1005,"Output")</x:f>
        <x:v>1</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resources; stone feedstock; raw material; raw; geological; binding and construction; mineral; rock; proposal; ; t0; not applicable; material</x:v>
      </x:c>
      <x:c r="AF319" s="4" t="str">
        <x:v>Specific raw form and candidate uses are proposals; no automatic biological function, chemistry, deposit or crafting capability.</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resources; stone feedstock; raw material; raw; geological; surface finishing; mineral; rock; proposal; ; t0; not applicable; material</x:v>
      </x:c>
      <x:c r="AF321" s="4" t="str">
        <x:v>Specific raw form and candidate uses are proposals; no automatic biological function, chemistry, deposit or crafting capability.</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resources; stone feedstock; raw material; raw; geological; glass and ceramics; mineral; rock; proposal; ; t0; not applicable; material</x:v>
      </x:c>
      <x:c r="AF322" s="4" t="str">
        <x:v>Specific raw form and candidate uses are proposals; no automatic biological function, chemistry, deposit or crafting capability.</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Resources</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resources;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Resources</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resources;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Resources</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resources;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Resources</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resources;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Resources</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resources;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Resources</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resources;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Resources</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resources;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resources; stone feedstock; raw material; raw; geological; binding and construction; mineral; rock; proposal; ; t0; not applicable; material</x:v>
      </x:c>
      <x:c r="AF335" s="4" t="str">
        <x:v>Specific raw form and candidate uses are proposals; no automatic biological function, chemistry, deposit or crafting capability.</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resources; stone feedstock; raw material; raw; geological; tool fabrication; mineral; rock; proposal; ; t0; not applicable; material</x:v>
      </x:c>
      <x:c r="AF336" s="4" t="str">
        <x:v>Specific raw form and candidate uses are proposals; no automatic biological function, chemistry, deposit or crafting capability.</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resources; stone feedstock; raw material; raw; geological; surface finishing; mineral; rock; proposal; ; t0; not applicable; material</x:v>
      </x:c>
      <x:c r="AF337" s="4" t="str">
        <x:v>Specific raw form and candidate uses are proposals; no automatic biological function, chemistry, deposit or crafting capability.</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resources; stone feedstock; raw material; raw; geological; fabrication; mineral; rock; proposal; ; t0; not applicable; material</x:v>
      </x:c>
      <x:c r="AF338" s="4" t="str">
        <x:v>Specific raw form and candidate uses are proposals; no automatic biological function, chemistry, deposit or crafting capability.</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resources; faunal hard-part feedstock; raw material; raw; fauna; vision; faunal tissue; solid piece; proposal; ; t0; not applicable; material</x:v>
      </x:c>
      <x:c r="AF344" s="4" t="str">
        <x:v>Specific raw form and candidate uses are proposals; no automatic biological function, chemistry, deposit or crafting capability.</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Resources</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resources;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Resources</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resources;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Resources</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resources;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Resources</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resources;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Resources</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resources;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Resources</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resources;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Resources</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resources;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Resources</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resources;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Resources</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resources;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Resources</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resources;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Resources</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resources;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Resources</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resources;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Resources</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resources; tier 1 material concept; processed material; processed intermediate; geological; metal refining; metal; solid piece; proposal; fabrication; t1; not applicable; material</x:v>
      </x:c>
      <x:c r="AF359" s="4" t="str">
        <x:v>First-stage refinement proposal. Source material/cultural records remain proposal-stage.</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Resources</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resources; tier 1 material concept; processed material; processed intermediate; geological; electrical conduction; metal; solid piece; proposal; fabrication; t1; not applicable; material</x:v>
      </x:c>
      <x:c r="AF360" s="4" t="str">
        <x:v>First-stage refinement proposal. Source material/cultural records remain proposal-stage.</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Resources</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resources; tier 1 material concept; processed material; processed intermediate; industrial salvage; fabrication; metal; solid piece; proposal; ; t1; not applicable; material</x:v>
      </x:c>
      <x:c r="AF361" s="4" t="str">
        <x:v>First-stage refinement proposal. Source material/cultural records remain proposal-stage.</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Resources</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resources; tier 1 material concept; processed material; processed intermediate; industrial salvage; fabrication; metal; solid piece; proposal; ; t1; not applicable; material</x:v>
      </x:c>
      <x:c r="AF362" s="4" t="str">
        <x:v>First-stage refinement proposal. Source material/cultural records remain proposal-stage.</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2</x:v>
      </x:c>
      <x:c r="AL362" s="4" t="n">
        <x:f>COUNTIFS('Material routes'!$D$6:$D$1005,A362,'Material routes'!$C$6:$C$1005,"Tool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Resources</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resources; tier 1 material concept; processed material; processed intermediate; geological; glass and ceramics; glass; solid piece; proposal; fabrication; t1; not applicable; material</x:v>
      </x:c>
      <x:c r="AF363" s="4" t="str">
        <x:v>First-stage refinement proposal. Source material/cultural records remain proposal-stage.</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Resources</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resources; tier 1 material concept; processed material; processed intermediate; geological; inspection; glass; solid piece; proposal; glass and ceramics; t1; not applicable; material</x:v>
      </x:c>
      <x:c r="AF364" s="4" t="str">
        <x:v>First-stage refinement proposal. Source material/cultural records remain proposal-stage.</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2</x:v>
      </x:c>
      <x:c r="AL364" s="4" t="n">
        <x:f>COUNTIFS('Material routes'!$D$6:$D$1005,A364,'Material routes'!$C$6:$C$1005,"Tool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Resources</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resources; tier 1 material concept; processed material; processed intermediate; geological; binding and construction; mineral; solid piece; proposal; fabrication; t1; not applicable; material</x:v>
      </x:c>
      <x:c r="AF365" s="4" t="str">
        <x:v>First-stage refinement proposal. Source material/cultural records remain proposal-stage.</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Resources</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resources; tier 1 material concept; processed material; processed intermediate; geological; music; mineral; solid piece; proposal; fabrication; t1; not applicable; material</x:v>
      </x:c>
      <x:c r="AF366" s="4" t="str">
        <x:v>First-stage refinement proposal. Source material/cultural records remain proposal-stage.</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Resources</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resources; tier 1 material concept; processed material; processed intermediate; geological; decoration; mineral; particles; proposal; writing and records; t1; not applicable; material</x:v>
      </x:c>
      <x:c r="AF367" s="4" t="str">
        <x:v>First-stage refinement proposal. Source material/cultural records remain proposal-stage.</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2</x:v>
      </x:c>
      <x:c r="AL367" s="4" t="n">
        <x:f>COUNTIFS('Material routes'!$D$6:$D$1005,A367,'Material routes'!$C$6:$C$1005,"Tool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Resources</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resources; tier 1 material concept; processed material; processed intermediate; geological; binding and construction; mineral; particles; proposal; fabrication; t1; not applicable; material</x:v>
      </x:c>
      <x:c r="AF368" s="4" t="str">
        <x:v>First-stage refinement proposal. Source material/cultural records remain proposal-stage.</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3</x:v>
      </x:c>
      <x:c r="AL368" s="4" t="n">
        <x:f>COUNTIFS('Material routes'!$D$6:$D$1005,A368,'Material routes'!$C$6:$C$1005,"Tool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Resources</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resources; tier 1 material concept; processed material; processed intermediate; industrial salvage; glass and ceramics; glass; particles; proposal; ; t1; not applicable; material</x:v>
      </x:c>
      <x:c r="AF369" s="4" t="str">
        <x:v>First-stage refinement proposal. Source material/cultural records remain proposal-stage.</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Resources</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resources; tier 1 material concept; processed material; processed intermediate; geological; fabrication; mineral; particles; proposal; decoration; t1; not applicable; material</x:v>
      </x:c>
      <x:c r="AF370" s="4" t="str">
        <x:v>First-stage refinement proposal. Source material/cultural records remain proposal-stage.</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2</x:v>
      </x:c>
      <x:c r="AL370" s="4" t="n">
        <x:f>COUNTIFS('Material routes'!$D$6:$D$1005,A370,'Material routes'!$C$6:$C$1005,"Tool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Resources</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resources; tier 1 material concept; processed material; processed intermediate; fauna; paper making; husk fiber; unresolved; proposal; textile processing; t1; not applicable; material</x:v>
      </x:c>
      <x:c r="AF371" s="4" t="str">
        <x:v>First-stage refinement proposal. Source material/cultural records remain proposal-stage.</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Resources</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resources; tier 1 material concept; processed material; processed intermediate; fauna; dust exclusion; faunal fiber; bundle; proposal; ; t1; not applicable; material</x:v>
      </x:c>
      <x:c r="AF372" s="4" t="str">
        <x:v>First-stage refinement proposal. Source material/cultural records remain proposal-stage.</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1</x:v>
      </x:c>
      <x:c r="AL372" s="4" t="n">
        <x:f>COUNTIFS('Material routes'!$D$6:$D$1005,A372,'Material routes'!$C$6:$C$1005,"Tool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Resources</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resources; tier 1 material concept; processed material; processed intermediate; fauna; protective fabrication; shell / chitin; sheet; proposal; fabrication; t1; not applicable; material</x:v>
      </x:c>
      <x:c r="AF373" s="4" t="str">
        <x:v>First-stage refinement proposal. Source material/cultural records remain proposal-stage.</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Resources</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resources; tier 1 material concept; processed material; processed intermediate; fauna; tool fabrication; faunal hard tissue; solid piece; proposal; ; t1; not applicable; material</x:v>
      </x:c>
      <x:c r="AF374" s="4" t="str">
        <x:v>First-stage refinement proposal. Source material/cultural records remain proposal-stage.</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1</x:v>
      </x:c>
      <x:c r="AL374" s="4" t="n">
        <x:f>COUNTIFS('Material routes'!$D$6:$D$1005,A374,'Material routes'!$C$6:$C$1005,"Tool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Resources</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resources; tier 1 material concept; processed material; processed intermediate; geological; chemical processing; mineral; particles; proposal; ; t1; not applicable; material</x:v>
      </x:c>
      <x:c r="AF375" s="4" t="str">
        <x:v>First-stage refinement proposal. Source material/cultural records remain proposal-stage.</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Resources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8</x:v>
      </x:c>
      <x:c r="AL376" s="4" t="n">
        <x:f>COUNTIFS('Material routes'!$D$6:$D$1005,A376,'Material routes'!$C$6:$C$1005,"Tool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Resources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6</x:v>
      </x:c>
      <x:c r="AL377" s="4" t="n">
        <x:f>COUNTIFS('Material routes'!$D$6:$D$1005,A377,'Material routes'!$C$6:$C$1005,"Tool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Resources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resources; tier 1 material concept; chemical material; processed intermediate; fauna; equipment repair; biological chemical; unresolved; proposal; sealing; t1; not applicable; material</x:v>
      </x:c>
      <x:c r="AF378" s="4" t="str">
        <x:v>First-stage refinement proposal. Source material/cultural records remain proposal-stage.</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2</x:v>
      </x:c>
      <x:c r="AL378" s="4" t="n">
        <x:f>COUNTIFS('Material routes'!$D$6:$D$1005,A378,'Material routes'!$C$6:$C$1005,"Tool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Resources</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resources; tier 1 material concept; processed material; processed intermediate; geological; decoration; gemstone; solid piece; proposal; ; t1; not applicable; material</x:v>
      </x:c>
      <x:c r="AF379" s="4" t="str">
        <x:v>First-stage refinement proposal. Source material/cultural records remain proposal-stage.</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Resources</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resources; tier 1 material concept; processed material; processed intermediate; geological; decoration; gemstone; particles; proposal; ; t1; not applicable; material</x:v>
      </x:c>
      <x:c r="AF380" s="4" t="str">
        <x:v>First-stage refinement proposal. Source material/cultural records remain proposal-stage.</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Resources</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resources; tier 1 material concept; processed material; processed intermediate; fauna; decoration; shell / chitin; sheet; proposal; ; t1; not applicable; material</x:v>
      </x:c>
      <x:c r="AF381" s="4" t="str">
        <x:v>First-stage refinement proposal. Source material/cultural records remain proposal-stage.</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Resources</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resources; tier 1 material concept; processed material; processed intermediate; geological; inspection; mineral; sheet; proposal; fabrication; t1; not applicable; material</x:v>
      </x:c>
      <x:c r="AF382" s="4" t="str">
        <x:v>First-stage refinement proposal. Source material/cultural records remain proposal-stage.</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Resources</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routes'!$D$6:$D$1005,A394,'Material routes'!$C$6:$C$1005,"Output")</x:f>
        <x:v>1</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Resources</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39</x:v>
      </x:c>
      <x:c r="AL408" s="4" t="n">
        <x:f>COUNTIFS('Material routes'!$D$6:$D$1005,A408,'Material routes'!$C$6:$C$1005,"Tool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Resources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Resources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routes'!$D$6:$D$1005,A412,'Material routes'!$C$6:$C$1005,"Output")</x:f>
        <x:v>1</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Resources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routes'!$D$6:$D$1005,A413,'Material routes'!$C$6:$C$1005,"Output")</x:f>
        <x:v>1</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Resources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Resources</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Resources</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Resources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3</x:v>
      </x:c>
      <x:c r="AL418" s="4" t="n">
        <x:f>COUNTIFS('Material routes'!$D$6:$D$1005,A418,'Material routes'!$C$6:$C$1005,"Tool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Resources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Resources</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2</x:v>
      </x:c>
      <x:c r="AL420" s="4" t="n">
        <x:f>COUNTIFS('Material routes'!$D$6:$D$1005,A420,'Material routes'!$C$6:$C$1005,"Tool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Resources</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8</x:v>
      </x:c>
      <x:c r="AL421" s="4" t="n">
        <x:f>COUNTIFS('Material routes'!$D$6:$D$1005,A421,'Material routes'!$C$6:$C$1005,"Tool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Resources</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20</x:v>
      </x:c>
      <x:c r="AL422" s="4" t="n">
        <x:f>COUNTIFS('Material routes'!$D$6:$D$1005,A422,'Material routes'!$C$6:$C$1005,"Tool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Resources</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4</x:v>
      </x:c>
      <x:c r="AL423" s="4" t="n">
        <x:f>COUNTIFS('Material routes'!$D$6:$D$1005,A423,'Material routes'!$C$6:$C$1005,"Tool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Resources</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1</x:v>
      </x:c>
      <x:c r="AL424" s="4" t="n">
        <x:f>COUNTIFS('Material routes'!$D$6:$D$1005,A424,'Material routes'!$C$6:$C$1005,"Tool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Resources</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2</x:v>
      </x:c>
      <x:c r="AL425" s="4" t="n">
        <x:f>COUNTIFS('Material routes'!$D$6:$D$1005,A425,'Material routes'!$C$6:$C$1005,"Tool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Resources</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5</x:v>
      </x:c>
      <x:c r="AL426" s="4" t="n">
        <x:f>COUNTIFS('Material routes'!$D$6:$D$1005,A426,'Material routes'!$C$6:$C$1005,"Tool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Resources</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2</x:v>
      </x:c>
      <x:c r="AL427" s="4" t="n">
        <x:f>COUNTIFS('Material routes'!$D$6:$D$1005,A427,'Material routes'!$C$6:$C$1005,"Tool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Resources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9</x:v>
      </x:c>
      <x:c r="AL428" s="4" t="n">
        <x:f>COUNTIFS('Material routes'!$D$6:$D$1005,A428,'Material routes'!$C$6:$C$1005,"Tool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Resources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12</x:v>
      </x:c>
      <x:c r="AL429" s="4" t="n">
        <x:f>COUNTIFS('Material routes'!$D$6:$D$1005,A429,'Material routes'!$C$6:$C$1005,"Tool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Resources</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2</x:v>
      </x:c>
      <x:c r="AL430" s="4" t="n">
        <x:f>COUNTIFS('Material routes'!$D$6:$D$1005,A430,'Material routes'!$C$6:$C$1005,"Tool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Resources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9</x:v>
      </x:c>
      <x:c r="AL431" s="4" t="n">
        <x:f>COUNTIFS('Material routes'!$D$6:$D$1005,A431,'Material routes'!$C$6:$C$1005,"Tool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Resources</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5</x:v>
      </x:c>
      <x:c r="AL432" s="4" t="n">
        <x:f>COUNTIFS('Material routes'!$D$6:$D$1005,A432,'Material routes'!$C$6:$C$1005,"Tool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Resources</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1</x:v>
      </x:c>
      <x:c r="AL433" s="4" t="n">
        <x:f>COUNTIFS('Material routes'!$D$6:$D$1005,A433,'Material routes'!$C$6:$C$1005,"Tool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Resources</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2</x:v>
      </x:c>
      <x:c r="AL434" s="4" t="n">
        <x:f>COUNTIFS('Material routes'!$D$6:$D$1005,A434,'Material routes'!$C$6:$C$1005,"Tool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Resources</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2</x:v>
      </x:c>
      <x:c r="AL435" s="4" t="n">
        <x:f>COUNTIFS('Material routes'!$D$6:$D$1005,A435,'Material routes'!$C$6:$C$1005,"Tool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Resources</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12</x:v>
      </x:c>
      <x:c r="AL436" s="4" t="n">
        <x:f>COUNTIFS('Material routes'!$D$6:$D$1005,A436,'Material routes'!$C$6:$C$1005,"Tool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Resources</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4</x:v>
      </x:c>
      <x:c r="AL437" s="4" t="n">
        <x:f>COUNTIFS('Material routes'!$D$6:$D$1005,A437,'Material routes'!$C$6:$C$1005,"Tool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Resources</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Resources</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Resources</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3</x:v>
      </x:c>
      <x:c r="AL440" s="4" t="n">
        <x:f>COUNTIFS('Material routes'!$D$6:$D$1005,A440,'Material routes'!$C$6:$C$1005,"Tool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Resources</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8</x:v>
      </x:c>
      <x:c r="AL441" s="4" t="n">
        <x:f>COUNTIFS('Material routes'!$D$6:$D$1005,A441,'Material routes'!$C$6:$C$1005,"Tool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Resources</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1</x:v>
      </x:c>
      <x:c r="AL442" s="4" t="n">
        <x:f>COUNTIFS('Material routes'!$D$6:$D$1005,A442,'Material routes'!$C$6:$C$1005,"Tool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Resources</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Resources</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Resources</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routes'!$D$6:$D$1005,A448,'Material routes'!$C$6:$C$1005,"Output")</x:f>
        <x:v>1</x:v>
      </x:c>
      <x:c r="AK448" s="4" t="n">
        <x:f>SUM(COUNTIFS('Material routes'!$D$6:$D$1005,A448,'Material routes'!$C$6:$C$1005,"Ingredient candidate"),COUNTIFS('Material routes'!$D$6:$D$1005,A448,'Material routes'!$C$6:$C$1005,"Consumed input"),COUNTIFS('Material routes'!$D$6:$D$1005,A448,'Material routes'!$C$6:$C$1005,"Contained input"),COUNTIFS('Material routes'!$D$6:$D$1005,A448,'Material routes'!$C$6:$C$1005,"Transform input"))</x:f>
        <x:v>4</x:v>
      </x:c>
      <x:c r="AL448" s="4" t="n">
        <x:f>COUNTIFS('Material routes'!$D$6:$D$1005,A448,'Material routes'!$C$6:$C$1005,"Tool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routes'!$D$6:$D$1005,A449,'Material routes'!$C$6:$C$1005,"Output")</x:f>
        <x:v>1</x:v>
      </x:c>
      <x:c r="AK449" s="4" t="n">
        <x:f>SUM(COUNTIFS('Material routes'!$D$6:$D$1005,A449,'Material routes'!$C$6:$C$1005,"Ingredient candidate"),COUNTIFS('Material routes'!$D$6:$D$1005,A449,'Material routes'!$C$6:$C$1005,"Consumed input"),COUNTIFS('Material routes'!$D$6:$D$1005,A449,'Material routes'!$C$6:$C$1005,"Contained input"),COUNTIFS('Material routes'!$D$6:$D$1005,A449,'Material routes'!$C$6:$C$1005,"Transform input"))</x:f>
        <x:v>8</x:v>
      </x:c>
      <x:c r="AL449" s="4" t="n">
        <x:f>COUNTIFS('Material routes'!$D$6:$D$1005,A449,'Material routes'!$C$6:$C$1005,"Tool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Resources</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resources;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x:v>
      </x:c>
      <x:c r="AG450" s="4" t="str">
        <x:v>Proposed T3: one stage above highest listed T2 ingredient; partial recipe may change.</x:v>
      </x:c>
      <x:c r="AH450" s="4" t="str">
        <x:v>Not applicable</x:v>
      </x:c>
      <x:c r="AI450" s="4" t="str">
        <x:v>Material</x:v>
      </x:c>
      <x:c r="AJ450" s="4" t="n">
        <x:f>COUNTIFS('Material routes'!$D$6:$D$1005,A450,'Material routes'!$C$6:$C$1005,"Output")</x:f>
        <x:v>1</x:v>
      </x:c>
      <x:c r="AK450" s="4" t="n">
        <x:f>SUM(COUNTIFS('Material routes'!$D$6:$D$1005,A450,'Material routes'!$C$6:$C$1005,"Ingredient candidate"),COUNTIFS('Material routes'!$D$6:$D$1005,A450,'Material routes'!$C$6:$C$1005,"Consumed input"),COUNTIFS('Material routes'!$D$6:$D$1005,A450,'Material routes'!$C$6:$C$1005,"Contained input"),COUNTIFS('Material routes'!$D$6:$D$1005,A450,'Material routes'!$C$6:$C$1005,"Transform input"))</x:f>
        <x:v>13</x:v>
      </x:c>
      <x:c r="AL450" s="4" t="n">
        <x:f>COUNTIFS('Material routes'!$D$6:$D$1005,A450,'Material routes'!$C$6:$C$1005,"Tool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Resources</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resources;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x:v>
      </x:c>
      <x:c r="AG451" s="4" t="str">
        <x:v>Proposed T3: one stage above highest listed T2 ingredient; partial recipe may change.</x:v>
      </x:c>
      <x:c r="AH451" s="4" t="str">
        <x:v>Not applicable</x:v>
      </x:c>
      <x:c r="AI451" s="4" t="str">
        <x:v>Material</x:v>
      </x:c>
      <x:c r="AJ451" s="4" t="n">
        <x:f>COUNTIFS('Material routes'!$D$6:$D$1005,A451,'Material routes'!$C$6:$C$1005,"Output")</x:f>
        <x:v>1</x:v>
      </x:c>
      <x:c r="AK451" s="4" t="n">
        <x:f>SUM(COUNTIFS('Material routes'!$D$6:$D$1005,A451,'Material routes'!$C$6:$C$1005,"Ingredient candidate"),COUNTIFS('Material routes'!$D$6:$D$1005,A451,'Material routes'!$C$6:$C$1005,"Consumed input"),COUNTIFS('Material routes'!$D$6:$D$1005,A451,'Material routes'!$C$6:$C$1005,"Contained input"),COUNTIFS('Material routes'!$D$6:$D$1005,A451,'Material routes'!$C$6:$C$1005,"Transform input"))</x:f>
        <x:v>1</x:v>
      </x:c>
      <x:c r="AL451" s="4" t="n">
        <x:f>COUNTIFS('Material routes'!$D$6:$D$1005,A451,'Material routes'!$C$6:$C$1005,"Tool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routes'!$D$6:$D$1005,A452,'Material routes'!$C$6:$C$1005,"Output")</x:f>
        <x:v>1</x:v>
      </x:c>
      <x:c r="AK452" s="4" t="n">
        <x:f>SUM(COUNTIFS('Material routes'!$D$6:$D$1005,A452,'Material routes'!$C$6:$C$1005,"Ingredient candidate"),COUNTIFS('Material routes'!$D$6:$D$1005,A452,'Material routes'!$C$6:$C$1005,"Consumed input"),COUNTIFS('Material routes'!$D$6:$D$1005,A452,'Material routes'!$C$6:$C$1005,"Contained input"),COUNTIFS('Material routes'!$D$6:$D$1005,A452,'Material routes'!$C$6:$C$1005,"Transform input"))</x:f>
        <x:v>2</x:v>
      </x:c>
      <x:c r="AL452" s="4" t="n">
        <x:f>COUNTIFS('Material routes'!$D$6:$D$1005,A452,'Material routes'!$C$6:$C$1005,"Tool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Resources</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resources;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x:v>
      </x:c>
      <x:c r="AG453" s="4" t="str">
        <x:v>Proposed T3: one stage above highest listed T2 ingredient; partial recipe may change.</x:v>
      </x:c>
      <x:c r="AH453" s="4" t="str">
        <x:v>Not applicable</x:v>
      </x:c>
      <x:c r="AI453" s="4" t="str">
        <x:v>Material</x:v>
      </x:c>
      <x:c r="AJ453" s="4" t="n">
        <x:f>COUNTIFS('Material routes'!$D$6:$D$1005,A453,'Material routes'!$C$6:$C$1005,"Output")</x:f>
        <x:v>1</x:v>
      </x:c>
      <x:c r="AK453" s="4" t="n">
        <x:f>SUM(COUNTIFS('Material routes'!$D$6:$D$1005,A453,'Material routes'!$C$6:$C$1005,"Ingredient candidate"),COUNTIFS('Material routes'!$D$6:$D$1005,A453,'Material routes'!$C$6:$C$1005,"Consumed input"),COUNTIFS('Material routes'!$D$6:$D$1005,A453,'Material routes'!$C$6:$C$1005,"Contained input"),COUNTIFS('Material routes'!$D$6:$D$1005,A453,'Material routes'!$C$6:$C$1005,"Transform input"))</x:f>
        <x:v>1</x:v>
      </x:c>
      <x:c r="AL453" s="4" t="n">
        <x:f>COUNTIFS('Material routes'!$D$6:$D$1005,A453,'Material routes'!$C$6:$C$1005,"Tool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routes'!$D$6:$D$1005,A454,'Material routes'!$C$6:$C$1005,"Output")</x:f>
        <x:v>1</x:v>
      </x:c>
      <x:c r="AK454" s="4" t="n">
        <x:f>SUM(COUNTIFS('Material routes'!$D$6:$D$1005,A454,'Material routes'!$C$6:$C$1005,"Ingredient candidate"),COUNTIFS('Material routes'!$D$6:$D$1005,A454,'Material routes'!$C$6:$C$1005,"Consumed input"),COUNTIFS('Material routes'!$D$6:$D$1005,A454,'Material routes'!$C$6:$C$1005,"Contained input"),COUNTIFS('Material routes'!$D$6:$D$1005,A454,'Material routes'!$C$6:$C$1005,"Transform input"))</x:f>
        <x:v>5</x:v>
      </x:c>
      <x:c r="AL454" s="4" t="n">
        <x:f>COUNTIFS('Material routes'!$D$6:$D$1005,A454,'Material routes'!$C$6:$C$1005,"Tool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routes'!$D$6:$D$1005,A455,'Material routes'!$C$6:$C$1005,"Output")</x:f>
        <x:v>1</x:v>
      </x:c>
      <x:c r="AK455" s="4" t="n">
        <x:f>SUM(COUNTIFS('Material routes'!$D$6:$D$1005,A455,'Material routes'!$C$6:$C$1005,"Ingredient candidate"),COUNTIFS('Material routes'!$D$6:$D$1005,A455,'Material routes'!$C$6:$C$1005,"Consumed input"),COUNTIFS('Material routes'!$D$6:$D$1005,A455,'Material routes'!$C$6:$C$1005,"Contained input"),COUNTIFS('Material routes'!$D$6:$D$1005,A455,'Material routes'!$C$6:$C$1005,"Transform input"))</x:f>
        <x:v>2</x:v>
      </x:c>
      <x:c r="AL455" s="4" t="n">
        <x:f>COUNTIFS('Material routes'!$D$6:$D$1005,A455,'Material routes'!$C$6:$C$1005,"Tool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routes'!$D$6:$D$1005,A456,'Material routes'!$C$6:$C$1005,"Output")</x:f>
        <x:v>1</x:v>
      </x:c>
      <x:c r="AK456" s="4" t="n">
        <x:f>SUM(COUNTIFS('Material routes'!$D$6:$D$1005,A456,'Material routes'!$C$6:$C$1005,"Ingredient candidate"),COUNTIFS('Material routes'!$D$6:$D$1005,A456,'Material routes'!$C$6:$C$1005,"Consumed input"),COUNTIFS('Material routes'!$D$6:$D$1005,A456,'Material routes'!$C$6:$C$1005,"Contained input"),COUNTIFS('Material routes'!$D$6:$D$1005,A456,'Material routes'!$C$6:$C$1005,"Transform input"))</x:f>
        <x:v>3</x:v>
      </x:c>
      <x:c r="AL456" s="4" t="n">
        <x:f>COUNTIFS('Material routes'!$D$6:$D$1005,A456,'Material routes'!$C$6:$C$1005,"Tool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Resources</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resources;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x:v>
      </x:c>
      <x:c r="AG457" s="4" t="str">
        <x:v>Proposed T3: one stage above highest listed T2 ingredient; partial recipe may change.</x:v>
      </x:c>
      <x:c r="AH457" s="4" t="str">
        <x:v>Not applicable</x:v>
      </x:c>
      <x:c r="AI457" s="4" t="str">
        <x:v>Material</x:v>
      </x:c>
      <x:c r="AJ457" s="4" t="n">
        <x:f>COUNTIFS('Material routes'!$D$6:$D$1005,A457,'Material routes'!$C$6:$C$1005,"Output")</x:f>
        <x:v>1</x:v>
      </x:c>
      <x:c r="AK457" s="4" t="n">
        <x:f>SUM(COUNTIFS('Material routes'!$D$6:$D$1005,A457,'Material routes'!$C$6:$C$1005,"Ingredient candidate"),COUNTIFS('Material routes'!$D$6:$D$1005,A457,'Material routes'!$C$6:$C$1005,"Consumed input"),COUNTIFS('Material routes'!$D$6:$D$1005,A457,'Material routes'!$C$6:$C$1005,"Contained input"),COUNTIFS('Material routes'!$D$6:$D$1005,A457,'Material routes'!$C$6:$C$1005,"Transform input"))</x:f>
        <x:v>0</x:v>
      </x:c>
      <x:c r="AL457" s="4" t="n">
        <x:f>COUNTIFS('Material routes'!$D$6:$D$1005,A457,'Material routes'!$C$6:$C$1005,"Tool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Resources</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resources;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x:v>
      </x:c>
      <x:c r="AG458" s="4" t="str">
        <x:v>Proposed T3: one stage above highest listed T2 ingredient; partial recipe may change.</x:v>
      </x:c>
      <x:c r="AH458" s="4" t="str">
        <x:v>Not applicable</x:v>
      </x:c>
      <x:c r="AI458" s="4" t="str">
        <x:v>Material</x:v>
      </x:c>
      <x:c r="AJ458" s="4" t="n">
        <x:f>COUNTIFS('Material routes'!$D$6:$D$1005,A458,'Material routes'!$C$6:$C$1005,"Output")</x:f>
        <x:v>1</x:v>
      </x:c>
      <x:c r="AK458" s="4" t="n">
        <x:f>SUM(COUNTIFS('Material routes'!$D$6:$D$1005,A458,'Material routes'!$C$6:$C$1005,"Ingredient candidate"),COUNTIFS('Material routes'!$D$6:$D$1005,A458,'Material routes'!$C$6:$C$1005,"Consumed input"),COUNTIFS('Material routes'!$D$6:$D$1005,A458,'Material routes'!$C$6:$C$1005,"Contained input"),COUNTIFS('Material routes'!$D$6:$D$1005,A458,'Material routes'!$C$6:$C$1005,"Transform input"))</x:f>
        <x:v>8</x:v>
      </x:c>
      <x:c r="AL458" s="4" t="n">
        <x:f>COUNTIFS('Material routes'!$D$6:$D$1005,A458,'Material routes'!$C$6:$C$1005,"Tool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Resources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resources;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x:v>
      </x:c>
      <x:c r="AG459" s="4" t="str">
        <x:v>Proposed T3: one stage above highest listed T2 ingredient; partial recipe may change.</x:v>
      </x:c>
      <x:c r="AH459" s="4" t="str">
        <x:v>Not applicable</x:v>
      </x:c>
      <x:c r="AI459" s="4" t="str">
        <x:v>Material</x:v>
      </x:c>
      <x:c r="AJ459" s="4" t="n">
        <x:f>COUNTIFS('Material routes'!$D$6:$D$1005,A459,'Material routes'!$C$6:$C$1005,"Output")</x:f>
        <x:v>1</x:v>
      </x:c>
      <x:c r="AK459" s="4" t="n">
        <x:f>SUM(COUNTIFS('Material routes'!$D$6:$D$1005,A459,'Material routes'!$C$6:$C$1005,"Ingredient candidate"),COUNTIFS('Material routes'!$D$6:$D$1005,A459,'Material routes'!$C$6:$C$1005,"Consumed input"),COUNTIFS('Material routes'!$D$6:$D$1005,A459,'Material routes'!$C$6:$C$1005,"Contained input"),COUNTIFS('Material routes'!$D$6:$D$1005,A459,'Material routes'!$C$6:$C$1005,"Transform input"))</x:f>
        <x:v>6</x:v>
      </x:c>
      <x:c r="AL459" s="4" t="n">
        <x:f>COUNTIFS('Material routes'!$D$6:$D$1005,A459,'Material routes'!$C$6:$C$1005,"Tool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Resources</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resources;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x:v>
      </x:c>
      <x:c r="AG460" s="4" t="str">
        <x:v>Proposed T3: one stage above highest listed T2 ingredient; partial recipe may change.</x:v>
      </x:c>
      <x:c r="AH460" s="4" t="str">
        <x:v>Not applicable</x:v>
      </x:c>
      <x:c r="AI460" s="4" t="str">
        <x:v>Material</x:v>
      </x:c>
      <x:c r="AJ460" s="4" t="n">
        <x:f>COUNTIFS('Material routes'!$D$6:$D$1005,A460,'Material routes'!$C$6:$C$1005,"Output")</x:f>
        <x:v>1</x:v>
      </x:c>
      <x:c r="AK460" s="4" t="n">
        <x:f>SUM(COUNTIFS('Material routes'!$D$6:$D$1005,A460,'Material routes'!$C$6:$C$1005,"Ingredient candidate"),COUNTIFS('Material routes'!$D$6:$D$1005,A460,'Material routes'!$C$6:$C$1005,"Consumed input"),COUNTIFS('Material routes'!$D$6:$D$1005,A460,'Material routes'!$C$6:$C$1005,"Contained input"),COUNTIFS('Material routes'!$D$6:$D$1005,A460,'Material routes'!$C$6:$C$1005,"Transform input"))</x:f>
        <x:v>1</x:v>
      </x:c>
      <x:c r="AL460" s="4" t="n">
        <x:f>COUNTIFS('Material routes'!$D$6:$D$1005,A460,'Material routes'!$C$6:$C$1005,"Tool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routes'!$D$6:$D$1005,A461,'Material routes'!$C$6:$C$1005,"Output")</x:f>
        <x:v>1</x:v>
      </x:c>
      <x:c r="AK461" s="4" t="n">
        <x:f>SUM(COUNTIFS('Material routes'!$D$6:$D$1005,A461,'Material routes'!$C$6:$C$1005,"Ingredient candidate"),COUNTIFS('Material routes'!$D$6:$D$1005,A461,'Material routes'!$C$6:$C$1005,"Consumed input"),COUNTIFS('Material routes'!$D$6:$D$1005,A461,'Material routes'!$C$6:$C$1005,"Contained input"),COUNTIFS('Material routes'!$D$6:$D$1005,A461,'Material routes'!$C$6:$C$1005,"Transform input"))</x:f>
        <x:v>1</x:v>
      </x:c>
      <x:c r="AL461" s="4" t="n">
        <x:f>COUNTIFS('Material routes'!$D$6:$D$1005,A461,'Material routes'!$C$6:$C$1005,"Tool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Resources</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resources;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x:v>
      </x:c>
      <x:c r="AG462" s="4" t="str">
        <x:v>Proposed T3: one stage above highest listed T2 ingredient; partial recipe may change.</x:v>
      </x:c>
      <x:c r="AH462" s="4" t="str">
        <x:v>Not applicable</x:v>
      </x:c>
      <x:c r="AI462" s="4" t="str">
        <x:v>Material</x:v>
      </x:c>
      <x:c r="AJ462" s="4" t="n">
        <x:f>COUNTIFS('Material routes'!$D$6:$D$1005,A462,'Material routes'!$C$6:$C$1005,"Output")</x:f>
        <x:v>1</x:v>
      </x:c>
      <x:c r="AK462" s="4" t="n">
        <x:f>SUM(COUNTIFS('Material routes'!$D$6:$D$1005,A462,'Material routes'!$C$6:$C$1005,"Ingredient candidate"),COUNTIFS('Material routes'!$D$6:$D$1005,A462,'Material routes'!$C$6:$C$1005,"Consumed input"),COUNTIFS('Material routes'!$D$6:$D$1005,A462,'Material routes'!$C$6:$C$1005,"Contained input"),COUNTIFS('Material routes'!$D$6:$D$1005,A462,'Material routes'!$C$6:$C$1005,"Transform input"))</x:f>
        <x:v>1</x:v>
      </x:c>
      <x:c r="AL462" s="4" t="n">
        <x:f>COUNTIFS('Material routes'!$D$6:$D$1005,A462,'Material routes'!$C$6:$C$1005,"Tool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Resources</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resources;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x:v>
      </x:c>
      <x:c r="AG463" s="4" t="str">
        <x:v>Proposed T3: one stage above highest listed T2 ingredient; partial recipe may change.</x:v>
      </x:c>
      <x:c r="AH463" s="4" t="str">
        <x:v>Not applicable</x:v>
      </x:c>
      <x:c r="AI463" s="4" t="str">
        <x:v>Material</x:v>
      </x:c>
      <x:c r="AJ463" s="4" t="n">
        <x:f>COUNTIFS('Material routes'!$D$6:$D$1005,A463,'Material routes'!$C$6:$C$1005,"Output")</x:f>
        <x:v>1</x:v>
      </x:c>
      <x:c r="AK463" s="4" t="n">
        <x:f>SUM(COUNTIFS('Material routes'!$D$6:$D$1005,A463,'Material routes'!$C$6:$C$1005,"Ingredient candidate"),COUNTIFS('Material routes'!$D$6:$D$1005,A463,'Material routes'!$C$6:$C$1005,"Consumed input"),COUNTIFS('Material routes'!$D$6:$D$1005,A463,'Material routes'!$C$6:$C$1005,"Contained input"),COUNTIFS('Material routes'!$D$6:$D$1005,A463,'Material routes'!$C$6:$C$1005,"Transform input"))</x:f>
        <x:v>1</x:v>
      </x:c>
      <x:c r="AL463" s="4" t="n">
        <x:f>COUNTIFS('Material routes'!$D$6:$D$1005,A463,'Material routes'!$C$6:$C$1005,"Tool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Resources</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resources;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x:v>
      </x:c>
      <x:c r="AG464" s="4" t="str">
        <x:v>Proposed T3: one stage above highest listed T2 ingredient; partial recipe may change.</x:v>
      </x:c>
      <x:c r="AH464" s="4" t="str">
        <x:v>Not applicable</x:v>
      </x:c>
      <x:c r="AI464" s="4" t="str">
        <x:v>Material</x:v>
      </x:c>
      <x:c r="AJ464" s="4" t="n">
        <x:f>COUNTIFS('Material routes'!$D$6:$D$1005,A464,'Material routes'!$C$6:$C$1005,"Output")</x:f>
        <x:v>1</x:v>
      </x:c>
      <x:c r="AK464" s="4" t="n">
        <x:f>SUM(COUNTIFS('Material routes'!$D$6:$D$1005,A464,'Material routes'!$C$6:$C$1005,"Ingredient candidate"),COUNTIFS('Material routes'!$D$6:$D$1005,A464,'Material routes'!$C$6:$C$1005,"Consumed input"),COUNTIFS('Material routes'!$D$6:$D$1005,A464,'Material routes'!$C$6:$C$1005,"Contained input"),COUNTIFS('Material routes'!$D$6:$D$1005,A464,'Material routes'!$C$6:$C$1005,"Transform input"))</x:f>
        <x:v>1</x:v>
      </x:c>
      <x:c r="AL464" s="4" t="n">
        <x:f>COUNTIFS('Material routes'!$D$6:$D$1005,A464,'Material routes'!$C$6:$C$1005,"Tool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routes'!$D$6:$D$1005,A465,'Material routes'!$C$6:$C$1005,"Output")</x:f>
        <x:v>1</x:v>
      </x:c>
      <x:c r="AK465" s="4" t="n">
        <x:f>SUM(COUNTIFS('Material routes'!$D$6:$D$1005,A465,'Material routes'!$C$6:$C$1005,"Ingredient candidate"),COUNTIFS('Material routes'!$D$6:$D$1005,A465,'Material routes'!$C$6:$C$1005,"Consumed input"),COUNTIFS('Material routes'!$D$6:$D$1005,A465,'Material routes'!$C$6:$C$1005,"Contained input"),COUNTIFS('Material routes'!$D$6:$D$1005,A465,'Material routes'!$C$6:$C$1005,"Transform input"))</x:f>
        <x:v>1</x:v>
      </x:c>
      <x:c r="AL465" s="4" t="n">
        <x:f>COUNTIFS('Material routes'!$D$6:$D$1005,A465,'Material routes'!$C$6:$C$1005,"Tool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routes'!$D$6:$D$1005,A466,'Material routes'!$C$6:$C$1005,"Output")</x:f>
        <x:v>1</x:v>
      </x:c>
      <x:c r="AK466" s="4" t="n">
        <x:f>SUM(COUNTIFS('Material routes'!$D$6:$D$1005,A466,'Material routes'!$C$6:$C$1005,"Ingredient candidate"),COUNTIFS('Material routes'!$D$6:$D$1005,A466,'Material routes'!$C$6:$C$1005,"Consumed input"),COUNTIFS('Material routes'!$D$6:$D$1005,A466,'Material routes'!$C$6:$C$1005,"Contained input"),COUNTIFS('Material routes'!$D$6:$D$1005,A466,'Material routes'!$C$6:$C$1005,"Transform input"))</x:f>
        <x:v>1</x:v>
      </x:c>
      <x:c r="AL466" s="4" t="n">
        <x:f>COUNTIFS('Material routes'!$D$6:$D$1005,A466,'Material routes'!$C$6:$C$1005,"Tool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Resources</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resources;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x:v>
      </x:c>
      <x:c r="AG467" s="4" t="str">
        <x:v>Proposed T3: one stage above highest listed T2 ingredient; partial recipe may change.</x:v>
      </x:c>
      <x:c r="AH467" s="4" t="str">
        <x:v>Not applicable</x:v>
      </x:c>
      <x:c r="AI467" s="4" t="str">
        <x:v>Material</x:v>
      </x:c>
      <x:c r="AJ467" s="4" t="n">
        <x:f>COUNTIFS('Material routes'!$D$6:$D$1005,A467,'Material routes'!$C$6:$C$1005,"Output")</x:f>
        <x:v>1</x:v>
      </x:c>
      <x:c r="AK467" s="4" t="n">
        <x:f>SUM(COUNTIFS('Material routes'!$D$6:$D$1005,A467,'Material routes'!$C$6:$C$1005,"Ingredient candidate"),COUNTIFS('Material routes'!$D$6:$D$1005,A467,'Material routes'!$C$6:$C$1005,"Consumed input"),COUNTIFS('Material routes'!$D$6:$D$1005,A467,'Material routes'!$C$6:$C$1005,"Contained input"),COUNTIFS('Material routes'!$D$6:$D$1005,A467,'Material routes'!$C$6:$C$1005,"Transform input"))</x:f>
        <x:v>1</x:v>
      </x:c>
      <x:c r="AL467" s="4" t="n">
        <x:f>COUNTIFS('Material routes'!$D$6:$D$1005,A467,'Material routes'!$C$6:$C$1005,"Tool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routes'!$D$6:$D$1005,A468,'Material routes'!$C$6:$C$1005,"Output")</x:f>
        <x:v>1</x:v>
      </x:c>
      <x:c r="AK468" s="4" t="n">
        <x:f>SUM(COUNTIFS('Material routes'!$D$6:$D$1005,A468,'Material routes'!$C$6:$C$1005,"Ingredient candidate"),COUNTIFS('Material routes'!$D$6:$D$1005,A468,'Material routes'!$C$6:$C$1005,"Consumed input"),COUNTIFS('Material routes'!$D$6:$D$1005,A468,'Material routes'!$C$6:$C$1005,"Contained input"),COUNTIFS('Material routes'!$D$6:$D$1005,A468,'Material routes'!$C$6:$C$1005,"Transform input"))</x:f>
        <x:v>0</x:v>
      </x:c>
      <x:c r="AL468" s="4" t="n">
        <x:f>COUNTIFS('Material routes'!$D$6:$D$1005,A468,'Material routes'!$C$6:$C$1005,"Tool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routes'!$D$6:$D$1005,A469,'Material routes'!$C$6:$C$1005,"Output")</x:f>
        <x:v>1</x:v>
      </x:c>
      <x:c r="AK469" s="4" t="n">
        <x:f>SUM(COUNTIFS('Material routes'!$D$6:$D$1005,A469,'Material routes'!$C$6:$C$1005,"Ingredient candidate"),COUNTIFS('Material routes'!$D$6:$D$1005,A469,'Material routes'!$C$6:$C$1005,"Consumed input"),COUNTIFS('Material routes'!$D$6:$D$1005,A469,'Material routes'!$C$6:$C$1005,"Contained input"),COUNTIFS('Material routes'!$D$6:$D$1005,A469,'Material routes'!$C$6:$C$1005,"Transform input"))</x:f>
        <x:v>0</x:v>
      </x:c>
      <x:c r="AL469" s="4" t="n">
        <x:f>COUNTIFS('Material routes'!$D$6:$D$1005,A469,'Material routes'!$C$6:$C$1005,"Tool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routes'!$D$6:$D$1005,A470,'Material routes'!$C$6:$C$1005,"Output")</x:f>
        <x:v>1</x:v>
      </x:c>
      <x:c r="AK470" s="4" t="n">
        <x:f>SUM(COUNTIFS('Material routes'!$D$6:$D$1005,A470,'Material routes'!$C$6:$C$1005,"Ingredient candidate"),COUNTIFS('Material routes'!$D$6:$D$1005,A470,'Material routes'!$C$6:$C$1005,"Consumed input"),COUNTIFS('Material routes'!$D$6:$D$1005,A470,'Material routes'!$C$6:$C$1005,"Contained input"),COUNTIFS('Material routes'!$D$6:$D$1005,A470,'Material routes'!$C$6:$C$1005,"Transform input"))</x:f>
        <x:v>0</x:v>
      </x:c>
      <x:c r="AL470" s="4" t="n">
        <x:f>COUNTIFS('Material routes'!$D$6:$D$1005,A470,'Material routes'!$C$6:$C$1005,"Tool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routes'!$D$6:$D$1005,A471,'Material routes'!$C$6:$C$1005,"Output")</x:f>
        <x:v>1</x:v>
      </x:c>
      <x:c r="AK471" s="4" t="n">
        <x:f>SUM(COUNTIFS('Material routes'!$D$6:$D$1005,A471,'Material routes'!$C$6:$C$1005,"Ingredient candidate"),COUNTIFS('Material routes'!$D$6:$D$1005,A471,'Material routes'!$C$6:$C$1005,"Consumed input"),COUNTIFS('Material routes'!$D$6:$D$1005,A471,'Material routes'!$C$6:$C$1005,"Contained input"),COUNTIFS('Material routes'!$D$6:$D$1005,A471,'Material routes'!$C$6:$C$1005,"Transform input"))</x:f>
        <x:v>0</x:v>
      </x:c>
      <x:c r="AL471" s="4" t="n">
        <x:f>COUNTIFS('Material routes'!$D$6:$D$1005,A471,'Material routes'!$C$6:$C$1005,"Tool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routes'!$D$6:$D$1005,A472,'Material routes'!$C$6:$C$1005,"Output")</x:f>
        <x:v>1</x:v>
      </x:c>
      <x:c r="AK472" s="4" t="n">
        <x:f>SUM(COUNTIFS('Material routes'!$D$6:$D$1005,A472,'Material routes'!$C$6:$C$1005,"Ingredient candidate"),COUNTIFS('Material routes'!$D$6:$D$1005,A472,'Material routes'!$C$6:$C$1005,"Consumed input"),COUNTIFS('Material routes'!$D$6:$D$1005,A472,'Material routes'!$C$6:$C$1005,"Contained input"),COUNTIFS('Material routes'!$D$6:$D$1005,A472,'Material routes'!$C$6:$C$1005,"Transform input"))</x:f>
        <x:v>0</x:v>
      </x:c>
      <x:c r="AL472" s="4" t="n">
        <x:f>COUNTIFS('Material routes'!$D$6:$D$1005,A472,'Material routes'!$C$6:$C$1005,"Tool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routes'!$D$6:$D$1005,A473,'Material routes'!$C$6:$C$1005,"Output")</x:f>
        <x:v>1</x:v>
      </x:c>
      <x:c r="AK473" s="4" t="n">
        <x:f>SUM(COUNTIFS('Material routes'!$D$6:$D$1005,A473,'Material routes'!$C$6:$C$1005,"Ingredient candidate"),COUNTIFS('Material routes'!$D$6:$D$1005,A473,'Material routes'!$C$6:$C$1005,"Consumed input"),COUNTIFS('Material routes'!$D$6:$D$1005,A473,'Material routes'!$C$6:$C$1005,"Contained input"),COUNTIFS('Material routes'!$D$6:$D$1005,A473,'Material routes'!$C$6:$C$1005,"Transform input"))</x:f>
        <x:v>0</x:v>
      </x:c>
      <x:c r="AL473" s="4" t="n">
        <x:f>COUNTIFS('Material routes'!$D$6:$D$1005,A473,'Material routes'!$C$6:$C$1005,"Tool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routes'!$D$6:$D$1005,A474,'Material routes'!$C$6:$C$1005,"Output")</x:f>
        <x:v>1</x:v>
      </x:c>
      <x:c r="AK474" s="4" t="n">
        <x:f>SUM(COUNTIFS('Material routes'!$D$6:$D$1005,A474,'Material routes'!$C$6:$C$1005,"Ingredient candidate"),COUNTIFS('Material routes'!$D$6:$D$1005,A474,'Material routes'!$C$6:$C$1005,"Consumed input"),COUNTIFS('Material routes'!$D$6:$D$1005,A474,'Material routes'!$C$6:$C$1005,"Contained input"),COUNTIFS('Material routes'!$D$6:$D$1005,A474,'Material routes'!$C$6:$C$1005,"Transform input"))</x:f>
        <x:v>0</x:v>
      </x:c>
      <x:c r="AL474" s="4" t="n">
        <x:f>COUNTIFS('Material routes'!$D$6:$D$1005,A474,'Material routes'!$C$6:$C$1005,"Tool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routes'!$D$6:$D$1005,A475,'Material routes'!$C$6:$C$1005,"Output")</x:f>
        <x:v>1</x:v>
      </x:c>
      <x:c r="AK475" s="4" t="n">
        <x:f>SUM(COUNTIFS('Material routes'!$D$6:$D$1005,A475,'Material routes'!$C$6:$C$1005,"Ingredient candidate"),COUNTIFS('Material routes'!$D$6:$D$1005,A475,'Material routes'!$C$6:$C$1005,"Consumed input"),COUNTIFS('Material routes'!$D$6:$D$1005,A475,'Material routes'!$C$6:$C$1005,"Contained input"),COUNTIFS('Material routes'!$D$6:$D$1005,A475,'Material routes'!$C$6:$C$1005,"Transform input"))</x:f>
        <x:v>0</x:v>
      </x:c>
      <x:c r="AL475" s="4" t="n">
        <x:f>COUNTIFS('Material routes'!$D$6:$D$1005,A475,'Material routes'!$C$6:$C$1005,"Tool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routes'!$D$6:$D$1005,A476,'Material routes'!$C$6:$C$1005,"Output")</x:f>
        <x:v>1</x:v>
      </x:c>
      <x:c r="AK476" s="4" t="n">
        <x:f>SUM(COUNTIFS('Material routes'!$D$6:$D$1005,A476,'Material routes'!$C$6:$C$1005,"Ingredient candidate"),COUNTIFS('Material routes'!$D$6:$D$1005,A476,'Material routes'!$C$6:$C$1005,"Consumed input"),COUNTIFS('Material routes'!$D$6:$D$1005,A476,'Material routes'!$C$6:$C$1005,"Contained input"),COUNTIFS('Material routes'!$D$6:$D$1005,A476,'Material routes'!$C$6:$C$1005,"Transform input"))</x:f>
        <x:v>0</x:v>
      </x:c>
      <x:c r="AL476" s="4" t="n">
        <x:f>COUNTIFS('Material routes'!$D$6:$D$1005,A476,'Material routes'!$C$6:$C$1005,"Tool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routes'!$D$6:$D$1005,A477,'Material routes'!$C$6:$C$1005,"Output")</x:f>
        <x:v>1</x:v>
      </x:c>
      <x:c r="AK477" s="4" t="n">
        <x:f>SUM(COUNTIFS('Material routes'!$D$6:$D$1005,A477,'Material routes'!$C$6:$C$1005,"Ingredient candidate"),COUNTIFS('Material routes'!$D$6:$D$1005,A477,'Material routes'!$C$6:$C$1005,"Consumed input"),COUNTIFS('Material routes'!$D$6:$D$1005,A477,'Material routes'!$C$6:$C$1005,"Contained input"),COUNTIFS('Material routes'!$D$6:$D$1005,A477,'Material routes'!$C$6:$C$1005,"Transform input"))</x:f>
        <x:v>0</x:v>
      </x:c>
      <x:c r="AL477" s="4" t="n">
        <x:f>COUNTIFS('Material routes'!$D$6:$D$1005,A477,'Material routes'!$C$6:$C$1005,"Tool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routes'!$D$6:$D$1005,A478,'Material routes'!$C$6:$C$1005,"Output")</x:f>
        <x:v>1</x:v>
      </x:c>
      <x:c r="AK478" s="4" t="n">
        <x:f>SUM(COUNTIFS('Material routes'!$D$6:$D$1005,A478,'Material routes'!$C$6:$C$1005,"Ingredient candidate"),COUNTIFS('Material routes'!$D$6:$D$1005,A478,'Material routes'!$C$6:$C$1005,"Consumed input"),COUNTIFS('Material routes'!$D$6:$D$1005,A478,'Material routes'!$C$6:$C$1005,"Contained input"),COUNTIFS('Material routes'!$D$6:$D$1005,A478,'Material routes'!$C$6:$C$1005,"Transform input"))</x:f>
        <x:v>0</x:v>
      </x:c>
      <x:c r="AL478" s="4" t="n">
        <x:f>COUNTIFS('Material routes'!$D$6:$D$1005,A478,'Material routes'!$C$6:$C$1005,"Tool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routes'!$D$6:$D$1005,A479,'Material routes'!$C$6:$C$1005,"Output")</x:f>
        <x:v>1</x:v>
      </x:c>
      <x:c r="AK479" s="4" t="n">
        <x:f>SUM(COUNTIFS('Material routes'!$D$6:$D$1005,A479,'Material routes'!$C$6:$C$1005,"Ingredient candidate"),COUNTIFS('Material routes'!$D$6:$D$1005,A479,'Material routes'!$C$6:$C$1005,"Consumed input"),COUNTIFS('Material routes'!$D$6:$D$1005,A479,'Material routes'!$C$6:$C$1005,"Contained input"),COUNTIFS('Material routes'!$D$6:$D$1005,A479,'Material routes'!$C$6:$C$1005,"Transform input"))</x:f>
        <x:v>0</x:v>
      </x:c>
      <x:c r="AL479" s="4" t="n">
        <x:f>COUNTIFS('Material routes'!$D$6:$D$1005,A479,'Material routes'!$C$6:$C$1005,"Tool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routes'!$D$6:$D$1005,A480,'Material routes'!$C$6:$C$1005,"Output")</x:f>
        <x:v>1</x:v>
      </x:c>
      <x:c r="AK480" s="4" t="n">
        <x:f>SUM(COUNTIFS('Material routes'!$D$6:$D$1005,A480,'Material routes'!$C$6:$C$1005,"Ingredient candidate"),COUNTIFS('Material routes'!$D$6:$D$1005,A480,'Material routes'!$C$6:$C$1005,"Consumed input"),COUNTIFS('Material routes'!$D$6:$D$1005,A480,'Material routes'!$C$6:$C$1005,"Contained input"),COUNTIFS('Material routes'!$D$6:$D$1005,A480,'Material routes'!$C$6:$C$1005,"Transform input"))</x:f>
        <x:v>0</x:v>
      </x:c>
      <x:c r="AL480" s="4" t="n">
        <x:f>COUNTIFS('Material routes'!$D$6:$D$1005,A480,'Material routes'!$C$6:$C$1005,"Tool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routes'!$D$6:$D$1005,A481,'Material routes'!$C$6:$C$1005,"Output")</x:f>
        <x:v>1</x:v>
      </x:c>
      <x:c r="AK481" s="4" t="n">
        <x:f>SUM(COUNTIFS('Material routes'!$D$6:$D$1005,A481,'Material routes'!$C$6:$C$1005,"Ingredient candidate"),COUNTIFS('Material routes'!$D$6:$D$1005,A481,'Material routes'!$C$6:$C$1005,"Consumed input"),COUNTIFS('Material routes'!$D$6:$D$1005,A481,'Material routes'!$C$6:$C$1005,"Contained input"),COUNTIFS('Material routes'!$D$6:$D$1005,A481,'Material routes'!$C$6:$C$1005,"Transform input"))</x:f>
        <x:v>0</x:v>
      </x:c>
      <x:c r="AL481" s="4" t="n">
        <x:f>COUNTIFS('Material routes'!$D$6:$D$1005,A481,'Material routes'!$C$6:$C$1005,"Tool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routes'!$D$6:$D$1005,A482,'Material routes'!$C$6:$C$1005,"Output")</x:f>
        <x:v>1</x:v>
      </x:c>
      <x:c r="AK482" s="4" t="n">
        <x:f>SUM(COUNTIFS('Material routes'!$D$6:$D$1005,A482,'Material routes'!$C$6:$C$1005,"Ingredient candidate"),COUNTIFS('Material routes'!$D$6:$D$1005,A482,'Material routes'!$C$6:$C$1005,"Consumed input"),COUNTIFS('Material routes'!$D$6:$D$1005,A482,'Material routes'!$C$6:$C$1005,"Contained input"),COUNTIFS('Material routes'!$D$6:$D$1005,A482,'Material routes'!$C$6:$C$1005,"Transform input"))</x:f>
        <x:v>0</x:v>
      </x:c>
      <x:c r="AL482" s="4" t="n">
        <x:f>COUNTIFS('Material routes'!$D$6:$D$1005,A482,'Material routes'!$C$6:$C$1005,"Tool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routes'!$D$6:$D$1005,A483,'Material routes'!$C$6:$C$1005,"Output")</x:f>
        <x:v>1</x:v>
      </x:c>
      <x:c r="AK483" s="4" t="n">
        <x:f>SUM(COUNTIFS('Material routes'!$D$6:$D$1005,A483,'Material routes'!$C$6:$C$1005,"Ingredient candidate"),COUNTIFS('Material routes'!$D$6:$D$1005,A483,'Material routes'!$C$6:$C$1005,"Consumed input"),COUNTIFS('Material routes'!$D$6:$D$1005,A483,'Material routes'!$C$6:$C$1005,"Contained input"),COUNTIFS('Material routes'!$D$6:$D$1005,A483,'Material routes'!$C$6:$C$1005,"Transform input"))</x:f>
        <x:v>0</x:v>
      </x:c>
      <x:c r="AL483" s="4" t="n">
        <x:f>COUNTIFS('Material routes'!$D$6:$D$1005,A483,'Material routes'!$C$6:$C$1005,"Tool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routes'!$D$6:$D$1005,A484,'Material routes'!$C$6:$C$1005,"Output")</x:f>
        <x:v>1</x:v>
      </x:c>
      <x:c r="AK484" s="4" t="n">
        <x:f>SUM(COUNTIFS('Material routes'!$D$6:$D$1005,A484,'Material routes'!$C$6:$C$1005,"Ingredient candidate"),COUNTIFS('Material routes'!$D$6:$D$1005,A484,'Material routes'!$C$6:$C$1005,"Consumed input"),COUNTIFS('Material routes'!$D$6:$D$1005,A484,'Material routes'!$C$6:$C$1005,"Contained input"),COUNTIFS('Material routes'!$D$6:$D$1005,A484,'Material routes'!$C$6:$C$1005,"Transform input"))</x:f>
        <x:v>0</x:v>
      </x:c>
      <x:c r="AL484" s="4" t="n">
        <x:f>COUNTIFS('Material routes'!$D$6:$D$1005,A484,'Material routes'!$C$6:$C$1005,"Tool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Resources</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resources;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x:v>
      </x:c>
      <x:c r="AG485" s="4" t="str">
        <x:v>Proposed T4: one stage above highest listed T3 ingredient; partial recipe may change.</x:v>
      </x:c>
      <x:c r="AH485" s="4" t="str">
        <x:v>Not applicable</x:v>
      </x:c>
      <x:c r="AI485" s="4" t="str">
        <x:v>Material</x:v>
      </x:c>
      <x:c r="AJ485" s="4" t="n">
        <x:f>COUNTIFS('Material routes'!$D$6:$D$1005,A485,'Material routes'!$C$6:$C$1005,"Output")</x:f>
        <x:v>1</x:v>
      </x:c>
      <x:c r="AK485" s="4" t="n">
        <x:f>SUM(COUNTIFS('Material routes'!$D$6:$D$1005,A485,'Material routes'!$C$6:$C$1005,"Ingredient candidate"),COUNTIFS('Material routes'!$D$6:$D$1005,A485,'Material routes'!$C$6:$C$1005,"Consumed input"),COUNTIFS('Material routes'!$D$6:$D$1005,A485,'Material routes'!$C$6:$C$1005,"Contained input"),COUNTIFS('Material routes'!$D$6:$D$1005,A485,'Material routes'!$C$6:$C$1005,"Transform input"))</x:f>
        <x:v>0</x:v>
      </x:c>
      <x:c r="AL485" s="4" t="n">
        <x:f>COUNTIFS('Material routes'!$D$6:$D$1005,A485,'Material routes'!$C$6:$C$1005,"Tool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Resources</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resources;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x:v>
      </x:c>
      <x:c r="AG486" s="4" t="str">
        <x:v>Proposed T4: one stage above highest listed T3 ingredient; partial recipe may change.</x:v>
      </x:c>
      <x:c r="AH486" s="4" t="str">
        <x:v>Not applicable</x:v>
      </x:c>
      <x:c r="AI486" s="4" t="str">
        <x:v>Material</x:v>
      </x:c>
      <x:c r="AJ486" s="4" t="n">
        <x:f>COUNTIFS('Material routes'!$D$6:$D$1005,A486,'Material routes'!$C$6:$C$1005,"Output")</x:f>
        <x:v>1</x:v>
      </x:c>
      <x:c r="AK486" s="4" t="n">
        <x:f>SUM(COUNTIFS('Material routes'!$D$6:$D$1005,A486,'Material routes'!$C$6:$C$1005,"Ingredient candidate"),COUNTIFS('Material routes'!$D$6:$D$1005,A486,'Material routes'!$C$6:$C$1005,"Consumed input"),COUNTIFS('Material routes'!$D$6:$D$1005,A486,'Material routes'!$C$6:$C$1005,"Contained input"),COUNTIFS('Material routes'!$D$6:$D$1005,A486,'Material routes'!$C$6:$C$1005,"Transform input"))</x:f>
        <x:v>0</x:v>
      </x:c>
      <x:c r="AL486" s="4" t="n">
        <x:f>COUNTIFS('Material routes'!$D$6:$D$1005,A486,'Material routes'!$C$6:$C$1005,"Tool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routes'!$D$6:$D$1005,A487,'Material routes'!$C$6:$C$1005,"Output")</x:f>
        <x:v>1</x:v>
      </x:c>
      <x:c r="AK487" s="4" t="n">
        <x:f>SUM(COUNTIFS('Material routes'!$D$6:$D$1005,A487,'Material routes'!$C$6:$C$1005,"Ingredient candidate"),COUNTIFS('Material routes'!$D$6:$D$1005,A487,'Material routes'!$C$6:$C$1005,"Consumed input"),COUNTIFS('Material routes'!$D$6:$D$1005,A487,'Material routes'!$C$6:$C$1005,"Contained input"),COUNTIFS('Material routes'!$D$6:$D$1005,A487,'Material routes'!$C$6:$C$1005,"Transform input"))</x:f>
        <x:v>0</x:v>
      </x:c>
      <x:c r="AL487" s="4" t="n">
        <x:f>COUNTIFS('Material routes'!$D$6:$D$1005,A487,'Material routes'!$C$6:$C$1005,"Tool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Resources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resources;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x:v>
      </x:c>
      <x:c r="AG488" s="4" t="str">
        <x:v>Proposed T1 from listed raw T0 inputs.</x:v>
      </x:c>
      <x:c r="AH488" s="4" t="str">
        <x:v>Not applicable</x:v>
      </x:c>
      <x:c r="AI488" s="4" t="str">
        <x:v>Material</x:v>
      </x:c>
      <x:c r="AJ488" s="4" t="n">
        <x:f>COUNTIFS('Material routes'!$D$6:$D$1005,A488,'Material routes'!$C$6:$C$1005,"Output")</x:f>
        <x:v>1</x:v>
      </x:c>
      <x:c r="AK488" s="4" t="n">
        <x:f>SUM(COUNTIFS('Material routes'!$D$6:$D$1005,A488,'Material routes'!$C$6:$C$1005,"Ingredient candidate"),COUNTIFS('Material routes'!$D$6:$D$1005,A488,'Material routes'!$C$6:$C$1005,"Consumed input"),COUNTIFS('Material routes'!$D$6:$D$1005,A488,'Material routes'!$C$6:$C$1005,"Contained input"),COUNTIFS('Material routes'!$D$6:$D$1005,A488,'Material routes'!$C$6:$C$1005,"Transform input"))</x:f>
        <x:v>1</x:v>
      </x:c>
      <x:c r="AL488" s="4" t="n">
        <x:f>COUNTIFS('Material routes'!$D$6:$D$1005,A488,'Material routes'!$C$6:$C$1005,"Tool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x:c r="C489"/>
      <x:c r="D489"/>
      <x:c r="E489"/>
      <x:c r="F489"/>
      <x:c r="G489"/>
      <x:c r="H489"/>
      <x:c r="I489"/>
      <x:c r="J489"/>
      <x:c r="K489"/>
      <x:c r="L489"/>
      <x:c r="M489"/>
      <x:c r="N489"/>
      <x:c r="O489"/>
      <x:c r="P489"/>
      <x:c r="Q489"/>
      <x:c r="R489"/>
      <x:c r="S489"/>
      <x:c r="T489"/>
      <x:c r="U489"/>
      <x:c r="V489"/>
      <x:c r="W489"/>
      <x:c r="X489"/>
      <x:c r="Y489"/>
      <x:c r="Z489"/>
      <x:c r="AA489"/>
      <x:c r="AB489"/>
      <x:c r="AC489"/>
      <x:c r="AD489"/>
      <x:c r="AE489"/>
      <x:c r="AF489"/>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x:c r="C490"/>
      <x:c r="D490"/>
      <x:c r="E490"/>
      <x:c r="F490"/>
      <x:c r="G490"/>
      <x:c r="H490"/>
      <x:c r="I490"/>
      <x:c r="J490"/>
      <x:c r="K490"/>
      <x:c r="L490"/>
      <x:c r="M490"/>
      <x:c r="N490"/>
      <x:c r="O490"/>
      <x:c r="P490"/>
      <x:c r="Q490"/>
      <x:c r="R490"/>
      <x:c r="S490"/>
      <x:c r="T490"/>
      <x:c r="U490"/>
      <x:c r="V490"/>
      <x:c r="W490"/>
      <x:c r="X490"/>
      <x:c r="Y490"/>
      <x:c r="Z490"/>
      <x:c r="AA490"/>
      <x:c r="AB490"/>
      <x:c r="AC490"/>
      <x:c r="AD490"/>
      <x:c r="AE490"/>
      <x:c r="AF490"/>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x:c r="C491"/>
      <x:c r="D491"/>
      <x:c r="E491"/>
      <x:c r="F491"/>
      <x:c r="G491"/>
      <x:c r="H491"/>
      <x:c r="I491"/>
      <x:c r="J491"/>
      <x:c r="K491"/>
      <x:c r="L491"/>
      <x:c r="M491"/>
      <x:c r="N491"/>
      <x:c r="O491"/>
      <x:c r="P491"/>
      <x:c r="Q491"/>
      <x:c r="R491"/>
      <x:c r="S491"/>
      <x:c r="T491"/>
      <x:c r="U491"/>
      <x:c r="V491"/>
      <x:c r="W491"/>
      <x:c r="X491"/>
      <x:c r="Y491"/>
      <x:c r="Z491"/>
      <x:c r="AA491"/>
      <x:c r="AB491"/>
      <x:c r="AC491"/>
      <x:c r="AD491"/>
      <x:c r="AE491"/>
      <x:c r="AF491"/>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x:c r="C492"/>
      <x:c r="D492"/>
      <x:c r="E492"/>
      <x:c r="F492"/>
      <x:c r="G492"/>
      <x:c r="H492"/>
      <x:c r="I492"/>
      <x:c r="J492"/>
      <x:c r="K492"/>
      <x:c r="L492"/>
      <x:c r="M492"/>
      <x:c r="N492"/>
      <x:c r="O492"/>
      <x:c r="P492"/>
      <x:c r="Q492"/>
      <x:c r="R492"/>
      <x:c r="S492"/>
      <x:c r="T492"/>
      <x:c r="U492"/>
      <x:c r="V492"/>
      <x:c r="W492"/>
      <x:c r="X492"/>
      <x:c r="Y492"/>
      <x:c r="Z492"/>
      <x:c r="AA492"/>
      <x:c r="AB492"/>
      <x:c r="AC492"/>
      <x:c r="AD492"/>
      <x:c r="AE492"/>
      <x:c r="AF492"/>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x:c r="C493"/>
      <x:c r="D493"/>
      <x:c r="E493"/>
      <x:c r="F493"/>
      <x:c r="G493"/>
      <x:c r="H493"/>
      <x:c r="I493"/>
      <x:c r="J493"/>
      <x:c r="K493"/>
      <x:c r="L493"/>
      <x:c r="M493"/>
      <x:c r="N493"/>
      <x:c r="O493"/>
      <x:c r="P493"/>
      <x:c r="Q493"/>
      <x:c r="R493"/>
      <x:c r="S493"/>
      <x:c r="T493"/>
      <x:c r="U493"/>
      <x:c r="V493"/>
      <x:c r="W493"/>
      <x:c r="X493"/>
      <x:c r="Y493"/>
      <x:c r="Z493"/>
      <x:c r="AA493"/>
      <x:c r="AB493"/>
      <x:c r="AC493"/>
      <x:c r="AD493"/>
      <x:c r="AE493"/>
      <x:c r="AF493"/>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x:c r="C494"/>
      <x:c r="D494"/>
      <x:c r="E494"/>
      <x:c r="F494"/>
      <x:c r="G494"/>
      <x:c r="H494"/>
      <x:c r="I494"/>
      <x:c r="J494"/>
      <x:c r="K494"/>
      <x:c r="L494"/>
      <x:c r="M494"/>
      <x:c r="N494"/>
      <x:c r="O494"/>
      <x:c r="P494"/>
      <x:c r="Q494"/>
      <x:c r="R494"/>
      <x:c r="S494"/>
      <x:c r="T494"/>
      <x:c r="U494"/>
      <x:c r="V494"/>
      <x:c r="W494"/>
      <x:c r="X494"/>
      <x:c r="Y494"/>
      <x:c r="Z494"/>
      <x:c r="AA494"/>
      <x:c r="AB494"/>
      <x:c r="AC494"/>
      <x:c r="AD494"/>
      <x:c r="AE494"/>
      <x:c r="AF494"/>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x:c r="C495"/>
      <x:c r="D495"/>
      <x:c r="E495"/>
      <x:c r="F495"/>
      <x:c r="G495"/>
      <x:c r="H495"/>
      <x:c r="I495"/>
      <x:c r="J495"/>
      <x:c r="K495"/>
      <x:c r="L495"/>
      <x:c r="M495"/>
      <x:c r="N495"/>
      <x:c r="O495"/>
      <x:c r="P495"/>
      <x:c r="Q495"/>
      <x:c r="R495"/>
      <x:c r="S495"/>
      <x:c r="T495"/>
      <x:c r="U495"/>
      <x:c r="V495"/>
      <x:c r="W495"/>
      <x:c r="X495"/>
      <x:c r="Y495"/>
      <x:c r="Z495"/>
      <x:c r="AA495"/>
      <x:c r="AB495"/>
      <x:c r="AC495"/>
      <x:c r="AD495"/>
      <x:c r="AE495"/>
      <x:c r="AF495"/>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x:c r="C496"/>
      <x:c r="D496"/>
      <x:c r="E496"/>
      <x:c r="F496"/>
      <x:c r="G496"/>
      <x:c r="H496"/>
      <x:c r="I496"/>
      <x:c r="J496"/>
      <x:c r="K496"/>
      <x:c r="L496"/>
      <x:c r="M496"/>
      <x:c r="N496"/>
      <x:c r="O496"/>
      <x:c r="P496"/>
      <x:c r="Q496"/>
      <x:c r="R496"/>
      <x:c r="S496"/>
      <x:c r="T496"/>
      <x:c r="U496"/>
      <x:c r="V496"/>
      <x:c r="W496"/>
      <x:c r="X496"/>
      <x:c r="Y496"/>
      <x:c r="Z496"/>
      <x:c r="AA496"/>
      <x:c r="AB496"/>
      <x:c r="AC496"/>
      <x:c r="AD496"/>
      <x:c r="AE496"/>
      <x:c r="AF496"/>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x:c r="C497"/>
      <x:c r="D497"/>
      <x:c r="E497"/>
      <x:c r="F497"/>
      <x:c r="G497"/>
      <x:c r="H497"/>
      <x:c r="I497"/>
      <x:c r="J497"/>
      <x:c r="K497"/>
      <x:c r="L497"/>
      <x:c r="M497"/>
      <x:c r="N497"/>
      <x:c r="O497"/>
      <x:c r="P497"/>
      <x:c r="Q497"/>
      <x:c r="R497"/>
      <x:c r="S497"/>
      <x:c r="T497"/>
      <x:c r="U497"/>
      <x:c r="V497"/>
      <x:c r="W497"/>
      <x:c r="X497"/>
      <x:c r="Y497"/>
      <x:c r="Z497"/>
      <x:c r="AA497"/>
      <x:c r="AB497"/>
      <x:c r="AC497"/>
      <x:c r="AD497"/>
      <x:c r="AE497"/>
      <x:c r="AF497"/>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x:c r="C498"/>
      <x:c r="D498"/>
      <x:c r="E498"/>
      <x:c r="F498"/>
      <x:c r="G498"/>
      <x:c r="H498"/>
      <x:c r="I498"/>
      <x:c r="J498"/>
      <x:c r="K498"/>
      <x:c r="L498"/>
      <x:c r="M498"/>
      <x:c r="N498"/>
      <x:c r="O498"/>
      <x:c r="P498"/>
      <x:c r="Q498"/>
      <x:c r="R498"/>
      <x:c r="S498"/>
      <x:c r="T498"/>
      <x:c r="U498"/>
      <x:c r="V498"/>
      <x:c r="W498"/>
      <x:c r="X498"/>
      <x:c r="Y498"/>
      <x:c r="Z498"/>
      <x:c r="AA498"/>
      <x:c r="AB498"/>
      <x:c r="AC498"/>
      <x:c r="AD498"/>
      <x:c r="AE498"/>
      <x:c r="AF498"/>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x:c r="C499"/>
      <x:c r="D499"/>
      <x:c r="E499"/>
      <x:c r="F499"/>
      <x:c r="G499"/>
      <x:c r="H499"/>
      <x:c r="I499"/>
      <x:c r="J499"/>
      <x:c r="K499"/>
      <x:c r="L499"/>
      <x:c r="M499"/>
      <x:c r="N499"/>
      <x:c r="O499"/>
      <x:c r="P499"/>
      <x:c r="Q499"/>
      <x:c r="R499"/>
      <x:c r="S499"/>
      <x:c r="T499"/>
      <x:c r="U499"/>
      <x:c r="V499"/>
      <x:c r="W499"/>
      <x:c r="X499"/>
      <x:c r="Y499"/>
      <x:c r="Z499"/>
      <x:c r="AA499"/>
      <x:c r="AB499"/>
      <x:c r="AC499"/>
      <x:c r="AD499"/>
      <x:c r="AE499"/>
      <x:c r="AF499"/>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x:c r="C500"/>
      <x:c r="D500"/>
      <x:c r="E500"/>
      <x:c r="F500"/>
      <x:c r="G500"/>
      <x:c r="H500"/>
      <x:c r="I500"/>
      <x:c r="J500"/>
      <x:c r="K500"/>
      <x:c r="L500"/>
      <x:c r="M500"/>
      <x:c r="N500"/>
      <x:c r="O500"/>
      <x:c r="P500"/>
      <x:c r="Q500"/>
      <x:c r="R500"/>
      <x:c r="S500"/>
      <x:c r="T500"/>
      <x:c r="U500"/>
      <x:c r="V500"/>
      <x:c r="W500"/>
      <x:c r="X500"/>
      <x:c r="Y500"/>
      <x:c r="Z500"/>
      <x:c r="AA500"/>
      <x:c r="AB500"/>
      <x:c r="AC500"/>
      <x:c r="AD500"/>
      <x:c r="AE500"/>
      <x:c r="AF500"/>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x:c r="C501"/>
      <x:c r="D501"/>
      <x:c r="E501"/>
      <x:c r="F501"/>
      <x:c r="G501"/>
      <x:c r="H501"/>
      <x:c r="I501"/>
      <x:c r="J501"/>
      <x:c r="K501"/>
      <x:c r="L501"/>
      <x:c r="M501"/>
      <x:c r="N501"/>
      <x:c r="O501"/>
      <x:c r="P501"/>
      <x:c r="Q501"/>
      <x:c r="R501"/>
      <x:c r="S501"/>
      <x:c r="T501"/>
      <x:c r="U501"/>
      <x:c r="V501"/>
      <x:c r="W501"/>
      <x:c r="X501"/>
      <x:c r="Y501"/>
      <x:c r="Z501"/>
      <x:c r="AA501"/>
      <x:c r="AB501"/>
      <x:c r="AC501"/>
      <x:c r="AD501"/>
      <x:c r="AE501"/>
      <x:c r="AF501"/>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x:c r="C502"/>
      <x:c r="D502"/>
      <x:c r="E502"/>
      <x:c r="F502"/>
      <x:c r="G502"/>
      <x:c r="H502"/>
      <x:c r="I502"/>
      <x:c r="J502"/>
      <x:c r="K502"/>
      <x:c r="L502"/>
      <x:c r="M502"/>
      <x:c r="N502"/>
      <x:c r="O502"/>
      <x:c r="P502"/>
      <x:c r="Q502"/>
      <x:c r="R502"/>
      <x:c r="S502"/>
      <x:c r="T502"/>
      <x:c r="U502"/>
      <x:c r="V502"/>
      <x:c r="W502"/>
      <x:c r="X502"/>
      <x:c r="Y502"/>
      <x:c r="Z502"/>
      <x:c r="AA502"/>
      <x:c r="AB502"/>
      <x:c r="AC502"/>
      <x:c r="AD502"/>
      <x:c r="AE502"/>
      <x:c r="AF502"/>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x:c r="C503"/>
      <x:c r="D503"/>
      <x:c r="E503"/>
      <x:c r="F503"/>
      <x:c r="G503"/>
      <x:c r="H503"/>
      <x:c r="I503"/>
      <x:c r="J503"/>
      <x:c r="K503"/>
      <x:c r="L503"/>
      <x:c r="M503"/>
      <x:c r="N503"/>
      <x:c r="O503"/>
      <x:c r="P503"/>
      <x:c r="Q503"/>
      <x:c r="R503"/>
      <x:c r="S503"/>
      <x:c r="T503"/>
      <x:c r="U503"/>
      <x:c r="V503"/>
      <x:c r="W503"/>
      <x:c r="X503"/>
      <x:c r="Y503"/>
      <x:c r="Z503"/>
      <x:c r="AA503"/>
      <x:c r="AB503"/>
      <x:c r="AC503"/>
      <x:c r="AD503"/>
      <x:c r="AE503"/>
      <x:c r="AF503"/>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x:c r="C504"/>
      <x:c r="D504"/>
      <x:c r="E504"/>
      <x:c r="F504"/>
      <x:c r="G504"/>
      <x:c r="H504"/>
      <x:c r="I504"/>
      <x:c r="J504"/>
      <x:c r="K504"/>
      <x:c r="L504"/>
      <x:c r="M504"/>
      <x:c r="N504"/>
      <x:c r="O504"/>
      <x:c r="P504"/>
      <x:c r="Q504"/>
      <x:c r="R504"/>
      <x:c r="S504"/>
      <x:c r="T504"/>
      <x:c r="U504"/>
      <x:c r="V504"/>
      <x:c r="W504"/>
      <x:c r="X504"/>
      <x:c r="Y504"/>
      <x:c r="Z504"/>
      <x:c r="AA504"/>
      <x:c r="AB504"/>
      <x:c r="AC504"/>
      <x:c r="AD504"/>
      <x:c r="AE504"/>
      <x:c r="AF504"/>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x:c r="C505"/>
      <x:c r="D505"/>
      <x:c r="E505"/>
      <x:c r="F505"/>
      <x:c r="G505"/>
      <x:c r="H505"/>
      <x:c r="I505"/>
      <x:c r="J505"/>
      <x:c r="K505"/>
      <x:c r="L505"/>
      <x:c r="M505"/>
      <x:c r="N505"/>
      <x:c r="O505"/>
      <x:c r="P505"/>
      <x:c r="Q505"/>
      <x:c r="R505"/>
      <x:c r="S505"/>
      <x:c r="T505"/>
      <x:c r="U505"/>
      <x:c r="V505"/>
      <x:c r="W505"/>
      <x:c r="X505"/>
      <x:c r="Y505"/>
      <x:c r="Z505"/>
      <x:c r="AA505"/>
      <x:c r="AB505"/>
      <x:c r="AC505"/>
      <x:c r="AD505"/>
      <x:c r="AE505"/>
      <x:c r="AF505"/>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x:c r="C506"/>
      <x:c r="D506"/>
      <x:c r="E506"/>
      <x:c r="F506"/>
      <x:c r="G506"/>
      <x:c r="H506"/>
      <x:c r="I506"/>
      <x:c r="J506"/>
      <x:c r="K506"/>
      <x:c r="L506"/>
      <x:c r="M506"/>
      <x:c r="N506"/>
      <x:c r="O506"/>
      <x:c r="P506"/>
      <x:c r="Q506"/>
      <x:c r="R506"/>
      <x:c r="S506"/>
      <x:c r="T506"/>
      <x:c r="U506"/>
      <x:c r="V506"/>
      <x:c r="W506"/>
      <x:c r="X506"/>
      <x:c r="Y506"/>
      <x:c r="Z506"/>
      <x:c r="AA506"/>
      <x:c r="AB506"/>
      <x:c r="AC506"/>
      <x:c r="AD506"/>
      <x:c r="AE506"/>
      <x:c r="AF506"/>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x:c r="C507"/>
      <x:c r="D507"/>
      <x:c r="E507"/>
      <x:c r="F507"/>
      <x:c r="G507"/>
      <x:c r="H507"/>
      <x:c r="I507"/>
      <x:c r="J507"/>
      <x:c r="K507"/>
      <x:c r="L507"/>
      <x:c r="M507"/>
      <x:c r="N507"/>
      <x:c r="O507"/>
      <x:c r="P507"/>
      <x:c r="Q507"/>
      <x:c r="R507"/>
      <x:c r="S507"/>
      <x:c r="T507"/>
      <x:c r="U507"/>
      <x:c r="V507"/>
      <x:c r="W507"/>
      <x:c r="X507"/>
      <x:c r="Y507"/>
      <x:c r="Z507"/>
      <x:c r="AA507"/>
      <x:c r="AB507"/>
      <x:c r="AC507"/>
      <x:c r="AD507"/>
      <x:c r="AE507"/>
      <x:c r="AF507"/>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x:c r="C508"/>
      <x:c r="D508"/>
      <x:c r="E508"/>
      <x:c r="F508"/>
      <x:c r="G508"/>
      <x:c r="H508"/>
      <x:c r="I508"/>
      <x:c r="J508"/>
      <x:c r="K508"/>
      <x:c r="L508"/>
      <x:c r="M508"/>
      <x:c r="N508"/>
      <x:c r="O508"/>
      <x:c r="P508"/>
      <x:c r="Q508"/>
      <x:c r="R508"/>
      <x:c r="S508"/>
      <x:c r="T508"/>
      <x:c r="U508"/>
      <x:c r="V508"/>
      <x:c r="W508"/>
      <x:c r="X508"/>
      <x:c r="Y508"/>
      <x:c r="Z508"/>
      <x:c r="AA508"/>
      <x:c r="AB508"/>
      <x:c r="AC508"/>
      <x:c r="AD508"/>
      <x:c r="AE508"/>
      <x:c r="AF508"/>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x:c r="C509"/>
      <x:c r="D509"/>
      <x:c r="E509"/>
      <x:c r="F509"/>
      <x:c r="G509"/>
      <x:c r="H509"/>
      <x:c r="I509"/>
      <x:c r="J509"/>
      <x:c r="K509"/>
      <x:c r="L509"/>
      <x:c r="M509"/>
      <x:c r="N509"/>
      <x:c r="O509"/>
      <x:c r="P509"/>
      <x:c r="Q509"/>
      <x:c r="R509"/>
      <x:c r="S509"/>
      <x:c r="T509"/>
      <x:c r="U509"/>
      <x:c r="V509"/>
      <x:c r="W509"/>
      <x:c r="X509"/>
      <x:c r="Y509"/>
      <x:c r="Z509"/>
      <x:c r="AA509"/>
      <x:c r="AB509"/>
      <x:c r="AC509"/>
      <x:c r="AD509"/>
      <x:c r="AE509"/>
      <x:c r="AF509"/>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x:c r="C510"/>
      <x:c r="D510"/>
      <x:c r="E510"/>
      <x:c r="F510"/>
      <x:c r="G510"/>
      <x:c r="H510"/>
      <x:c r="I510"/>
      <x:c r="J510"/>
      <x:c r="K510"/>
      <x:c r="L510"/>
      <x:c r="M510"/>
      <x:c r="N510"/>
      <x:c r="O510"/>
      <x:c r="P510"/>
      <x:c r="Q510"/>
      <x:c r="R510"/>
      <x:c r="S510"/>
      <x:c r="T510"/>
      <x:c r="U510"/>
      <x:c r="V510"/>
      <x:c r="W510"/>
      <x:c r="X510"/>
      <x:c r="Y510"/>
      <x:c r="Z510"/>
      <x:c r="AA510"/>
      <x:c r="AB510"/>
      <x:c r="AC510"/>
      <x:c r="AD510"/>
      <x:c r="AE510"/>
      <x:c r="AF510"/>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C511"/>
      <x:c r="D511"/>
      <x:c r="E511"/>
      <x:c r="F511"/>
      <x:c r="G511"/>
      <x:c r="H511"/>
      <x:c r="I511"/>
      <x:c r="J511"/>
      <x:c r="K511"/>
      <x:c r="L511"/>
      <x:c r="M511"/>
      <x:c r="N511"/>
      <x:c r="O511"/>
      <x:c r="P511"/>
      <x:c r="Q511"/>
      <x:c r="R511"/>
      <x:c r="S511"/>
      <x:c r="T511"/>
      <x:c r="U511"/>
      <x:c r="V511"/>
      <x:c r="W511"/>
      <x:c r="X511"/>
      <x:c r="Y511"/>
      <x:c r="Z511"/>
      <x:c r="AA511"/>
      <x:c r="AB511"/>
      <x:c r="AC511"/>
      <x:c r="AD511"/>
      <x:c r="AE511"/>
      <x:c r="AF511"/>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x:c r="C512"/>
      <x:c r="D512"/>
      <x:c r="E512"/>
      <x:c r="F512"/>
      <x:c r="G512"/>
      <x:c r="H512"/>
      <x:c r="I512"/>
      <x:c r="J512"/>
      <x:c r="K512"/>
      <x:c r="L512"/>
      <x:c r="M512"/>
      <x:c r="N512"/>
      <x:c r="O512"/>
      <x:c r="P512"/>
      <x:c r="Q512"/>
      <x:c r="R512"/>
      <x:c r="S512"/>
      <x:c r="T512"/>
      <x:c r="U512"/>
      <x:c r="V512"/>
      <x:c r="W512"/>
      <x:c r="X512"/>
      <x:c r="Y512"/>
      <x:c r="Z512"/>
      <x:c r="AA512"/>
      <x:c r="AB512"/>
      <x:c r="AC512"/>
      <x:c r="AD512"/>
      <x:c r="AE512"/>
      <x:c r="AF512"/>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x:c r="C513"/>
      <x:c r="D513"/>
      <x:c r="E513"/>
      <x:c r="F513"/>
      <x:c r="G513"/>
      <x:c r="H513"/>
      <x:c r="I513"/>
      <x:c r="J513"/>
      <x:c r="K513"/>
      <x:c r="L513"/>
      <x:c r="M513"/>
      <x:c r="N513"/>
      <x:c r="O513"/>
      <x:c r="P513"/>
      <x:c r="Q513"/>
      <x:c r="R513"/>
      <x:c r="S513"/>
      <x:c r="T513"/>
      <x:c r="U513"/>
      <x:c r="V513"/>
      <x:c r="W513"/>
      <x:c r="X513"/>
      <x:c r="Y513"/>
      <x:c r="Z513"/>
      <x:c r="AA513"/>
      <x:c r="AB513"/>
      <x:c r="AC513"/>
      <x:c r="AD513"/>
      <x:c r="AE513"/>
      <x:c r="AF513"/>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x:c r="C514"/>
      <x:c r="D514"/>
      <x:c r="E514"/>
      <x:c r="F514"/>
      <x:c r="G514"/>
      <x:c r="H514"/>
      <x:c r="I514"/>
      <x:c r="J514"/>
      <x:c r="K514"/>
      <x:c r="L514"/>
      <x:c r="M514"/>
      <x:c r="N514"/>
      <x:c r="O514"/>
      <x:c r="P514"/>
      <x:c r="Q514"/>
      <x:c r="R514"/>
      <x:c r="S514"/>
      <x:c r="T514"/>
      <x:c r="U514"/>
      <x:c r="V514"/>
      <x:c r="W514"/>
      <x:c r="X514"/>
      <x:c r="Y514"/>
      <x:c r="Z514"/>
      <x:c r="AA514"/>
      <x:c r="AB514"/>
      <x:c r="AC514"/>
      <x:c r="AD514"/>
      <x:c r="AE514"/>
      <x:c r="AF514"/>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x:c r="C515"/>
      <x:c r="D515"/>
      <x:c r="E515"/>
      <x:c r="F515"/>
      <x:c r="G515"/>
      <x:c r="H515"/>
      <x:c r="I515"/>
      <x:c r="J515"/>
      <x:c r="K515"/>
      <x:c r="L515"/>
      <x:c r="M515"/>
      <x:c r="N515"/>
      <x:c r="O515"/>
      <x:c r="P515"/>
      <x:c r="Q515"/>
      <x:c r="R515"/>
      <x:c r="S515"/>
      <x:c r="T515"/>
      <x:c r="U515"/>
      <x:c r="V515"/>
      <x:c r="W515"/>
      <x:c r="X515"/>
      <x:c r="Y515"/>
      <x:c r="Z515"/>
      <x:c r="AA515"/>
      <x:c r="AB515"/>
      <x:c r="AC515"/>
      <x:c r="AD515"/>
      <x:c r="AE515"/>
      <x:c r="AF515"/>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x:c r="C516"/>
      <x:c r="D516"/>
      <x:c r="E516"/>
      <x:c r="F516"/>
      <x:c r="G516"/>
      <x:c r="H516"/>
      <x:c r="I516"/>
      <x:c r="J516"/>
      <x:c r="K516"/>
      <x:c r="L516"/>
      <x:c r="M516"/>
      <x:c r="N516"/>
      <x:c r="O516"/>
      <x:c r="P516"/>
      <x:c r="Q516"/>
      <x:c r="R516"/>
      <x:c r="S516"/>
      <x:c r="T516"/>
      <x:c r="U516"/>
      <x:c r="V516"/>
      <x:c r="W516"/>
      <x:c r="X516"/>
      <x:c r="Y516"/>
      <x:c r="Z516"/>
      <x:c r="AA516"/>
      <x:c r="AB516"/>
      <x:c r="AC516"/>
      <x:c r="AD516"/>
      <x:c r="AE516"/>
      <x:c r="AF516"/>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x:c r="C517"/>
      <x:c r="D517"/>
      <x:c r="E517"/>
      <x:c r="F517"/>
      <x:c r="G517"/>
      <x:c r="H517"/>
      <x:c r="I517"/>
      <x:c r="J517"/>
      <x:c r="K517"/>
      <x:c r="L517"/>
      <x:c r="M517"/>
      <x:c r="N517"/>
      <x:c r="O517"/>
      <x:c r="P517"/>
      <x:c r="Q517"/>
      <x:c r="R517"/>
      <x:c r="S517"/>
      <x:c r="T517"/>
      <x:c r="U517"/>
      <x:c r="V517"/>
      <x:c r="W517"/>
      <x:c r="X517"/>
      <x:c r="Y517"/>
      <x:c r="Z517"/>
      <x:c r="AA517"/>
      <x:c r="AB517"/>
      <x:c r="AC517"/>
      <x:c r="AD517"/>
      <x:c r="AE517"/>
      <x:c r="AF517"/>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x:c r="C518"/>
      <x:c r="D518"/>
      <x:c r="E518"/>
      <x:c r="F518"/>
      <x:c r="G518"/>
      <x:c r="H518"/>
      <x:c r="I518"/>
      <x:c r="J518"/>
      <x:c r="K518"/>
      <x:c r="L518"/>
      <x:c r="M518"/>
      <x:c r="N518"/>
      <x:c r="O518"/>
      <x:c r="P518"/>
      <x:c r="Q518"/>
      <x:c r="R518"/>
      <x:c r="S518"/>
      <x:c r="T518"/>
      <x:c r="U518"/>
      <x:c r="V518"/>
      <x:c r="W518"/>
      <x:c r="X518"/>
      <x:c r="Y518"/>
      <x:c r="Z518"/>
      <x:c r="AA518"/>
      <x:c r="AB518"/>
      <x:c r="AC518"/>
      <x:c r="AD518"/>
      <x:c r="AE518"/>
      <x:c r="AF518"/>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x:c r="C519"/>
      <x:c r="D519"/>
      <x:c r="E519"/>
      <x:c r="F519"/>
      <x:c r="G519"/>
      <x:c r="H519"/>
      <x:c r="I519"/>
      <x:c r="J519"/>
      <x:c r="K519"/>
      <x:c r="L519"/>
      <x:c r="M519"/>
      <x:c r="N519"/>
      <x:c r="O519"/>
      <x:c r="P519"/>
      <x:c r="Q519"/>
      <x:c r="R519"/>
      <x:c r="S519"/>
      <x:c r="T519"/>
      <x:c r="U519"/>
      <x:c r="V519"/>
      <x:c r="W519"/>
      <x:c r="X519"/>
      <x:c r="Y519"/>
      <x:c r="Z519"/>
      <x:c r="AA519"/>
      <x:c r="AB519"/>
      <x:c r="AC519"/>
      <x:c r="AD519"/>
      <x:c r="AE519"/>
      <x:c r="AF519"/>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x:c r="C520"/>
      <x:c r="D520"/>
      <x:c r="E520"/>
      <x:c r="F520"/>
      <x:c r="G520"/>
      <x:c r="H520"/>
      <x:c r="I520"/>
      <x:c r="J520"/>
      <x:c r="K520"/>
      <x:c r="L520"/>
      <x:c r="M520"/>
      <x:c r="N520"/>
      <x:c r="O520"/>
      <x:c r="P520"/>
      <x:c r="Q520"/>
      <x:c r="R520"/>
      <x:c r="S520"/>
      <x:c r="T520"/>
      <x:c r="U520"/>
      <x:c r="V520"/>
      <x:c r="W520"/>
      <x:c r="X520"/>
      <x:c r="Y520"/>
      <x:c r="Z520"/>
      <x:c r="AA520"/>
      <x:c r="AB520"/>
      <x:c r="AC520"/>
      <x:c r="AD520"/>
      <x:c r="AE520"/>
      <x:c r="AF520"/>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x:c r="C521"/>
      <x:c r="D521"/>
      <x:c r="E521"/>
      <x:c r="F521"/>
      <x:c r="G521"/>
      <x:c r="H521"/>
      <x:c r="I521"/>
      <x:c r="J521"/>
      <x:c r="K521"/>
      <x:c r="L521"/>
      <x:c r="M521"/>
      <x:c r="N521"/>
      <x:c r="O521"/>
      <x:c r="P521"/>
      <x:c r="Q521"/>
      <x:c r="R521"/>
      <x:c r="S521"/>
      <x:c r="T521"/>
      <x:c r="U521"/>
      <x:c r="V521"/>
      <x:c r="W521"/>
      <x:c r="X521"/>
      <x:c r="Y521"/>
      <x:c r="Z521"/>
      <x:c r="AA521"/>
      <x:c r="AB521"/>
      <x:c r="AC521"/>
      <x:c r="AD521"/>
      <x:c r="AE521"/>
      <x:c r="AF521"/>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x:c r="C522"/>
      <x:c r="D522"/>
      <x:c r="E522"/>
      <x:c r="F522"/>
      <x:c r="G522"/>
      <x:c r="H522"/>
      <x:c r="I522"/>
      <x:c r="J522"/>
      <x:c r="K522"/>
      <x:c r="L522"/>
      <x:c r="M522"/>
      <x:c r="N522"/>
      <x:c r="O522"/>
      <x:c r="P522"/>
      <x:c r="Q522"/>
      <x:c r="R522"/>
      <x:c r="S522"/>
      <x:c r="T522"/>
      <x:c r="U522"/>
      <x:c r="V522"/>
      <x:c r="W522"/>
      <x:c r="X522"/>
      <x:c r="Y522"/>
      <x:c r="Z522"/>
      <x:c r="AA522"/>
      <x:c r="AB522"/>
      <x:c r="AC522"/>
      <x:c r="AD522"/>
      <x:c r="AE522"/>
      <x:c r="AF522"/>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x:c r="C523"/>
      <x:c r="D523"/>
      <x:c r="E523"/>
      <x:c r="F523"/>
      <x:c r="G523"/>
      <x:c r="H523"/>
      <x:c r="I523"/>
      <x:c r="J523"/>
      <x:c r="K523"/>
      <x:c r="L523"/>
      <x:c r="M523"/>
      <x:c r="N523"/>
      <x:c r="O523"/>
      <x:c r="P523"/>
      <x:c r="Q523"/>
      <x:c r="R523"/>
      <x:c r="S523"/>
      <x:c r="T523"/>
      <x:c r="U523"/>
      <x:c r="V523"/>
      <x:c r="W523"/>
      <x:c r="X523"/>
      <x:c r="Y523"/>
      <x:c r="Z523"/>
      <x:c r="AA523"/>
      <x:c r="AB523"/>
      <x:c r="AC523"/>
      <x:c r="AD523"/>
      <x:c r="AE523"/>
      <x:c r="AF523"/>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x:c r="C524"/>
      <x:c r="D524"/>
      <x:c r="E524"/>
      <x:c r="F524"/>
      <x:c r="G524"/>
      <x:c r="H524"/>
      <x:c r="I524"/>
      <x:c r="J524"/>
      <x:c r="K524"/>
      <x:c r="L524"/>
      <x:c r="M524"/>
      <x:c r="N524"/>
      <x:c r="O524"/>
      <x:c r="P524"/>
      <x:c r="Q524"/>
      <x:c r="R524"/>
      <x:c r="S524"/>
      <x:c r="T524"/>
      <x:c r="U524"/>
      <x:c r="V524"/>
      <x:c r="W524"/>
      <x:c r="X524"/>
      <x:c r="Y524"/>
      <x:c r="Z524"/>
      <x:c r="AA524"/>
      <x:c r="AB524"/>
      <x:c r="AC524"/>
      <x:c r="AD524"/>
      <x:c r="AE524"/>
      <x:c r="AF524"/>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x:c r="C525"/>
      <x:c r="D525"/>
      <x:c r="E525"/>
      <x:c r="F525"/>
      <x:c r="G525"/>
      <x:c r="H525"/>
      <x:c r="I525"/>
      <x:c r="J525"/>
      <x:c r="K525"/>
      <x:c r="L525"/>
      <x:c r="M525"/>
      <x:c r="N525"/>
      <x:c r="O525"/>
      <x:c r="P525"/>
      <x:c r="Q525"/>
      <x:c r="R525"/>
      <x:c r="S525"/>
      <x:c r="T525"/>
      <x:c r="U525"/>
      <x:c r="V525"/>
      <x:c r="W525"/>
      <x:c r="X525"/>
      <x:c r="Y525"/>
      <x:c r="Z525"/>
      <x:c r="AA525"/>
      <x:c r="AB525"/>
      <x:c r="AC525"/>
      <x:c r="AD525"/>
      <x:c r="AE525"/>
      <x:c r="AF525"/>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x:c r="C526"/>
      <x:c r="D526"/>
      <x:c r="E526"/>
      <x:c r="F526"/>
      <x:c r="G526"/>
      <x:c r="H526"/>
      <x:c r="I526"/>
      <x:c r="J526"/>
      <x:c r="K526"/>
      <x:c r="L526"/>
      <x:c r="M526"/>
      <x:c r="N526"/>
      <x:c r="O526"/>
      <x:c r="P526"/>
      <x:c r="Q526"/>
      <x:c r="R526"/>
      <x:c r="S526"/>
      <x:c r="T526"/>
      <x:c r="U526"/>
      <x:c r="V526"/>
      <x:c r="W526"/>
      <x:c r="X526"/>
      <x:c r="Y526"/>
      <x:c r="Z526"/>
      <x:c r="AA526"/>
      <x:c r="AB526"/>
      <x:c r="AC526"/>
      <x:c r="AD526"/>
      <x:c r="AE526"/>
      <x:c r="AF526"/>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C527"/>
      <x:c r="D527"/>
      <x:c r="E527"/>
      <x:c r="F527"/>
      <x:c r="G527"/>
      <x:c r="H527"/>
      <x:c r="I527"/>
      <x:c r="J527"/>
      <x:c r="K527"/>
      <x:c r="L527"/>
      <x:c r="M527"/>
      <x:c r="N527"/>
      <x:c r="O527"/>
      <x:c r="P527"/>
      <x:c r="Q527"/>
      <x:c r="R527"/>
      <x:c r="S527"/>
      <x:c r="T527"/>
      <x:c r="U527"/>
      <x:c r="V527"/>
      <x:c r="W527"/>
      <x:c r="X527"/>
      <x:c r="Y527"/>
      <x:c r="Z527"/>
      <x:c r="AA527"/>
      <x:c r="AB527"/>
      <x:c r="AC527"/>
      <x:c r="AD527"/>
      <x:c r="AE527"/>
      <x:c r="AF527"/>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x:c r="C528"/>
      <x:c r="D528"/>
      <x:c r="E528"/>
      <x:c r="F528"/>
      <x:c r="G528"/>
      <x:c r="H528"/>
      <x:c r="I528"/>
      <x:c r="J528"/>
      <x:c r="K528"/>
      <x:c r="L528"/>
      <x:c r="M528"/>
      <x:c r="N528"/>
      <x:c r="O528"/>
      <x:c r="P528"/>
      <x:c r="Q528"/>
      <x:c r="R528"/>
      <x:c r="S528"/>
      <x:c r="T528"/>
      <x:c r="U528"/>
      <x:c r="V528"/>
      <x:c r="W528"/>
      <x:c r="X528"/>
      <x:c r="Y528"/>
      <x:c r="Z528"/>
      <x:c r="AA528"/>
      <x:c r="AB528"/>
      <x:c r="AC528"/>
      <x:c r="AD528"/>
      <x:c r="AE528"/>
      <x:c r="AF528"/>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x:c r="C529"/>
      <x:c r="D529"/>
      <x:c r="E529"/>
      <x:c r="F529"/>
      <x:c r="G529"/>
      <x:c r="H529"/>
      <x:c r="I529"/>
      <x:c r="J529"/>
      <x:c r="K529"/>
      <x:c r="L529"/>
      <x:c r="M529"/>
      <x:c r="N529"/>
      <x:c r="O529"/>
      <x:c r="P529"/>
      <x:c r="Q529"/>
      <x:c r="R529"/>
      <x:c r="S529"/>
      <x:c r="T529"/>
      <x:c r="U529"/>
      <x:c r="V529"/>
      <x:c r="W529"/>
      <x:c r="X529"/>
      <x:c r="Y529"/>
      <x:c r="Z529"/>
      <x:c r="AA529"/>
      <x:c r="AB529"/>
      <x:c r="AC529"/>
      <x:c r="AD529"/>
      <x:c r="AE529"/>
      <x:c r="AF529"/>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x:c r="C530"/>
      <x:c r="D530"/>
      <x:c r="E530"/>
      <x:c r="F530"/>
      <x:c r="G530"/>
      <x:c r="H530"/>
      <x:c r="I530"/>
      <x:c r="J530"/>
      <x:c r="K530"/>
      <x:c r="L530"/>
      <x:c r="M530"/>
      <x:c r="N530"/>
      <x:c r="O530"/>
      <x:c r="P530"/>
      <x:c r="Q530"/>
      <x:c r="R530"/>
      <x:c r="S530"/>
      <x:c r="T530"/>
      <x:c r="U530"/>
      <x:c r="V530"/>
      <x:c r="W530"/>
      <x:c r="X530"/>
      <x:c r="Y530"/>
      <x:c r="Z530"/>
      <x:c r="AA530"/>
      <x:c r="AB530"/>
      <x:c r="AC530"/>
      <x:c r="AD530"/>
      <x:c r="AE530"/>
      <x:c r="AF530"/>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x:c r="C531"/>
      <x:c r="D531"/>
      <x:c r="E531"/>
      <x:c r="F531"/>
      <x:c r="G531"/>
      <x:c r="H531"/>
      <x:c r="I531"/>
      <x:c r="J531"/>
      <x:c r="K531"/>
      <x:c r="L531"/>
      <x:c r="M531"/>
      <x:c r="N531"/>
      <x:c r="O531"/>
      <x:c r="P531"/>
      <x:c r="Q531"/>
      <x:c r="R531"/>
      <x:c r="S531"/>
      <x:c r="T531"/>
      <x:c r="U531"/>
      <x:c r="V531"/>
      <x:c r="W531"/>
      <x:c r="X531"/>
      <x:c r="Y531"/>
      <x:c r="Z531"/>
      <x:c r="AA531"/>
      <x:c r="AB531"/>
      <x:c r="AC531"/>
      <x:c r="AD531"/>
      <x:c r="AE531"/>
      <x:c r="AF531"/>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C532"/>
      <x:c r="D532"/>
      <x:c r="E532"/>
      <x:c r="F532"/>
      <x:c r="G532"/>
      <x:c r="H532"/>
      <x:c r="I532"/>
      <x:c r="J532"/>
      <x:c r="K532"/>
      <x:c r="L532"/>
      <x:c r="M532"/>
      <x:c r="N532"/>
      <x:c r="O532"/>
      <x:c r="P532"/>
      <x:c r="Q532"/>
      <x:c r="R532"/>
      <x:c r="S532"/>
      <x:c r="T532"/>
      <x:c r="U532"/>
      <x:c r="V532"/>
      <x:c r="W532"/>
      <x:c r="X532"/>
      <x:c r="Y532"/>
      <x:c r="Z532"/>
      <x:c r="AA532"/>
      <x:c r="AB532"/>
      <x:c r="AC532"/>
      <x:c r="AD532"/>
      <x:c r="AE532"/>
      <x:c r="AF532"/>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x:c r="C533"/>
      <x:c r="D533"/>
      <x:c r="E533"/>
      <x:c r="F533"/>
      <x:c r="G533"/>
      <x:c r="H533"/>
      <x:c r="I533"/>
      <x:c r="J533"/>
      <x:c r="K533"/>
      <x:c r="L533"/>
      <x:c r="M533"/>
      <x:c r="N533"/>
      <x:c r="O533"/>
      <x:c r="P533"/>
      <x:c r="Q533"/>
      <x:c r="R533"/>
      <x:c r="S533"/>
      <x:c r="T533"/>
      <x:c r="U533"/>
      <x:c r="V533"/>
      <x:c r="W533"/>
      <x:c r="X533"/>
      <x:c r="Y533"/>
      <x:c r="Z533"/>
      <x:c r="AA533"/>
      <x:c r="AB533"/>
      <x:c r="AC533"/>
      <x:c r="AD533"/>
      <x:c r="AE533"/>
      <x:c r="AF533"/>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C534"/>
      <x:c r="D534"/>
      <x:c r="E534"/>
      <x:c r="F534"/>
      <x:c r="G534"/>
      <x:c r="H534"/>
      <x:c r="I534"/>
      <x:c r="J534"/>
      <x:c r="K534"/>
      <x:c r="L534"/>
      <x:c r="M534"/>
      <x:c r="N534"/>
      <x:c r="O534"/>
      <x:c r="P534"/>
      <x:c r="Q534"/>
      <x:c r="R534"/>
      <x:c r="S534"/>
      <x:c r="T534"/>
      <x:c r="U534"/>
      <x:c r="V534"/>
      <x:c r="W534"/>
      <x:c r="X534"/>
      <x:c r="Y534"/>
      <x:c r="Z534"/>
      <x:c r="AA534"/>
      <x:c r="AB534"/>
      <x:c r="AC534"/>
      <x:c r="AD534"/>
      <x:c r="AE534"/>
      <x:c r="AF53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x:c r="C535"/>
      <x:c r="D535"/>
      <x:c r="E535"/>
      <x:c r="F535"/>
      <x:c r="G535"/>
      <x:c r="H535"/>
      <x:c r="I535"/>
      <x:c r="J535"/>
      <x:c r="K535"/>
      <x:c r="L535"/>
      <x:c r="M535"/>
      <x:c r="N535"/>
      <x:c r="O535"/>
      <x:c r="P535"/>
      <x:c r="Q535"/>
      <x:c r="R535"/>
      <x:c r="S535"/>
      <x:c r="T535"/>
      <x:c r="U535"/>
      <x:c r="V535"/>
      <x:c r="W535"/>
      <x:c r="X535"/>
      <x:c r="Y535"/>
      <x:c r="Z535"/>
      <x:c r="AA535"/>
      <x:c r="AB535"/>
      <x:c r="AC535"/>
      <x:c r="AD535"/>
      <x:c r="AE535"/>
      <x:c r="AF535"/>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x:c r="C536"/>
      <x:c r="D536"/>
      <x:c r="E536"/>
      <x:c r="F536"/>
      <x:c r="G536"/>
      <x:c r="H536"/>
      <x:c r="I536"/>
      <x:c r="J536"/>
      <x:c r="K536"/>
      <x:c r="L536"/>
      <x:c r="M536"/>
      <x:c r="N536"/>
      <x:c r="O536"/>
      <x:c r="P536"/>
      <x:c r="Q536"/>
      <x:c r="R536"/>
      <x:c r="S536"/>
      <x:c r="T536"/>
      <x:c r="U536"/>
      <x:c r="V536"/>
      <x:c r="W536"/>
      <x:c r="X536"/>
      <x:c r="Y536"/>
      <x:c r="Z536"/>
      <x:c r="AA536"/>
      <x:c r="AB536"/>
      <x:c r="AC536"/>
      <x:c r="AD536"/>
      <x:c r="AE536"/>
      <x:c r="AF536"/>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x:c r="C537"/>
      <x:c r="D537"/>
      <x:c r="E537"/>
      <x:c r="F537"/>
      <x:c r="G537"/>
      <x:c r="H537"/>
      <x:c r="I537"/>
      <x:c r="J537"/>
      <x:c r="K537"/>
      <x:c r="L537"/>
      <x:c r="M537"/>
      <x:c r="N537"/>
      <x:c r="O537"/>
      <x:c r="P537"/>
      <x:c r="Q537"/>
      <x:c r="R537"/>
      <x:c r="S537"/>
      <x:c r="T537"/>
      <x:c r="U537"/>
      <x:c r="V537"/>
      <x:c r="W537"/>
      <x:c r="X537"/>
      <x:c r="Y537"/>
      <x:c r="Z537"/>
      <x:c r="AA537"/>
      <x:c r="AB537"/>
      <x:c r="AC537"/>
      <x:c r="AD537"/>
      <x:c r="AE537"/>
      <x:c r="AF537"/>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x:c r="C538"/>
      <x:c r="D538"/>
      <x:c r="E538"/>
      <x:c r="F538"/>
      <x:c r="G538"/>
      <x:c r="H538"/>
      <x:c r="I538"/>
      <x:c r="J538"/>
      <x:c r="K538"/>
      <x:c r="L538"/>
      <x:c r="M538"/>
      <x:c r="N538"/>
      <x:c r="O538"/>
      <x:c r="P538"/>
      <x:c r="Q538"/>
      <x:c r="R538"/>
      <x:c r="S538"/>
      <x:c r="T538"/>
      <x:c r="U538"/>
      <x:c r="V538"/>
      <x:c r="W538"/>
      <x:c r="X538"/>
      <x:c r="Y538"/>
      <x:c r="Z538"/>
      <x:c r="AA538"/>
      <x:c r="AB538"/>
      <x:c r="AC538"/>
      <x:c r="AD538"/>
      <x:c r="AE538"/>
      <x:c r="AF538"/>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x:c r="C539"/>
      <x:c r="D539"/>
      <x:c r="E539"/>
      <x:c r="F539"/>
      <x:c r="G539"/>
      <x:c r="H539"/>
      <x:c r="I539"/>
      <x:c r="J539"/>
      <x:c r="K539"/>
      <x:c r="L539"/>
      <x:c r="M539"/>
      <x:c r="N539"/>
      <x:c r="O539"/>
      <x:c r="P539"/>
      <x:c r="Q539"/>
      <x:c r="R539"/>
      <x:c r="S539"/>
      <x:c r="T539"/>
      <x:c r="U539"/>
      <x:c r="V539"/>
      <x:c r="W539"/>
      <x:c r="X539"/>
      <x:c r="Y539"/>
      <x:c r="Z539"/>
      <x:c r="AA539"/>
      <x:c r="AB539"/>
      <x:c r="AC539"/>
      <x:c r="AD539"/>
      <x:c r="AE539"/>
      <x:c r="AF539"/>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x:c r="C540"/>
      <x:c r="D540"/>
      <x:c r="E540"/>
      <x:c r="F540"/>
      <x:c r="G540"/>
      <x:c r="H540"/>
      <x:c r="I540"/>
      <x:c r="J540"/>
      <x:c r="K540"/>
      <x:c r="L540"/>
      <x:c r="M540"/>
      <x:c r="N540"/>
      <x:c r="O540"/>
      <x:c r="P540"/>
      <x:c r="Q540"/>
      <x:c r="R540"/>
      <x:c r="S540"/>
      <x:c r="T540"/>
      <x:c r="U540"/>
      <x:c r="V540"/>
      <x:c r="W540"/>
      <x:c r="X540"/>
      <x:c r="Y540"/>
      <x:c r="Z540"/>
      <x:c r="AA540"/>
      <x:c r="AB540"/>
      <x:c r="AC540"/>
      <x:c r="AD540"/>
      <x:c r="AE540"/>
      <x:c r="AF540"/>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x:c r="C541"/>
      <x:c r="D541"/>
      <x:c r="E541"/>
      <x:c r="F541"/>
      <x:c r="G541"/>
      <x:c r="H541"/>
      <x:c r="I541"/>
      <x:c r="J541"/>
      <x:c r="K541"/>
      <x:c r="L541"/>
      <x:c r="M541"/>
      <x:c r="N541"/>
      <x:c r="O541"/>
      <x:c r="P541"/>
      <x:c r="Q541"/>
      <x:c r="R541"/>
      <x:c r="S541"/>
      <x:c r="T541"/>
      <x:c r="U541"/>
      <x:c r="V541"/>
      <x:c r="W541"/>
      <x:c r="X541"/>
      <x:c r="Y541"/>
      <x:c r="Z541"/>
      <x:c r="AA541"/>
      <x:c r="AB541"/>
      <x:c r="AC541"/>
      <x:c r="AD541"/>
      <x:c r="AE541"/>
      <x:c r="AF541"/>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x:c r="C542"/>
      <x:c r="D542"/>
      <x:c r="E542"/>
      <x:c r="F542"/>
      <x:c r="G542"/>
      <x:c r="H542"/>
      <x:c r="I542"/>
      <x:c r="J542"/>
      <x:c r="K542"/>
      <x:c r="L542"/>
      <x:c r="M542"/>
      <x:c r="N542"/>
      <x:c r="O542"/>
      <x:c r="P542"/>
      <x:c r="Q542"/>
      <x:c r="R542"/>
      <x:c r="S542"/>
      <x:c r="T542"/>
      <x:c r="U542"/>
      <x:c r="V542"/>
      <x:c r="W542"/>
      <x:c r="X542"/>
      <x:c r="Y542"/>
      <x:c r="Z542"/>
      <x:c r="AA542"/>
      <x:c r="AB542"/>
      <x:c r="AC542"/>
      <x:c r="AD542"/>
      <x:c r="AE542"/>
      <x:c r="AF542"/>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x:c r="C543"/>
      <x:c r="D543"/>
      <x:c r="E543"/>
      <x:c r="F543"/>
      <x:c r="G543"/>
      <x:c r="H543"/>
      <x:c r="I543"/>
      <x:c r="J543"/>
      <x:c r="K543"/>
      <x:c r="L543"/>
      <x:c r="M543"/>
      <x:c r="N543"/>
      <x:c r="O543"/>
      <x:c r="P543"/>
      <x:c r="Q543"/>
      <x:c r="R543"/>
      <x:c r="S543"/>
      <x:c r="T543"/>
      <x:c r="U543"/>
      <x:c r="V543"/>
      <x:c r="W543"/>
      <x:c r="X543"/>
      <x:c r="Y543"/>
      <x:c r="Z543"/>
      <x:c r="AA543"/>
      <x:c r="AB543"/>
      <x:c r="AC543"/>
      <x:c r="AD543"/>
      <x:c r="AE543"/>
      <x:c r="AF543"/>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x:c r="C544"/>
      <x:c r="D544"/>
      <x:c r="E544"/>
      <x:c r="F544"/>
      <x:c r="G544"/>
      <x:c r="H544"/>
      <x:c r="I544"/>
      <x:c r="J544"/>
      <x:c r="K544"/>
      <x:c r="L544"/>
      <x:c r="M544"/>
      <x:c r="N544"/>
      <x:c r="O544"/>
      <x:c r="P544"/>
      <x:c r="Q544"/>
      <x:c r="R544"/>
      <x:c r="S544"/>
      <x:c r="T544"/>
      <x:c r="U544"/>
      <x:c r="V544"/>
      <x:c r="W544"/>
      <x:c r="X544"/>
      <x:c r="Y544"/>
      <x:c r="Z544"/>
      <x:c r="AA544"/>
      <x:c r="AB544"/>
      <x:c r="AC544"/>
      <x:c r="AD544"/>
      <x:c r="AE544"/>
      <x:c r="AF544"/>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C545"/>
      <x:c r="D545"/>
      <x:c r="E545"/>
      <x:c r="F545"/>
      <x:c r="G545"/>
      <x:c r="H545"/>
      <x:c r="I545"/>
      <x:c r="J545"/>
      <x:c r="K545"/>
      <x:c r="L545"/>
      <x:c r="M545"/>
      <x:c r="N545"/>
      <x:c r="O545"/>
      <x:c r="P545"/>
      <x:c r="Q545"/>
      <x:c r="R545"/>
      <x:c r="S545"/>
      <x:c r="T545"/>
      <x:c r="U545"/>
      <x:c r="V545"/>
      <x:c r="W545"/>
      <x:c r="X545"/>
      <x:c r="Y545"/>
      <x:c r="Z545"/>
      <x:c r="AA545"/>
      <x:c r="AB545"/>
      <x:c r="AC545"/>
      <x:c r="AD545"/>
      <x:c r="AE545"/>
      <x:c r="AF545"/>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x:c r="C546"/>
      <x:c r="D546"/>
      <x:c r="E546"/>
      <x:c r="F546"/>
      <x:c r="G546"/>
      <x:c r="H546"/>
      <x:c r="I546"/>
      <x:c r="J546"/>
      <x:c r="K546"/>
      <x:c r="L546"/>
      <x:c r="M546"/>
      <x:c r="N546"/>
      <x:c r="O546"/>
      <x:c r="P546"/>
      <x:c r="Q546"/>
      <x:c r="R546"/>
      <x:c r="S546"/>
      <x:c r="T546"/>
      <x:c r="U546"/>
      <x:c r="V546"/>
      <x:c r="W546"/>
      <x:c r="X546"/>
      <x:c r="Y546"/>
      <x:c r="Z546"/>
      <x:c r="AA546"/>
      <x:c r="AB546"/>
      <x:c r="AC546"/>
      <x:c r="AD546"/>
      <x:c r="AE546"/>
      <x:c r="AF546"/>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x:c r="C547"/>
      <x:c r="D547"/>
      <x:c r="E547"/>
      <x:c r="F547"/>
      <x:c r="G547"/>
      <x:c r="H547"/>
      <x:c r="I547"/>
      <x:c r="J547"/>
      <x:c r="K547"/>
      <x:c r="L547"/>
      <x:c r="M547"/>
      <x:c r="N547"/>
      <x:c r="O547"/>
      <x:c r="P547"/>
      <x:c r="Q547"/>
      <x:c r="R547"/>
      <x:c r="S547"/>
      <x:c r="T547"/>
      <x:c r="U547"/>
      <x:c r="V547"/>
      <x:c r="W547"/>
      <x:c r="X547"/>
      <x:c r="Y547"/>
      <x:c r="Z547"/>
      <x:c r="AA547"/>
      <x:c r="AB547"/>
      <x:c r="AC547"/>
      <x:c r="AD547"/>
      <x:c r="AE547"/>
      <x:c r="AF547"/>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x:c r="C548"/>
      <x:c r="D548"/>
      <x:c r="E548"/>
      <x:c r="F548"/>
      <x:c r="G548"/>
      <x:c r="H548"/>
      <x:c r="I548"/>
      <x:c r="J548"/>
      <x:c r="K548"/>
      <x:c r="L548"/>
      <x:c r="M548"/>
      <x:c r="N548"/>
      <x:c r="O548"/>
      <x:c r="P548"/>
      <x:c r="Q548"/>
      <x:c r="R548"/>
      <x:c r="S548"/>
      <x:c r="T548"/>
      <x:c r="U548"/>
      <x:c r="V548"/>
      <x:c r="W548"/>
      <x:c r="X548"/>
      <x:c r="Y548"/>
      <x:c r="Z548"/>
      <x:c r="AA548"/>
      <x:c r="AB548"/>
      <x:c r="AC548"/>
      <x:c r="AD548"/>
      <x:c r="AE548"/>
      <x:c r="AF548"/>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C549"/>
      <x:c r="D549"/>
      <x:c r="E549"/>
      <x:c r="F549"/>
      <x:c r="G549"/>
      <x:c r="H549"/>
      <x:c r="I549"/>
      <x:c r="J549"/>
      <x:c r="K549"/>
      <x:c r="L549"/>
      <x:c r="M549"/>
      <x:c r="N549"/>
      <x:c r="O549"/>
      <x:c r="P549"/>
      <x:c r="Q549"/>
      <x:c r="R549"/>
      <x:c r="S549"/>
      <x:c r="T549"/>
      <x:c r="U549"/>
      <x:c r="V549"/>
      <x:c r="W549"/>
      <x:c r="X549"/>
      <x:c r="Y549"/>
      <x:c r="Z549"/>
      <x:c r="AA549"/>
      <x:c r="AB549"/>
      <x:c r="AC549"/>
      <x:c r="AD549"/>
      <x:c r="AE549"/>
      <x:c r="AF549"/>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x:c r="C550"/>
      <x:c r="D550"/>
      <x:c r="E550"/>
      <x:c r="F550"/>
      <x:c r="G550"/>
      <x:c r="H550"/>
      <x:c r="I550"/>
      <x:c r="J550"/>
      <x:c r="K550"/>
      <x:c r="L550"/>
      <x:c r="M550"/>
      <x:c r="N550"/>
      <x:c r="O550"/>
      <x:c r="P550"/>
      <x:c r="Q550"/>
      <x:c r="R550"/>
      <x:c r="S550"/>
      <x:c r="T550"/>
      <x:c r="U550"/>
      <x:c r="V550"/>
      <x:c r="W550"/>
      <x:c r="X550"/>
      <x:c r="Y550"/>
      <x:c r="Z550"/>
      <x:c r="AA550"/>
      <x:c r="AB550"/>
      <x:c r="AC550"/>
      <x:c r="AD550"/>
      <x:c r="AE550"/>
      <x:c r="AF550"/>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x:c r="C551"/>
      <x:c r="D551"/>
      <x:c r="E551"/>
      <x:c r="F551"/>
      <x:c r="G551"/>
      <x:c r="H551"/>
      <x:c r="I551"/>
      <x:c r="J551"/>
      <x:c r="K551"/>
      <x:c r="L551"/>
      <x:c r="M551"/>
      <x:c r="N551"/>
      <x:c r="O551"/>
      <x:c r="P551"/>
      <x:c r="Q551"/>
      <x:c r="R551"/>
      <x:c r="S551"/>
      <x:c r="T551"/>
      <x:c r="U551"/>
      <x:c r="V551"/>
      <x:c r="W551"/>
      <x:c r="X551"/>
      <x:c r="Y551"/>
      <x:c r="Z551"/>
      <x:c r="AA551"/>
      <x:c r="AB551"/>
      <x:c r="AC551"/>
      <x:c r="AD551"/>
      <x:c r="AE551"/>
      <x:c r="AF551"/>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x:c r="C552"/>
      <x:c r="D552"/>
      <x:c r="E552"/>
      <x:c r="F552"/>
      <x:c r="G552"/>
      <x:c r="H552"/>
      <x:c r="I552"/>
      <x:c r="J552"/>
      <x:c r="K552"/>
      <x:c r="L552"/>
      <x:c r="M552"/>
      <x:c r="N552"/>
      <x:c r="O552"/>
      <x:c r="P552"/>
      <x:c r="Q552"/>
      <x:c r="R552"/>
      <x:c r="S552"/>
      <x:c r="T552"/>
      <x:c r="U552"/>
      <x:c r="V552"/>
      <x:c r="W552"/>
      <x:c r="X552"/>
      <x:c r="Y552"/>
      <x:c r="Z552"/>
      <x:c r="AA552"/>
      <x:c r="AB552"/>
      <x:c r="AC552"/>
      <x:c r="AD552"/>
      <x:c r="AE552"/>
      <x:c r="AF552"/>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x:c r="C553"/>
      <x:c r="D553"/>
      <x:c r="E553"/>
      <x:c r="F553"/>
      <x:c r="G553"/>
      <x:c r="H553"/>
      <x:c r="I553"/>
      <x:c r="J553"/>
      <x:c r="K553"/>
      <x:c r="L553"/>
      <x:c r="M553"/>
      <x:c r="N553"/>
      <x:c r="O553"/>
      <x:c r="P553"/>
      <x:c r="Q553"/>
      <x:c r="R553"/>
      <x:c r="S553"/>
      <x:c r="T553"/>
      <x:c r="U553"/>
      <x:c r="V553"/>
      <x:c r="W553"/>
      <x:c r="X553"/>
      <x:c r="Y553"/>
      <x:c r="Z553"/>
      <x:c r="AA553"/>
      <x:c r="AB553"/>
      <x:c r="AC553"/>
      <x:c r="AD553"/>
      <x:c r="AE553"/>
      <x:c r="AF553"/>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x:c r="C554"/>
      <x:c r="D554"/>
      <x:c r="E554"/>
      <x:c r="F554"/>
      <x:c r="G554"/>
      <x:c r="H554"/>
      <x:c r="I554"/>
      <x:c r="J554"/>
      <x:c r="K554"/>
      <x:c r="L554"/>
      <x:c r="M554"/>
      <x:c r="N554"/>
      <x:c r="O554"/>
      <x:c r="P554"/>
      <x:c r="Q554"/>
      <x:c r="R554"/>
      <x:c r="S554"/>
      <x:c r="T554"/>
      <x:c r="U554"/>
      <x:c r="V554"/>
      <x:c r="W554"/>
      <x:c r="X554"/>
      <x:c r="Y554"/>
      <x:c r="Z554"/>
      <x:c r="AA554"/>
      <x:c r="AB554"/>
      <x:c r="AC554"/>
      <x:c r="AD554"/>
      <x:c r="AE554"/>
      <x:c r="AF554"/>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x:c r="C555"/>
      <x:c r="D555"/>
      <x:c r="E555"/>
      <x:c r="F555"/>
      <x:c r="G555"/>
      <x:c r="H555"/>
      <x:c r="I555"/>
      <x:c r="J555"/>
      <x:c r="K555"/>
      <x:c r="L555"/>
      <x:c r="M555"/>
      <x:c r="N555"/>
      <x:c r="O555"/>
      <x:c r="P555"/>
      <x:c r="Q555"/>
      <x:c r="R555"/>
      <x:c r="S555"/>
      <x:c r="T555"/>
      <x:c r="U555"/>
      <x:c r="V555"/>
      <x:c r="W555"/>
      <x:c r="X555"/>
      <x:c r="Y555"/>
      <x:c r="Z555"/>
      <x:c r="AA555"/>
      <x:c r="AB555"/>
      <x:c r="AC555"/>
      <x:c r="AD555"/>
      <x:c r="AE555"/>
      <x:c r="AF555"/>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x:c r="C556"/>
      <x:c r="D556"/>
      <x:c r="E556"/>
      <x:c r="F556"/>
      <x:c r="G556"/>
      <x:c r="H556"/>
      <x:c r="I556"/>
      <x:c r="J556"/>
      <x:c r="K556"/>
      <x:c r="L556"/>
      <x:c r="M556"/>
      <x:c r="N556"/>
      <x:c r="O556"/>
      <x:c r="P556"/>
      <x:c r="Q556"/>
      <x:c r="R556"/>
      <x:c r="S556"/>
      <x:c r="T556"/>
      <x:c r="U556"/>
      <x:c r="V556"/>
      <x:c r="W556"/>
      <x:c r="X556"/>
      <x:c r="Y556"/>
      <x:c r="Z556"/>
      <x:c r="AA556"/>
      <x:c r="AB556"/>
      <x:c r="AC556"/>
      <x:c r="AD556"/>
      <x:c r="AE556"/>
      <x:c r="AF556"/>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x:c r="C557"/>
      <x:c r="D557"/>
      <x:c r="E557"/>
      <x:c r="F557"/>
      <x:c r="G557"/>
      <x:c r="H557"/>
      <x:c r="I557"/>
      <x:c r="J557"/>
      <x:c r="K557"/>
      <x:c r="L557"/>
      <x:c r="M557"/>
      <x:c r="N557"/>
      <x:c r="O557"/>
      <x:c r="P557"/>
      <x:c r="Q557"/>
      <x:c r="R557"/>
      <x:c r="S557"/>
      <x:c r="T557"/>
      <x:c r="U557"/>
      <x:c r="V557"/>
      <x:c r="W557"/>
      <x:c r="X557"/>
      <x:c r="Y557"/>
      <x:c r="Z557"/>
      <x:c r="AA557"/>
      <x:c r="AB557"/>
      <x:c r="AC557"/>
      <x:c r="AD557"/>
      <x:c r="AE557"/>
      <x:c r="AF557"/>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C558"/>
      <x:c r="D558"/>
      <x:c r="E558"/>
      <x:c r="F558"/>
      <x:c r="G558"/>
      <x:c r="H558"/>
      <x:c r="I558"/>
      <x:c r="J558"/>
      <x:c r="K558"/>
      <x:c r="L558"/>
      <x:c r="M558"/>
      <x:c r="N558"/>
      <x:c r="O558"/>
      <x:c r="P558"/>
      <x:c r="Q558"/>
      <x:c r="R558"/>
      <x:c r="S558"/>
      <x:c r="T558"/>
      <x:c r="U558"/>
      <x:c r="V558"/>
      <x:c r="W558"/>
      <x:c r="X558"/>
      <x:c r="Y558"/>
      <x:c r="Z558"/>
      <x:c r="AA558"/>
      <x:c r="AB558"/>
      <x:c r="AC558"/>
      <x:c r="AD558"/>
      <x:c r="AE558"/>
      <x:c r="AF558"/>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x:c r="C559"/>
      <x:c r="D559"/>
      <x:c r="E559"/>
      <x:c r="F559"/>
      <x:c r="G559"/>
      <x:c r="H559"/>
      <x:c r="I559"/>
      <x:c r="J559"/>
      <x:c r="K559"/>
      <x:c r="L559"/>
      <x:c r="M559"/>
      <x:c r="N559"/>
      <x:c r="O559"/>
      <x:c r="P559"/>
      <x:c r="Q559"/>
      <x:c r="R559"/>
      <x:c r="S559"/>
      <x:c r="T559"/>
      <x:c r="U559"/>
      <x:c r="V559"/>
      <x:c r="W559"/>
      <x:c r="X559"/>
      <x:c r="Y559"/>
      <x:c r="Z559"/>
      <x:c r="AA559"/>
      <x:c r="AB559"/>
      <x:c r="AC559"/>
      <x:c r="AD559"/>
      <x:c r="AE559"/>
      <x:c r="AF559"/>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x:c r="C560"/>
      <x:c r="D560"/>
      <x:c r="E560"/>
      <x:c r="F560"/>
      <x:c r="G560"/>
      <x:c r="H560"/>
      <x:c r="I560"/>
      <x:c r="J560"/>
      <x:c r="K560"/>
      <x:c r="L560"/>
      <x:c r="M560"/>
      <x:c r="N560"/>
      <x:c r="O560"/>
      <x:c r="P560"/>
      <x:c r="Q560"/>
      <x:c r="R560"/>
      <x:c r="S560"/>
      <x:c r="T560"/>
      <x:c r="U560"/>
      <x:c r="V560"/>
      <x:c r="W560"/>
      <x:c r="X560"/>
      <x:c r="Y560"/>
      <x:c r="Z560"/>
      <x:c r="AA560"/>
      <x:c r="AB560"/>
      <x:c r="AC560"/>
      <x:c r="AD560"/>
      <x:c r="AE560"/>
      <x:c r="AF560"/>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x:c r="C561"/>
      <x:c r="D561"/>
      <x:c r="E561"/>
      <x:c r="F561"/>
      <x:c r="G561"/>
      <x:c r="H561"/>
      <x:c r="I561"/>
      <x:c r="J561"/>
      <x:c r="K561"/>
      <x:c r="L561"/>
      <x:c r="M561"/>
      <x:c r="N561"/>
      <x:c r="O561"/>
      <x:c r="P561"/>
      <x:c r="Q561"/>
      <x:c r="R561"/>
      <x:c r="S561"/>
      <x:c r="T561"/>
      <x:c r="U561"/>
      <x:c r="V561"/>
      <x:c r="W561"/>
      <x:c r="X561"/>
      <x:c r="Y561"/>
      <x:c r="Z561"/>
      <x:c r="AA561"/>
      <x:c r="AB561"/>
      <x:c r="AC561"/>
      <x:c r="AD561"/>
      <x:c r="AE561"/>
      <x:c r="AF561"/>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x:c r="C562"/>
      <x:c r="D562"/>
      <x:c r="E562"/>
      <x:c r="F562"/>
      <x:c r="G562"/>
      <x:c r="H562"/>
      <x:c r="I562"/>
      <x:c r="J562"/>
      <x:c r="K562"/>
      <x:c r="L562"/>
      <x:c r="M562"/>
      <x:c r="N562"/>
      <x:c r="O562"/>
      <x:c r="P562"/>
      <x:c r="Q562"/>
      <x:c r="R562"/>
      <x:c r="S562"/>
      <x:c r="T562"/>
      <x:c r="U562"/>
      <x:c r="V562"/>
      <x:c r="W562"/>
      <x:c r="X562"/>
      <x:c r="Y562"/>
      <x:c r="Z562"/>
      <x:c r="AA562"/>
      <x:c r="AB562"/>
      <x:c r="AC562"/>
      <x:c r="AD562"/>
      <x:c r="AE562"/>
      <x:c r="AF562"/>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x:c r="C563"/>
      <x:c r="D563"/>
      <x:c r="E563"/>
      <x:c r="F563"/>
      <x:c r="G563"/>
      <x:c r="H563"/>
      <x:c r="I563"/>
      <x:c r="J563"/>
      <x:c r="K563"/>
      <x:c r="L563"/>
      <x:c r="M563"/>
      <x:c r="N563"/>
      <x:c r="O563"/>
      <x:c r="P563"/>
      <x:c r="Q563"/>
      <x:c r="R563"/>
      <x:c r="S563"/>
      <x:c r="T563"/>
      <x:c r="U563"/>
      <x:c r="V563"/>
      <x:c r="W563"/>
      <x:c r="X563"/>
      <x:c r="Y563"/>
      <x:c r="Z563"/>
      <x:c r="AA563"/>
      <x:c r="AB563"/>
      <x:c r="AC563"/>
      <x:c r="AD563"/>
      <x:c r="AE563"/>
      <x:c r="AF563"/>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x:c r="C564"/>
      <x:c r="D564"/>
      <x:c r="E564"/>
      <x:c r="F564"/>
      <x:c r="G564"/>
      <x:c r="H564"/>
      <x:c r="I564"/>
      <x:c r="J564"/>
      <x:c r="K564"/>
      <x:c r="L564"/>
      <x:c r="M564"/>
      <x:c r="N564"/>
      <x:c r="O564"/>
      <x:c r="P564"/>
      <x:c r="Q564"/>
      <x:c r="R564"/>
      <x:c r="S564"/>
      <x:c r="T564"/>
      <x:c r="U564"/>
      <x:c r="V564"/>
      <x:c r="W564"/>
      <x:c r="X564"/>
      <x:c r="Y564"/>
      <x:c r="Z564"/>
      <x:c r="AA564"/>
      <x:c r="AB564"/>
      <x:c r="AC564"/>
      <x:c r="AD564"/>
      <x:c r="AE564"/>
      <x:c r="AF56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C565"/>
      <x:c r="D565"/>
      <x:c r="E565"/>
      <x:c r="F565"/>
      <x:c r="G565"/>
      <x:c r="H565"/>
      <x:c r="I565"/>
      <x:c r="J565"/>
      <x:c r="K565"/>
      <x:c r="L565"/>
      <x:c r="M565"/>
      <x:c r="N565"/>
      <x:c r="O565"/>
      <x:c r="P565"/>
      <x:c r="Q565"/>
      <x:c r="R565"/>
      <x:c r="S565"/>
      <x:c r="T565"/>
      <x:c r="U565"/>
      <x:c r="V565"/>
      <x:c r="W565"/>
      <x:c r="X565"/>
      <x:c r="Y565"/>
      <x:c r="Z565"/>
      <x:c r="AA565"/>
      <x:c r="AB565"/>
      <x:c r="AC565"/>
      <x:c r="AD565"/>
      <x:c r="AE565"/>
      <x:c r="AF565"/>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x:c r="C566"/>
      <x:c r="D566"/>
      <x:c r="E566"/>
      <x:c r="F566"/>
      <x:c r="G566"/>
      <x:c r="H566"/>
      <x:c r="I566"/>
      <x:c r="J566"/>
      <x:c r="K566"/>
      <x:c r="L566"/>
      <x:c r="M566"/>
      <x:c r="N566"/>
      <x:c r="O566"/>
      <x:c r="P566"/>
      <x:c r="Q566"/>
      <x:c r="R566"/>
      <x:c r="S566"/>
      <x:c r="T566"/>
      <x:c r="U566"/>
      <x:c r="V566"/>
      <x:c r="W566"/>
      <x:c r="X566"/>
      <x:c r="Y566"/>
      <x:c r="Z566"/>
      <x:c r="AA566"/>
      <x:c r="AB566"/>
      <x:c r="AC566"/>
      <x:c r="AD566"/>
      <x:c r="AE566"/>
      <x:c r="AF566"/>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x:c r="C567"/>
      <x:c r="D567"/>
      <x:c r="E567"/>
      <x:c r="F567"/>
      <x:c r="G567"/>
      <x:c r="H567"/>
      <x:c r="I567"/>
      <x:c r="J567"/>
      <x:c r="K567"/>
      <x:c r="L567"/>
      <x:c r="M567"/>
      <x:c r="N567"/>
      <x:c r="O567"/>
      <x:c r="P567"/>
      <x:c r="Q567"/>
      <x:c r="R567"/>
      <x:c r="S567"/>
      <x:c r="T567"/>
      <x:c r="U567"/>
      <x:c r="V567"/>
      <x:c r="W567"/>
      <x:c r="X567"/>
      <x:c r="Y567"/>
      <x:c r="Z567"/>
      <x:c r="AA567"/>
      <x:c r="AB567"/>
      <x:c r="AC567"/>
      <x:c r="AD567"/>
      <x:c r="AE567"/>
      <x:c r="AF567"/>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x:c r="C568"/>
      <x:c r="D568"/>
      <x:c r="E568"/>
      <x:c r="F568"/>
      <x:c r="G568"/>
      <x:c r="H568"/>
      <x:c r="I568"/>
      <x:c r="J568"/>
      <x:c r="K568"/>
      <x:c r="L568"/>
      <x:c r="M568"/>
      <x:c r="N568"/>
      <x:c r="O568"/>
      <x:c r="P568"/>
      <x:c r="Q568"/>
      <x:c r="R568"/>
      <x:c r="S568"/>
      <x:c r="T568"/>
      <x:c r="U568"/>
      <x:c r="V568"/>
      <x:c r="W568"/>
      <x:c r="X568"/>
      <x:c r="Y568"/>
      <x:c r="Z568"/>
      <x:c r="AA568"/>
      <x:c r="AB568"/>
      <x:c r="AC568"/>
      <x:c r="AD568"/>
      <x:c r="AE568"/>
      <x:c r="AF568"/>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x:c r="C569"/>
      <x:c r="D569"/>
      <x:c r="E569"/>
      <x:c r="F569"/>
      <x:c r="G569"/>
      <x:c r="H569"/>
      <x:c r="I569"/>
      <x:c r="J569"/>
      <x:c r="K569"/>
      <x:c r="L569"/>
      <x:c r="M569"/>
      <x:c r="N569"/>
      <x:c r="O569"/>
      <x:c r="P569"/>
      <x:c r="Q569"/>
      <x:c r="R569"/>
      <x:c r="S569"/>
      <x:c r="T569"/>
      <x:c r="U569"/>
      <x:c r="V569"/>
      <x:c r="W569"/>
      <x:c r="X569"/>
      <x:c r="Y569"/>
      <x:c r="Z569"/>
      <x:c r="AA569"/>
      <x:c r="AB569"/>
      <x:c r="AC569"/>
      <x:c r="AD569"/>
      <x:c r="AE569"/>
      <x:c r="AF569"/>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x:c r="C570"/>
      <x:c r="D570"/>
      <x:c r="E570"/>
      <x:c r="F570"/>
      <x:c r="G570"/>
      <x:c r="H570"/>
      <x:c r="I570"/>
      <x:c r="J570"/>
      <x:c r="K570"/>
      <x:c r="L570"/>
      <x:c r="M570"/>
      <x:c r="N570"/>
      <x:c r="O570"/>
      <x:c r="P570"/>
      <x:c r="Q570"/>
      <x:c r="R570"/>
      <x:c r="S570"/>
      <x:c r="T570"/>
      <x:c r="U570"/>
      <x:c r="V570"/>
      <x:c r="W570"/>
      <x:c r="X570"/>
      <x:c r="Y570"/>
      <x:c r="Z570"/>
      <x:c r="AA570"/>
      <x:c r="AB570"/>
      <x:c r="AC570"/>
      <x:c r="AD570"/>
      <x:c r="AE570"/>
      <x:c r="AF570"/>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x:c r="C571"/>
      <x:c r="D571"/>
      <x:c r="E571"/>
      <x:c r="F571"/>
      <x:c r="G571"/>
      <x:c r="H571"/>
      <x:c r="I571"/>
      <x:c r="J571"/>
      <x:c r="K571"/>
      <x:c r="L571"/>
      <x:c r="M571"/>
      <x:c r="N571"/>
      <x:c r="O571"/>
      <x:c r="P571"/>
      <x:c r="Q571"/>
      <x:c r="R571"/>
      <x:c r="S571"/>
      <x:c r="T571"/>
      <x:c r="U571"/>
      <x:c r="V571"/>
      <x:c r="W571"/>
      <x:c r="X571"/>
      <x:c r="Y571"/>
      <x:c r="Z571"/>
      <x:c r="AA571"/>
      <x:c r="AB571"/>
      <x:c r="AC571"/>
      <x:c r="AD571"/>
      <x:c r="AE571"/>
      <x:c r="AF571"/>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x:c r="C572"/>
      <x:c r="D572"/>
      <x:c r="E572"/>
      <x:c r="F572"/>
      <x:c r="G572"/>
      <x:c r="H572"/>
      <x:c r="I572"/>
      <x:c r="J572"/>
      <x:c r="K572"/>
      <x:c r="L572"/>
      <x:c r="M572"/>
      <x:c r="N572"/>
      <x:c r="O572"/>
      <x:c r="P572"/>
      <x:c r="Q572"/>
      <x:c r="R572"/>
      <x:c r="S572"/>
      <x:c r="T572"/>
      <x:c r="U572"/>
      <x:c r="V572"/>
      <x:c r="W572"/>
      <x:c r="X572"/>
      <x:c r="Y572"/>
      <x:c r="Z572"/>
      <x:c r="AA572"/>
      <x:c r="AB572"/>
      <x:c r="AC572"/>
      <x:c r="AD572"/>
      <x:c r="AE572"/>
      <x:c r="AF572"/>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x:c r="C573"/>
      <x:c r="D573"/>
      <x:c r="E573"/>
      <x:c r="F573"/>
      <x:c r="G573"/>
      <x:c r="H573"/>
      <x:c r="I573"/>
      <x:c r="J573"/>
      <x:c r="K573"/>
      <x:c r="L573"/>
      <x:c r="M573"/>
      <x:c r="N573"/>
      <x:c r="O573"/>
      <x:c r="P573"/>
      <x:c r="Q573"/>
      <x:c r="R573"/>
      <x:c r="S573"/>
      <x:c r="T573"/>
      <x:c r="U573"/>
      <x:c r="V573"/>
      <x:c r="W573"/>
      <x:c r="X573"/>
      <x:c r="Y573"/>
      <x:c r="Z573"/>
      <x:c r="AA573"/>
      <x:c r="AB573"/>
      <x:c r="AC573"/>
      <x:c r="AD573"/>
      <x:c r="AE573"/>
      <x:c r="AF573"/>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x:c r="C574"/>
      <x:c r="D574"/>
      <x:c r="E574"/>
      <x:c r="F574"/>
      <x:c r="G574"/>
      <x:c r="H574"/>
      <x:c r="I574"/>
      <x:c r="J574"/>
      <x:c r="K574"/>
      <x:c r="L574"/>
      <x:c r="M574"/>
      <x:c r="N574"/>
      <x:c r="O574"/>
      <x:c r="P574"/>
      <x:c r="Q574"/>
      <x:c r="R574"/>
      <x:c r="S574"/>
      <x:c r="T574"/>
      <x:c r="U574"/>
      <x:c r="V574"/>
      <x:c r="W574"/>
      <x:c r="X574"/>
      <x:c r="Y574"/>
      <x:c r="Z574"/>
      <x:c r="AA574"/>
      <x:c r="AB574"/>
      <x:c r="AC574"/>
      <x:c r="AD574"/>
      <x:c r="AE574"/>
      <x:c r="AF57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x:c r="C575"/>
      <x:c r="D575"/>
      <x:c r="E575"/>
      <x:c r="F575"/>
      <x:c r="G575"/>
      <x:c r="H575"/>
      <x:c r="I575"/>
      <x:c r="J575"/>
      <x:c r="K575"/>
      <x:c r="L575"/>
      <x:c r="M575"/>
      <x:c r="N575"/>
      <x:c r="O575"/>
      <x:c r="P575"/>
      <x:c r="Q575"/>
      <x:c r="R575"/>
      <x:c r="S575"/>
      <x:c r="T575"/>
      <x:c r="U575"/>
      <x:c r="V575"/>
      <x:c r="W575"/>
      <x:c r="X575"/>
      <x:c r="Y575"/>
      <x:c r="Z575"/>
      <x:c r="AA575"/>
      <x:c r="AB575"/>
      <x:c r="AC575"/>
      <x:c r="AD575"/>
      <x:c r="AE575"/>
      <x:c r="AF575"/>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x:c r="C576"/>
      <x:c r="D576"/>
      <x:c r="E576"/>
      <x:c r="F576"/>
      <x:c r="G576"/>
      <x:c r="H576"/>
      <x:c r="I576"/>
      <x:c r="J576"/>
      <x:c r="K576"/>
      <x:c r="L576"/>
      <x:c r="M576"/>
      <x:c r="N576"/>
      <x:c r="O576"/>
      <x:c r="P576"/>
      <x:c r="Q576"/>
      <x:c r="R576"/>
      <x:c r="S576"/>
      <x:c r="T576"/>
      <x:c r="U576"/>
      <x:c r="V576"/>
      <x:c r="W576"/>
      <x:c r="X576"/>
      <x:c r="Y576"/>
      <x:c r="Z576"/>
      <x:c r="AA576"/>
      <x:c r="AB576"/>
      <x:c r="AC576"/>
      <x:c r="AD576"/>
      <x:c r="AE576"/>
      <x:c r="AF576"/>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x:c r="C577"/>
      <x:c r="D577"/>
      <x:c r="E577"/>
      <x:c r="F577"/>
      <x:c r="G577"/>
      <x:c r="H577"/>
      <x:c r="I577"/>
      <x:c r="J577"/>
      <x:c r="K577"/>
      <x:c r="L577"/>
      <x:c r="M577"/>
      <x:c r="N577"/>
      <x:c r="O577"/>
      <x:c r="P577"/>
      <x:c r="Q577"/>
      <x:c r="R577"/>
      <x:c r="S577"/>
      <x:c r="T577"/>
      <x:c r="U577"/>
      <x:c r="V577"/>
      <x:c r="W577"/>
      <x:c r="X577"/>
      <x:c r="Y577"/>
      <x:c r="Z577"/>
      <x:c r="AA577"/>
      <x:c r="AB577"/>
      <x:c r="AC577"/>
      <x:c r="AD577"/>
      <x:c r="AE577"/>
      <x:c r="AF577"/>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C578"/>
      <x:c r="D578"/>
      <x:c r="E578"/>
      <x:c r="F578"/>
      <x:c r="G578"/>
      <x:c r="H578"/>
      <x:c r="I578"/>
      <x:c r="J578"/>
      <x:c r="K578"/>
      <x:c r="L578"/>
      <x:c r="M578"/>
      <x:c r="N578"/>
      <x:c r="O578"/>
      <x:c r="P578"/>
      <x:c r="Q578"/>
      <x:c r="R578"/>
      <x:c r="S578"/>
      <x:c r="T578"/>
      <x:c r="U578"/>
      <x:c r="V578"/>
      <x:c r="W578"/>
      <x:c r="X578"/>
      <x:c r="Y578"/>
      <x:c r="Z578"/>
      <x:c r="AA578"/>
      <x:c r="AB578"/>
      <x:c r="AC578"/>
      <x:c r="AD578"/>
      <x:c r="AE578"/>
      <x:c r="AF578"/>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x:c r="C579"/>
      <x:c r="D579"/>
      <x:c r="E579"/>
      <x:c r="F579"/>
      <x:c r="G579"/>
      <x:c r="H579"/>
      <x:c r="I579"/>
      <x:c r="J579"/>
      <x:c r="K579"/>
      <x:c r="L579"/>
      <x:c r="M579"/>
      <x:c r="N579"/>
      <x:c r="O579"/>
      <x:c r="P579"/>
      <x:c r="Q579"/>
      <x:c r="R579"/>
      <x:c r="S579"/>
      <x:c r="T579"/>
      <x:c r="U579"/>
      <x:c r="V579"/>
      <x:c r="W579"/>
      <x:c r="X579"/>
      <x:c r="Y579"/>
      <x:c r="Z579"/>
      <x:c r="AA579"/>
      <x:c r="AB579"/>
      <x:c r="AC579"/>
      <x:c r="AD579"/>
      <x:c r="AE579"/>
      <x:c r="AF579"/>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x:c r="C580"/>
      <x:c r="D580"/>
      <x:c r="E580"/>
      <x:c r="F580"/>
      <x:c r="G580"/>
      <x:c r="H580"/>
      <x:c r="I580"/>
      <x:c r="J580"/>
      <x:c r="K580"/>
      <x:c r="L580"/>
      <x:c r="M580"/>
      <x:c r="N580"/>
      <x:c r="O580"/>
      <x:c r="P580"/>
      <x:c r="Q580"/>
      <x:c r="R580"/>
      <x:c r="S580"/>
      <x:c r="T580"/>
      <x:c r="U580"/>
      <x:c r="V580"/>
      <x:c r="W580"/>
      <x:c r="X580"/>
      <x:c r="Y580"/>
      <x:c r="Z580"/>
      <x:c r="AA580"/>
      <x:c r="AB580"/>
      <x:c r="AC580"/>
      <x:c r="AD580"/>
      <x:c r="AE580"/>
      <x:c r="AF580"/>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C581"/>
      <x:c r="D581"/>
      <x:c r="E581"/>
      <x:c r="F581"/>
      <x:c r="G581"/>
      <x:c r="H581"/>
      <x:c r="I581"/>
      <x:c r="J581"/>
      <x:c r="K581"/>
      <x:c r="L581"/>
      <x:c r="M581"/>
      <x:c r="N581"/>
      <x:c r="O581"/>
      <x:c r="P581"/>
      <x:c r="Q581"/>
      <x:c r="R581"/>
      <x:c r="S581"/>
      <x:c r="T581"/>
      <x:c r="U581"/>
      <x:c r="V581"/>
      <x:c r="W581"/>
      <x:c r="X581"/>
      <x:c r="Y581"/>
      <x:c r="Z581"/>
      <x:c r="AA581"/>
      <x:c r="AB581"/>
      <x:c r="AC581"/>
      <x:c r="AD581"/>
      <x:c r="AE581"/>
      <x:c r="AF581"/>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x:c r="C582"/>
      <x:c r="D582"/>
      <x:c r="E582"/>
      <x:c r="F582"/>
      <x:c r="G582"/>
      <x:c r="H582"/>
      <x:c r="I582"/>
      <x:c r="J582"/>
      <x:c r="K582"/>
      <x:c r="L582"/>
      <x:c r="M582"/>
      <x:c r="N582"/>
      <x:c r="O582"/>
      <x:c r="P582"/>
      <x:c r="Q582"/>
      <x:c r="R582"/>
      <x:c r="S582"/>
      <x:c r="T582"/>
      <x:c r="U582"/>
      <x:c r="V582"/>
      <x:c r="W582"/>
      <x:c r="X582"/>
      <x:c r="Y582"/>
      <x:c r="Z582"/>
      <x:c r="AA582"/>
      <x:c r="AB582"/>
      <x:c r="AC582"/>
      <x:c r="AD582"/>
      <x:c r="AE582"/>
      <x:c r="AF582"/>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x:c r="C583"/>
      <x:c r="D583"/>
      <x:c r="E583"/>
      <x:c r="F583"/>
      <x:c r="G583"/>
      <x:c r="H583"/>
      <x:c r="I583"/>
      <x:c r="J583"/>
      <x:c r="K583"/>
      <x:c r="L583"/>
      <x:c r="M583"/>
      <x:c r="N583"/>
      <x:c r="O583"/>
      <x:c r="P583"/>
      <x:c r="Q583"/>
      <x:c r="R583"/>
      <x:c r="S583"/>
      <x:c r="T583"/>
      <x:c r="U583"/>
      <x:c r="V583"/>
      <x:c r="W583"/>
      <x:c r="X583"/>
      <x:c r="Y583"/>
      <x:c r="Z583"/>
      <x:c r="AA583"/>
      <x:c r="AB583"/>
      <x:c r="AC583"/>
      <x:c r="AD583"/>
      <x:c r="AE583"/>
      <x:c r="AF583"/>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x:c r="C584"/>
      <x:c r="D584"/>
      <x:c r="E584"/>
      <x:c r="F584"/>
      <x:c r="G584"/>
      <x:c r="H584"/>
      <x:c r="I584"/>
      <x:c r="J584"/>
      <x:c r="K584"/>
      <x:c r="L584"/>
      <x:c r="M584"/>
      <x:c r="N584"/>
      <x:c r="O584"/>
      <x:c r="P584"/>
      <x:c r="Q584"/>
      <x:c r="R584"/>
      <x:c r="S584"/>
      <x:c r="T584"/>
      <x:c r="U584"/>
      <x:c r="V584"/>
      <x:c r="W584"/>
      <x:c r="X584"/>
      <x:c r="Y584"/>
      <x:c r="Z584"/>
      <x:c r="AA584"/>
      <x:c r="AB584"/>
      <x:c r="AC584"/>
      <x:c r="AD584"/>
      <x:c r="AE584"/>
      <x:c r="AF584"/>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x:c r="C585"/>
      <x:c r="D585"/>
      <x:c r="E585"/>
      <x:c r="F585"/>
      <x:c r="G585"/>
      <x:c r="H585"/>
      <x:c r="I585"/>
      <x:c r="J585"/>
      <x:c r="K585"/>
      <x:c r="L585"/>
      <x:c r="M585"/>
      <x:c r="N585"/>
      <x:c r="O585"/>
      <x:c r="P585"/>
      <x:c r="Q585"/>
      <x:c r="R585"/>
      <x:c r="S585"/>
      <x:c r="T585"/>
      <x:c r="U585"/>
      <x:c r="V585"/>
      <x:c r="W585"/>
      <x:c r="X585"/>
      <x:c r="Y585"/>
      <x:c r="Z585"/>
      <x:c r="AA585"/>
      <x:c r="AB585"/>
      <x:c r="AC585"/>
      <x:c r="AD585"/>
      <x:c r="AE585"/>
      <x:c r="AF585"/>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C586"/>
      <x:c r="D586"/>
      <x:c r="E586"/>
      <x:c r="F586"/>
      <x:c r="G586"/>
      <x:c r="H586"/>
      <x:c r="I586"/>
      <x:c r="J586"/>
      <x:c r="K586"/>
      <x:c r="L586"/>
      <x:c r="M586"/>
      <x:c r="N586"/>
      <x:c r="O586"/>
      <x:c r="P586"/>
      <x:c r="Q586"/>
      <x:c r="R586"/>
      <x:c r="S586"/>
      <x:c r="T586"/>
      <x:c r="U586"/>
      <x:c r="V586"/>
      <x:c r="W586"/>
      <x:c r="X586"/>
      <x:c r="Y586"/>
      <x:c r="Z586"/>
      <x:c r="AA586"/>
      <x:c r="AB586"/>
      <x:c r="AC586"/>
      <x:c r="AD586"/>
      <x:c r="AE586"/>
      <x:c r="AF586"/>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x:c r="C587"/>
      <x:c r="D587"/>
      <x:c r="E587"/>
      <x:c r="F587"/>
      <x:c r="G587"/>
      <x:c r="H587"/>
      <x:c r="I587"/>
      <x:c r="J587"/>
      <x:c r="K587"/>
      <x:c r="L587"/>
      <x:c r="M587"/>
      <x:c r="N587"/>
      <x:c r="O587"/>
      <x:c r="P587"/>
      <x:c r="Q587"/>
      <x:c r="R587"/>
      <x:c r="S587"/>
      <x:c r="T587"/>
      <x:c r="U587"/>
      <x:c r="V587"/>
      <x:c r="W587"/>
      <x:c r="X587"/>
      <x:c r="Y587"/>
      <x:c r="Z587"/>
      <x:c r="AA587"/>
      <x:c r="AB587"/>
      <x:c r="AC587"/>
      <x:c r="AD587"/>
      <x:c r="AE587"/>
      <x:c r="AF587"/>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x:c r="C588"/>
      <x:c r="D588"/>
      <x:c r="E588"/>
      <x:c r="F588"/>
      <x:c r="G588"/>
      <x:c r="H588"/>
      <x:c r="I588"/>
      <x:c r="J588"/>
      <x:c r="K588"/>
      <x:c r="L588"/>
      <x:c r="M588"/>
      <x:c r="N588"/>
      <x:c r="O588"/>
      <x:c r="P588"/>
      <x:c r="Q588"/>
      <x:c r="R588"/>
      <x:c r="S588"/>
      <x:c r="T588"/>
      <x:c r="U588"/>
      <x:c r="V588"/>
      <x:c r="W588"/>
      <x:c r="X588"/>
      <x:c r="Y588"/>
      <x:c r="Z588"/>
      <x:c r="AA588"/>
      <x:c r="AB588"/>
      <x:c r="AC588"/>
      <x:c r="AD588"/>
      <x:c r="AE588"/>
      <x:c r="AF588"/>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x:c r="C589"/>
      <x:c r="D589"/>
      <x:c r="E589"/>
      <x:c r="F589"/>
      <x:c r="G589"/>
      <x:c r="H589"/>
      <x:c r="I589"/>
      <x:c r="J589"/>
      <x:c r="K589"/>
      <x:c r="L589"/>
      <x:c r="M589"/>
      <x:c r="N589"/>
      <x:c r="O589"/>
      <x:c r="P589"/>
      <x:c r="Q589"/>
      <x:c r="R589"/>
      <x:c r="S589"/>
      <x:c r="T589"/>
      <x:c r="U589"/>
      <x:c r="V589"/>
      <x:c r="W589"/>
      <x:c r="X589"/>
      <x:c r="Y589"/>
      <x:c r="Z589"/>
      <x:c r="AA589"/>
      <x:c r="AB589"/>
      <x:c r="AC589"/>
      <x:c r="AD589"/>
      <x:c r="AE589"/>
      <x:c r="AF589"/>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x:c r="C590"/>
      <x:c r="D590"/>
      <x:c r="E590"/>
      <x:c r="F590"/>
      <x:c r="G590"/>
      <x:c r="H590"/>
      <x:c r="I590"/>
      <x:c r="J590"/>
      <x:c r="K590"/>
      <x:c r="L590"/>
      <x:c r="M590"/>
      <x:c r="N590"/>
      <x:c r="O590"/>
      <x:c r="P590"/>
      <x:c r="Q590"/>
      <x:c r="R590"/>
      <x:c r="S590"/>
      <x:c r="T590"/>
      <x:c r="U590"/>
      <x:c r="V590"/>
      <x:c r="W590"/>
      <x:c r="X590"/>
      <x:c r="Y590"/>
      <x:c r="Z590"/>
      <x:c r="AA590"/>
      <x:c r="AB590"/>
      <x:c r="AC590"/>
      <x:c r="AD590"/>
      <x:c r="AE590"/>
      <x:c r="AF590"/>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x:c r="C591"/>
      <x:c r="D591"/>
      <x:c r="E591"/>
      <x:c r="F591"/>
      <x:c r="G591"/>
      <x:c r="H591"/>
      <x:c r="I591"/>
      <x:c r="J591"/>
      <x:c r="K591"/>
      <x:c r="L591"/>
      <x:c r="M591"/>
      <x:c r="N591"/>
      <x:c r="O591"/>
      <x:c r="P591"/>
      <x:c r="Q591"/>
      <x:c r="R591"/>
      <x:c r="S591"/>
      <x:c r="T591"/>
      <x:c r="U591"/>
      <x:c r="V591"/>
      <x:c r="W591"/>
      <x:c r="X591"/>
      <x:c r="Y591"/>
      <x:c r="Z591"/>
      <x:c r="AA591"/>
      <x:c r="AB591"/>
      <x:c r="AC591"/>
      <x:c r="AD591"/>
      <x:c r="AE591"/>
      <x:c r="AF591"/>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x:c r="C592"/>
      <x:c r="D592"/>
      <x:c r="E592"/>
      <x:c r="F592"/>
      <x:c r="G592"/>
      <x:c r="H592"/>
      <x:c r="I592"/>
      <x:c r="J592"/>
      <x:c r="K592"/>
      <x:c r="L592"/>
      <x:c r="M592"/>
      <x:c r="N592"/>
      <x:c r="O592"/>
      <x:c r="P592"/>
      <x:c r="Q592"/>
      <x:c r="R592"/>
      <x:c r="S592"/>
      <x:c r="T592"/>
      <x:c r="U592"/>
      <x:c r="V592"/>
      <x:c r="W592"/>
      <x:c r="X592"/>
      <x:c r="Y592"/>
      <x:c r="Z592"/>
      <x:c r="AA592"/>
      <x:c r="AB592"/>
      <x:c r="AC592"/>
      <x:c r="AD592"/>
      <x:c r="AE592"/>
      <x:c r="AF592"/>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x:c r="C593"/>
      <x:c r="D593"/>
      <x:c r="E593"/>
      <x:c r="F593"/>
      <x:c r="G593"/>
      <x:c r="H593"/>
      <x:c r="I593"/>
      <x:c r="J593"/>
      <x:c r="K593"/>
      <x:c r="L593"/>
      <x:c r="M593"/>
      <x:c r="N593"/>
      <x:c r="O593"/>
      <x:c r="P593"/>
      <x:c r="Q593"/>
      <x:c r="R593"/>
      <x:c r="S593"/>
      <x:c r="T593"/>
      <x:c r="U593"/>
      <x:c r="V593"/>
      <x:c r="W593"/>
      <x:c r="X593"/>
      <x:c r="Y593"/>
      <x:c r="Z593"/>
      <x:c r="AA593"/>
      <x:c r="AB593"/>
      <x:c r="AC593"/>
      <x:c r="AD593"/>
      <x:c r="AE593"/>
      <x:c r="AF593"/>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x:c r="C594"/>
      <x:c r="D594"/>
      <x:c r="E594"/>
      <x:c r="F594"/>
      <x:c r="G594"/>
      <x:c r="H594"/>
      <x:c r="I594"/>
      <x:c r="J594"/>
      <x:c r="K594"/>
      <x:c r="L594"/>
      <x:c r="M594"/>
      <x:c r="N594"/>
      <x:c r="O594"/>
      <x:c r="P594"/>
      <x:c r="Q594"/>
      <x:c r="R594"/>
      <x:c r="S594"/>
      <x:c r="T594"/>
      <x:c r="U594"/>
      <x:c r="V594"/>
      <x:c r="W594"/>
      <x:c r="X594"/>
      <x:c r="Y594"/>
      <x:c r="Z594"/>
      <x:c r="AA594"/>
      <x:c r="AB594"/>
      <x:c r="AC594"/>
      <x:c r="AD594"/>
      <x:c r="AE594"/>
      <x:c r="AF594"/>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x:c r="C595"/>
      <x:c r="D595"/>
      <x:c r="E595"/>
      <x:c r="F595"/>
      <x:c r="G595"/>
      <x:c r="H595"/>
      <x:c r="I595"/>
      <x:c r="J595"/>
      <x:c r="K595"/>
      <x:c r="L595"/>
      <x:c r="M595"/>
      <x:c r="N595"/>
      <x:c r="O595"/>
      <x:c r="P595"/>
      <x:c r="Q595"/>
      <x:c r="R595"/>
      <x:c r="S595"/>
      <x:c r="T595"/>
      <x:c r="U595"/>
      <x:c r="V595"/>
      <x:c r="W595"/>
      <x:c r="X595"/>
      <x:c r="Y595"/>
      <x:c r="Z595"/>
      <x:c r="AA595"/>
      <x:c r="AB595"/>
      <x:c r="AC595"/>
      <x:c r="AD595"/>
      <x:c r="AE595"/>
      <x:c r="AF595"/>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x:c r="C596"/>
      <x:c r="D596"/>
      <x:c r="E596"/>
      <x:c r="F596"/>
      <x:c r="G596"/>
      <x:c r="H596"/>
      <x:c r="I596"/>
      <x:c r="J596"/>
      <x:c r="K596"/>
      <x:c r="L596"/>
      <x:c r="M596"/>
      <x:c r="N596"/>
      <x:c r="O596"/>
      <x:c r="P596"/>
      <x:c r="Q596"/>
      <x:c r="R596"/>
      <x:c r="S596"/>
      <x:c r="T596"/>
      <x:c r="U596"/>
      <x:c r="V596"/>
      <x:c r="W596"/>
      <x:c r="X596"/>
      <x:c r="Y596"/>
      <x:c r="Z596"/>
      <x:c r="AA596"/>
      <x:c r="AB596"/>
      <x:c r="AC596"/>
      <x:c r="AD596"/>
      <x:c r="AE596"/>
      <x:c r="AF596"/>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x:c r="C597"/>
      <x:c r="D597"/>
      <x:c r="E597"/>
      <x:c r="F597"/>
      <x:c r="G597"/>
      <x:c r="H597"/>
      <x:c r="I597"/>
      <x:c r="J597"/>
      <x:c r="K597"/>
      <x:c r="L597"/>
      <x:c r="M597"/>
      <x:c r="N597"/>
      <x:c r="O597"/>
      <x:c r="P597"/>
      <x:c r="Q597"/>
      <x:c r="R597"/>
      <x:c r="S597"/>
      <x:c r="T597"/>
      <x:c r="U597"/>
      <x:c r="V597"/>
      <x:c r="W597"/>
      <x:c r="X597"/>
      <x:c r="Y597"/>
      <x:c r="Z597"/>
      <x:c r="AA597"/>
      <x:c r="AB597"/>
      <x:c r="AC597"/>
      <x:c r="AD597"/>
      <x:c r="AE597"/>
      <x:c r="AF597"/>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x:c r="C598"/>
      <x:c r="D598"/>
      <x:c r="E598"/>
      <x:c r="F598"/>
      <x:c r="G598"/>
      <x:c r="H598"/>
      <x:c r="I598"/>
      <x:c r="J598"/>
      <x:c r="K598"/>
      <x:c r="L598"/>
      <x:c r="M598"/>
      <x:c r="N598"/>
      <x:c r="O598"/>
      <x:c r="P598"/>
      <x:c r="Q598"/>
      <x:c r="R598"/>
      <x:c r="S598"/>
      <x:c r="T598"/>
      <x:c r="U598"/>
      <x:c r="V598"/>
      <x:c r="W598"/>
      <x:c r="X598"/>
      <x:c r="Y598"/>
      <x:c r="Z598"/>
      <x:c r="AA598"/>
      <x:c r="AB598"/>
      <x:c r="AC598"/>
      <x:c r="AD598"/>
      <x:c r="AE598"/>
      <x:c r="AF598"/>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x:c r="C599"/>
      <x:c r="D599"/>
      <x:c r="E599"/>
      <x:c r="F599"/>
      <x:c r="G599"/>
      <x:c r="H599"/>
      <x:c r="I599"/>
      <x:c r="J599"/>
      <x:c r="K599"/>
      <x:c r="L599"/>
      <x:c r="M599"/>
      <x:c r="N599"/>
      <x:c r="O599"/>
      <x:c r="P599"/>
      <x:c r="Q599"/>
      <x:c r="R599"/>
      <x:c r="S599"/>
      <x:c r="T599"/>
      <x:c r="U599"/>
      <x:c r="V599"/>
      <x:c r="W599"/>
      <x:c r="X599"/>
      <x:c r="Y599"/>
      <x:c r="Z599"/>
      <x:c r="AA599"/>
      <x:c r="AB599"/>
      <x:c r="AC599"/>
      <x:c r="AD599"/>
      <x:c r="AE599"/>
      <x:c r="AF599"/>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x:c r="C600"/>
      <x:c r="D600"/>
      <x:c r="E600"/>
      <x:c r="F600"/>
      <x:c r="G600"/>
      <x:c r="H600"/>
      <x:c r="I600"/>
      <x:c r="J600"/>
      <x:c r="K600"/>
      <x:c r="L600"/>
      <x:c r="M600"/>
      <x:c r="N600"/>
      <x:c r="O600"/>
      <x:c r="P600"/>
      <x:c r="Q600"/>
      <x:c r="R600"/>
      <x:c r="S600"/>
      <x:c r="T600"/>
      <x:c r="U600"/>
      <x:c r="V600"/>
      <x:c r="W600"/>
      <x:c r="X600"/>
      <x:c r="Y600"/>
      <x:c r="Z600"/>
      <x:c r="AA600"/>
      <x:c r="AB600"/>
      <x:c r="AC600"/>
      <x:c r="AD600"/>
      <x:c r="AE600"/>
      <x:c r="AF600"/>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x:c r="C601"/>
      <x:c r="D601"/>
      <x:c r="E601"/>
      <x:c r="F601"/>
      <x:c r="G601"/>
      <x:c r="H601"/>
      <x:c r="I601"/>
      <x:c r="J601"/>
      <x:c r="K601"/>
      <x:c r="L601"/>
      <x:c r="M601"/>
      <x:c r="N601"/>
      <x:c r="O601"/>
      <x:c r="P601"/>
      <x:c r="Q601"/>
      <x:c r="R601"/>
      <x:c r="S601"/>
      <x:c r="T601"/>
      <x:c r="U601"/>
      <x:c r="V601"/>
      <x:c r="W601"/>
      <x:c r="X601"/>
      <x:c r="Y601"/>
      <x:c r="Z601"/>
      <x:c r="AA601"/>
      <x:c r="AB601"/>
      <x:c r="AC601"/>
      <x:c r="AD601"/>
      <x:c r="AE601"/>
      <x:c r="AF601"/>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x:c r="C602"/>
      <x:c r="D602"/>
      <x:c r="E602"/>
      <x:c r="F602"/>
      <x:c r="G602"/>
      <x:c r="H602"/>
      <x:c r="I602"/>
      <x:c r="J602"/>
      <x:c r="K602"/>
      <x:c r="L602"/>
      <x:c r="M602"/>
      <x:c r="N602"/>
      <x:c r="O602"/>
      <x:c r="P602"/>
      <x:c r="Q602"/>
      <x:c r="R602"/>
      <x:c r="S602"/>
      <x:c r="T602"/>
      <x:c r="U602"/>
      <x:c r="V602"/>
      <x:c r="W602"/>
      <x:c r="X602"/>
      <x:c r="Y602"/>
      <x:c r="Z602"/>
      <x:c r="AA602"/>
      <x:c r="AB602"/>
      <x:c r="AC602"/>
      <x:c r="AD602"/>
      <x:c r="AE602"/>
      <x:c r="AF602"/>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x:c r="C603"/>
      <x:c r="D603"/>
      <x:c r="E603"/>
      <x:c r="F603"/>
      <x:c r="G603"/>
      <x:c r="H603"/>
      <x:c r="I603"/>
      <x:c r="J603"/>
      <x:c r="K603"/>
      <x:c r="L603"/>
      <x:c r="M603"/>
      <x:c r="N603"/>
      <x:c r="O603"/>
      <x:c r="P603"/>
      <x:c r="Q603"/>
      <x:c r="R603"/>
      <x:c r="S603"/>
      <x:c r="T603"/>
      <x:c r="U603"/>
      <x:c r="V603"/>
      <x:c r="W603"/>
      <x:c r="X603"/>
      <x:c r="Y603"/>
      <x:c r="Z603"/>
      <x:c r="AA603"/>
      <x:c r="AB603"/>
      <x:c r="AC603"/>
      <x:c r="AD603"/>
      <x:c r="AE603"/>
      <x:c r="AF603"/>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x:c r="C604"/>
      <x:c r="D604"/>
      <x:c r="E604"/>
      <x:c r="F604"/>
      <x:c r="G604"/>
      <x:c r="H604"/>
      <x:c r="I604"/>
      <x:c r="J604"/>
      <x:c r="K604"/>
      <x:c r="L604"/>
      <x:c r="M604"/>
      <x:c r="N604"/>
      <x:c r="O604"/>
      <x:c r="P604"/>
      <x:c r="Q604"/>
      <x:c r="R604"/>
      <x:c r="S604"/>
      <x:c r="T604"/>
      <x:c r="U604"/>
      <x:c r="V604"/>
      <x:c r="W604"/>
      <x:c r="X604"/>
      <x:c r="Y604"/>
      <x:c r="Z604"/>
      <x:c r="AA604"/>
      <x:c r="AB604"/>
      <x:c r="AC604"/>
      <x:c r="AD604"/>
      <x:c r="AE604"/>
      <x:c r="AF604"/>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x:c r="C605"/>
      <x:c r="D605"/>
      <x:c r="E605"/>
      <x:c r="F605"/>
      <x:c r="G605"/>
      <x:c r="H605"/>
      <x:c r="I605"/>
      <x:c r="J605"/>
      <x:c r="K605"/>
      <x:c r="L605"/>
      <x:c r="M605"/>
      <x:c r="N605"/>
      <x:c r="O605"/>
      <x:c r="P605"/>
      <x:c r="Q605"/>
      <x:c r="R605"/>
      <x:c r="S605"/>
      <x:c r="T605"/>
      <x:c r="U605"/>
      <x:c r="V605"/>
      <x:c r="W605"/>
      <x:c r="X605"/>
      <x:c r="Y605"/>
      <x:c r="Z605"/>
      <x:c r="AA605"/>
      <x:c r="AB605"/>
      <x:c r="AC605"/>
      <x:c r="AD605"/>
      <x:c r="AE605"/>
      <x:c r="AF605"/>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x:c r="C606"/>
      <x:c r="D606"/>
      <x:c r="E606"/>
      <x:c r="F606"/>
      <x:c r="G606"/>
      <x:c r="H606"/>
      <x:c r="I606"/>
      <x:c r="J606"/>
      <x:c r="K606"/>
      <x:c r="L606"/>
      <x:c r="M606"/>
      <x:c r="N606"/>
      <x:c r="O606"/>
      <x:c r="P606"/>
      <x:c r="Q606"/>
      <x:c r="R606"/>
      <x:c r="S606"/>
      <x:c r="T606"/>
      <x:c r="U606"/>
      <x:c r="V606"/>
      <x:c r="W606"/>
      <x:c r="X606"/>
      <x:c r="Y606"/>
      <x:c r="Z606"/>
      <x:c r="AA606"/>
      <x:c r="AB606"/>
      <x:c r="AC606"/>
      <x:c r="AD606"/>
      <x:c r="AE606"/>
      <x:c r="AF606"/>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x:c r="C607"/>
      <x:c r="D607"/>
      <x:c r="E607"/>
      <x:c r="F607"/>
      <x:c r="G607"/>
      <x:c r="H607"/>
      <x:c r="I607"/>
      <x:c r="J607"/>
      <x:c r="K607"/>
      <x:c r="L607"/>
      <x:c r="M607"/>
      <x:c r="N607"/>
      <x:c r="O607"/>
      <x:c r="P607"/>
      <x:c r="Q607"/>
      <x:c r="R607"/>
      <x:c r="S607"/>
      <x:c r="T607"/>
      <x:c r="U607"/>
      <x:c r="V607"/>
      <x:c r="W607"/>
      <x:c r="X607"/>
      <x:c r="Y607"/>
      <x:c r="Z607"/>
      <x:c r="AA607"/>
      <x:c r="AB607"/>
      <x:c r="AC607"/>
      <x:c r="AD607"/>
      <x:c r="AE607"/>
      <x:c r="AF607"/>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x:c r="C608"/>
      <x:c r="D608"/>
      <x:c r="E608"/>
      <x:c r="F608"/>
      <x:c r="G608"/>
      <x:c r="H608"/>
      <x:c r="I608"/>
      <x:c r="J608"/>
      <x:c r="K608"/>
      <x:c r="L608"/>
      <x:c r="M608"/>
      <x:c r="N608"/>
      <x:c r="O608"/>
      <x:c r="P608"/>
      <x:c r="Q608"/>
      <x:c r="R608"/>
      <x:c r="S608"/>
      <x:c r="T608"/>
      <x:c r="U608"/>
      <x:c r="V608"/>
      <x:c r="W608"/>
      <x:c r="X608"/>
      <x:c r="Y608"/>
      <x:c r="Z608"/>
      <x:c r="AA608"/>
      <x:c r="AB608"/>
      <x:c r="AC608"/>
      <x:c r="AD608"/>
      <x:c r="AE608"/>
      <x:c r="AF608"/>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x:c r="C609"/>
      <x:c r="D609"/>
      <x:c r="E609"/>
      <x:c r="F609"/>
      <x:c r="G609"/>
      <x:c r="H609"/>
      <x:c r="I609"/>
      <x:c r="J609"/>
      <x:c r="K609"/>
      <x:c r="L609"/>
      <x:c r="M609"/>
      <x:c r="N609"/>
      <x:c r="O609"/>
      <x:c r="P609"/>
      <x:c r="Q609"/>
      <x:c r="R609"/>
      <x:c r="S609"/>
      <x:c r="T609"/>
      <x:c r="U609"/>
      <x:c r="V609"/>
      <x:c r="W609"/>
      <x:c r="X609"/>
      <x:c r="Y609"/>
      <x:c r="Z609"/>
      <x:c r="AA609"/>
      <x:c r="AB609"/>
      <x:c r="AC609"/>
      <x:c r="AD609"/>
      <x:c r="AE609"/>
      <x:c r="AF609"/>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x:c r="C610"/>
      <x:c r="D610"/>
      <x:c r="E610"/>
      <x:c r="F610"/>
      <x:c r="G610"/>
      <x:c r="H610"/>
      <x:c r="I610"/>
      <x:c r="J610"/>
      <x:c r="K610"/>
      <x:c r="L610"/>
      <x:c r="M610"/>
      <x:c r="N610"/>
      <x:c r="O610"/>
      <x:c r="P610"/>
      <x:c r="Q610"/>
      <x:c r="R610"/>
      <x:c r="S610"/>
      <x:c r="T610"/>
      <x:c r="U610"/>
      <x:c r="V610"/>
      <x:c r="W610"/>
      <x:c r="X610"/>
      <x:c r="Y610"/>
      <x:c r="Z610"/>
      <x:c r="AA610"/>
      <x:c r="AB610"/>
      <x:c r="AC610"/>
      <x:c r="AD610"/>
      <x:c r="AE610"/>
      <x:c r="AF610"/>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x:c r="C611"/>
      <x:c r="D611"/>
      <x:c r="E611"/>
      <x:c r="F611"/>
      <x:c r="G611"/>
      <x:c r="H611"/>
      <x:c r="I611"/>
      <x:c r="J611"/>
      <x:c r="K611"/>
      <x:c r="L611"/>
      <x:c r="M611"/>
      <x:c r="N611"/>
      <x:c r="O611"/>
      <x:c r="P611"/>
      <x:c r="Q611"/>
      <x:c r="R611"/>
      <x:c r="S611"/>
      <x:c r="T611"/>
      <x:c r="U611"/>
      <x:c r="V611"/>
      <x:c r="W611"/>
      <x:c r="X611"/>
      <x:c r="Y611"/>
      <x:c r="Z611"/>
      <x:c r="AA611"/>
      <x:c r="AB611"/>
      <x:c r="AC611"/>
      <x:c r="AD611"/>
      <x:c r="AE611"/>
      <x:c r="AF611"/>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x:c r="C612"/>
      <x:c r="D612"/>
      <x:c r="E612"/>
      <x:c r="F612"/>
      <x:c r="G612"/>
      <x:c r="H612"/>
      <x:c r="I612"/>
      <x:c r="J612"/>
      <x:c r="K612"/>
      <x:c r="L612"/>
      <x:c r="M612"/>
      <x:c r="N612"/>
      <x:c r="O612"/>
      <x:c r="P612"/>
      <x:c r="Q612"/>
      <x:c r="R612"/>
      <x:c r="S612"/>
      <x:c r="T612"/>
      <x:c r="U612"/>
      <x:c r="V612"/>
      <x:c r="W612"/>
      <x:c r="X612"/>
      <x:c r="Y612"/>
      <x:c r="Z612"/>
      <x:c r="AA612"/>
      <x:c r="AB612"/>
      <x:c r="AC612"/>
      <x:c r="AD612"/>
      <x:c r="AE612"/>
      <x:c r="AF612"/>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x:c r="C613"/>
      <x:c r="D613"/>
      <x:c r="E613"/>
      <x:c r="F613"/>
      <x:c r="G613"/>
      <x:c r="H613"/>
      <x:c r="I613"/>
      <x:c r="J613"/>
      <x:c r="K613"/>
      <x:c r="L613"/>
      <x:c r="M613"/>
      <x:c r="N613"/>
      <x:c r="O613"/>
      <x:c r="P613"/>
      <x:c r="Q613"/>
      <x:c r="R613"/>
      <x:c r="S613"/>
      <x:c r="T613"/>
      <x:c r="U613"/>
      <x:c r="V613"/>
      <x:c r="W613"/>
      <x:c r="X613"/>
      <x:c r="Y613"/>
      <x:c r="Z613"/>
      <x:c r="AA613"/>
      <x:c r="AB613"/>
      <x:c r="AC613"/>
      <x:c r="AD613"/>
      <x:c r="AE613"/>
      <x:c r="AF613"/>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x:c r="C614"/>
      <x:c r="D614"/>
      <x:c r="E614"/>
      <x:c r="F614"/>
      <x:c r="G614"/>
      <x:c r="H614"/>
      <x:c r="I614"/>
      <x:c r="J614"/>
      <x:c r="K614"/>
      <x:c r="L614"/>
      <x:c r="M614"/>
      <x:c r="N614"/>
      <x:c r="O614"/>
      <x:c r="P614"/>
      <x:c r="Q614"/>
      <x:c r="R614"/>
      <x:c r="S614"/>
      <x:c r="T614"/>
      <x:c r="U614"/>
      <x:c r="V614"/>
      <x:c r="W614"/>
      <x:c r="X614"/>
      <x:c r="Y614"/>
      <x:c r="Z614"/>
      <x:c r="AA614"/>
      <x:c r="AB614"/>
      <x:c r="AC614"/>
      <x:c r="AD614"/>
      <x:c r="AE614"/>
      <x:c r="AF614"/>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x:c r="C615"/>
      <x:c r="D615"/>
      <x:c r="E615"/>
      <x:c r="F615"/>
      <x:c r="G615"/>
      <x:c r="H615"/>
      <x:c r="I615"/>
      <x:c r="J615"/>
      <x:c r="K615"/>
      <x:c r="L615"/>
      <x:c r="M615"/>
      <x:c r="N615"/>
      <x:c r="O615"/>
      <x:c r="P615"/>
      <x:c r="Q615"/>
      <x:c r="R615"/>
      <x:c r="S615"/>
      <x:c r="T615"/>
      <x:c r="U615"/>
      <x:c r="V615"/>
      <x:c r="W615"/>
      <x:c r="X615"/>
      <x:c r="Y615"/>
      <x:c r="Z615"/>
      <x:c r="AA615"/>
      <x:c r="AB615"/>
      <x:c r="AC615"/>
      <x:c r="AD615"/>
      <x:c r="AE615"/>
      <x:c r="AF615"/>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x:c r="C616"/>
      <x:c r="D616"/>
      <x:c r="E616"/>
      <x:c r="F616"/>
      <x:c r="G616"/>
      <x:c r="H616"/>
      <x:c r="I616"/>
      <x:c r="J616"/>
      <x:c r="K616"/>
      <x:c r="L616"/>
      <x:c r="M616"/>
      <x:c r="N616"/>
      <x:c r="O616"/>
      <x:c r="P616"/>
      <x:c r="Q616"/>
      <x:c r="R616"/>
      <x:c r="S616"/>
      <x:c r="T616"/>
      <x:c r="U616"/>
      <x:c r="V616"/>
      <x:c r="W616"/>
      <x:c r="X616"/>
      <x:c r="Y616"/>
      <x:c r="Z616"/>
      <x:c r="AA616"/>
      <x:c r="AB616"/>
      <x:c r="AC616"/>
      <x:c r="AD616"/>
      <x:c r="AE616"/>
      <x:c r="AF616"/>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x:c r="C617"/>
      <x:c r="D617"/>
      <x:c r="E617"/>
      <x:c r="F617"/>
      <x:c r="G617"/>
      <x:c r="H617"/>
      <x:c r="I617"/>
      <x:c r="J617"/>
      <x:c r="K617"/>
      <x:c r="L617"/>
      <x:c r="M617"/>
      <x:c r="N617"/>
      <x:c r="O617"/>
      <x:c r="P617"/>
      <x:c r="Q617"/>
      <x:c r="R617"/>
      <x:c r="S617"/>
      <x:c r="T617"/>
      <x:c r="U617"/>
      <x:c r="V617"/>
      <x:c r="W617"/>
      <x:c r="X617"/>
      <x:c r="Y617"/>
      <x:c r="Z617"/>
      <x:c r="AA617"/>
      <x:c r="AB617"/>
      <x:c r="AC617"/>
      <x:c r="AD617"/>
      <x:c r="AE617"/>
      <x:c r="AF617"/>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x:c r="C618"/>
      <x:c r="D618"/>
      <x:c r="E618"/>
      <x:c r="F618"/>
      <x:c r="G618"/>
      <x:c r="H618"/>
      <x:c r="I618"/>
      <x:c r="J618"/>
      <x:c r="K618"/>
      <x:c r="L618"/>
      <x:c r="M618"/>
      <x:c r="N618"/>
      <x:c r="O618"/>
      <x:c r="P618"/>
      <x:c r="Q618"/>
      <x:c r="R618"/>
      <x:c r="S618"/>
      <x:c r="T618"/>
      <x:c r="U618"/>
      <x:c r="V618"/>
      <x:c r="W618"/>
      <x:c r="X618"/>
      <x:c r="Y618"/>
      <x:c r="Z618"/>
      <x:c r="AA618"/>
      <x:c r="AB618"/>
      <x:c r="AC618"/>
      <x:c r="AD618"/>
      <x:c r="AE618"/>
      <x:c r="AF618"/>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x:c r="C619"/>
      <x:c r="D619"/>
      <x:c r="E619"/>
      <x:c r="F619"/>
      <x:c r="G619"/>
      <x:c r="H619"/>
      <x:c r="I619"/>
      <x:c r="J619"/>
      <x:c r="K619"/>
      <x:c r="L619"/>
      <x:c r="M619"/>
      <x:c r="N619"/>
      <x:c r="O619"/>
      <x:c r="P619"/>
      <x:c r="Q619"/>
      <x:c r="R619"/>
      <x:c r="S619"/>
      <x:c r="T619"/>
      <x:c r="U619"/>
      <x:c r="V619"/>
      <x:c r="W619"/>
      <x:c r="X619"/>
      <x:c r="Y619"/>
      <x:c r="Z619"/>
      <x:c r="AA619"/>
      <x:c r="AB619"/>
      <x:c r="AC619"/>
      <x:c r="AD619"/>
      <x:c r="AE619"/>
      <x:c r="AF619"/>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x:c r="C620"/>
      <x:c r="D620"/>
      <x:c r="E620"/>
      <x:c r="F620"/>
      <x:c r="G620"/>
      <x:c r="H620"/>
      <x:c r="I620"/>
      <x:c r="J620"/>
      <x:c r="K620"/>
      <x:c r="L620"/>
      <x:c r="M620"/>
      <x:c r="N620"/>
      <x:c r="O620"/>
      <x:c r="P620"/>
      <x:c r="Q620"/>
      <x:c r="R620"/>
      <x:c r="S620"/>
      <x:c r="T620"/>
      <x:c r="U620"/>
      <x:c r="V620"/>
      <x:c r="W620"/>
      <x:c r="X620"/>
      <x:c r="Y620"/>
      <x:c r="Z620"/>
      <x:c r="AA620"/>
      <x:c r="AB620"/>
      <x:c r="AC620"/>
      <x:c r="AD620"/>
      <x:c r="AE620"/>
      <x:c r="AF620"/>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x:c r="C621"/>
      <x:c r="D621"/>
      <x:c r="E621"/>
      <x:c r="F621"/>
      <x:c r="G621"/>
      <x:c r="H621"/>
      <x:c r="I621"/>
      <x:c r="J621"/>
      <x:c r="K621"/>
      <x:c r="L621"/>
      <x:c r="M621"/>
      <x:c r="N621"/>
      <x:c r="O621"/>
      <x:c r="P621"/>
      <x:c r="Q621"/>
      <x:c r="R621"/>
      <x:c r="S621"/>
      <x:c r="T621"/>
      <x:c r="U621"/>
      <x:c r="V621"/>
      <x:c r="W621"/>
      <x:c r="X621"/>
      <x:c r="Y621"/>
      <x:c r="Z621"/>
      <x:c r="AA621"/>
      <x:c r="AB621"/>
      <x:c r="AC621"/>
      <x:c r="AD621"/>
      <x:c r="AE621"/>
      <x:c r="AF621"/>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x:c r="C622"/>
      <x:c r="D622"/>
      <x:c r="E622"/>
      <x:c r="F622"/>
      <x:c r="G622"/>
      <x:c r="H622"/>
      <x:c r="I622"/>
      <x:c r="J622"/>
      <x:c r="K622"/>
      <x:c r="L622"/>
      <x:c r="M622"/>
      <x:c r="N622"/>
      <x:c r="O622"/>
      <x:c r="P622"/>
      <x:c r="Q622"/>
      <x:c r="R622"/>
      <x:c r="S622"/>
      <x:c r="T622"/>
      <x:c r="U622"/>
      <x:c r="V622"/>
      <x:c r="W622"/>
      <x:c r="X622"/>
      <x:c r="Y622"/>
      <x:c r="Z622"/>
      <x:c r="AA622"/>
      <x:c r="AB622"/>
      <x:c r="AC622"/>
      <x:c r="AD622"/>
      <x:c r="AE622"/>
      <x:c r="AF622"/>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x:c r="C623"/>
      <x:c r="D623"/>
      <x:c r="E623"/>
      <x:c r="F623"/>
      <x:c r="G623"/>
      <x:c r="H623"/>
      <x:c r="I623"/>
      <x:c r="J623"/>
      <x:c r="K623"/>
      <x:c r="L623"/>
      <x:c r="M623"/>
      <x:c r="N623"/>
      <x:c r="O623"/>
      <x:c r="P623"/>
      <x:c r="Q623"/>
      <x:c r="R623"/>
      <x:c r="S623"/>
      <x:c r="T623"/>
      <x:c r="U623"/>
      <x:c r="V623"/>
      <x:c r="W623"/>
      <x:c r="X623"/>
      <x:c r="Y623"/>
      <x:c r="Z623"/>
      <x:c r="AA623"/>
      <x:c r="AB623"/>
      <x:c r="AC623"/>
      <x:c r="AD623"/>
      <x:c r="AE623"/>
      <x:c r="AF623"/>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x:c r="C624"/>
      <x:c r="D624"/>
      <x:c r="E624"/>
      <x:c r="F624"/>
      <x:c r="G624"/>
      <x:c r="H624"/>
      <x:c r="I624"/>
      <x:c r="J624"/>
      <x:c r="K624"/>
      <x:c r="L624"/>
      <x:c r="M624"/>
      <x:c r="N624"/>
      <x:c r="O624"/>
      <x:c r="P624"/>
      <x:c r="Q624"/>
      <x:c r="R624"/>
      <x:c r="S624"/>
      <x:c r="T624"/>
      <x:c r="U624"/>
      <x:c r="V624"/>
      <x:c r="W624"/>
      <x:c r="X624"/>
      <x:c r="Y624"/>
      <x:c r="Z624"/>
      <x:c r="AA624"/>
      <x:c r="AB624"/>
      <x:c r="AC624"/>
      <x:c r="AD624"/>
      <x:c r="AE624"/>
      <x:c r="AF624"/>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x:c r="C625"/>
      <x:c r="D625"/>
      <x:c r="E625"/>
      <x:c r="F625"/>
      <x:c r="G625"/>
      <x:c r="H625"/>
      <x:c r="I625"/>
      <x:c r="J625"/>
      <x:c r="K625"/>
      <x:c r="L625"/>
      <x:c r="M625"/>
      <x:c r="N625"/>
      <x:c r="O625"/>
      <x:c r="P625"/>
      <x:c r="Q625"/>
      <x:c r="R625"/>
      <x:c r="S625"/>
      <x:c r="T625"/>
      <x:c r="U625"/>
      <x:c r="V625"/>
      <x:c r="W625"/>
      <x:c r="X625"/>
      <x:c r="Y625"/>
      <x:c r="Z625"/>
      <x:c r="AA625"/>
      <x:c r="AB625"/>
      <x:c r="AC625"/>
      <x:c r="AD625"/>
      <x:c r="AE625"/>
      <x:c r="AF625"/>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x:c r="C626"/>
      <x:c r="D626"/>
      <x:c r="E626"/>
      <x:c r="F626"/>
      <x:c r="G626"/>
      <x:c r="H626"/>
      <x:c r="I626"/>
      <x:c r="J626"/>
      <x:c r="K626"/>
      <x:c r="L626"/>
      <x:c r="M626"/>
      <x:c r="N626"/>
      <x:c r="O626"/>
      <x:c r="P626"/>
      <x:c r="Q626"/>
      <x:c r="R626"/>
      <x:c r="S626"/>
      <x:c r="T626"/>
      <x:c r="U626"/>
      <x:c r="V626"/>
      <x:c r="W626"/>
      <x:c r="X626"/>
      <x:c r="Y626"/>
      <x:c r="Z626"/>
      <x:c r="AA626"/>
      <x:c r="AB626"/>
      <x:c r="AC626"/>
      <x:c r="AD626"/>
      <x:c r="AE626"/>
      <x:c r="AF626"/>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x:c r="C627"/>
      <x:c r="D627"/>
      <x:c r="E627"/>
      <x:c r="F627"/>
      <x:c r="G627"/>
      <x:c r="H627"/>
      <x:c r="I627"/>
      <x:c r="J627"/>
      <x:c r="K627"/>
      <x:c r="L627"/>
      <x:c r="M627"/>
      <x:c r="N627"/>
      <x:c r="O627"/>
      <x:c r="P627"/>
      <x:c r="Q627"/>
      <x:c r="R627"/>
      <x:c r="S627"/>
      <x:c r="T627"/>
      <x:c r="U627"/>
      <x:c r="V627"/>
      <x:c r="W627"/>
      <x:c r="X627"/>
      <x:c r="Y627"/>
      <x:c r="Z627"/>
      <x:c r="AA627"/>
      <x:c r="AB627"/>
      <x:c r="AC627"/>
      <x:c r="AD627"/>
      <x:c r="AE627"/>
      <x:c r="AF627"/>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x:c r="C628"/>
      <x:c r="D628"/>
      <x:c r="E628"/>
      <x:c r="F628"/>
      <x:c r="G628"/>
      <x:c r="H628"/>
      <x:c r="I628"/>
      <x:c r="J628"/>
      <x:c r="K628"/>
      <x:c r="L628"/>
      <x:c r="M628"/>
      <x:c r="N628"/>
      <x:c r="O628"/>
      <x:c r="P628"/>
      <x:c r="Q628"/>
      <x:c r="R628"/>
      <x:c r="S628"/>
      <x:c r="T628"/>
      <x:c r="U628"/>
      <x:c r="V628"/>
      <x:c r="W628"/>
      <x:c r="X628"/>
      <x:c r="Y628"/>
      <x:c r="Z628"/>
      <x:c r="AA628"/>
      <x:c r="AB628"/>
      <x:c r="AC628"/>
      <x:c r="AD628"/>
      <x:c r="AE628"/>
      <x:c r="AF628"/>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x:c r="C629"/>
      <x:c r="D629"/>
      <x:c r="E629"/>
      <x:c r="F629"/>
      <x:c r="G629"/>
      <x:c r="H629"/>
      <x:c r="I629"/>
      <x:c r="J629"/>
      <x:c r="K629"/>
      <x:c r="L629"/>
      <x:c r="M629"/>
      <x:c r="N629"/>
      <x:c r="O629"/>
      <x:c r="P629"/>
      <x:c r="Q629"/>
      <x:c r="R629"/>
      <x:c r="S629"/>
      <x:c r="T629"/>
      <x:c r="U629"/>
      <x:c r="V629"/>
      <x:c r="W629"/>
      <x:c r="X629"/>
      <x:c r="Y629"/>
      <x:c r="Z629"/>
      <x:c r="AA629"/>
      <x:c r="AB629"/>
      <x:c r="AC629"/>
      <x:c r="AD629"/>
      <x:c r="AE629"/>
      <x:c r="AF629"/>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x:c r="C630"/>
      <x:c r="D630"/>
      <x:c r="E630"/>
      <x:c r="F630"/>
      <x:c r="G630"/>
      <x:c r="H630"/>
      <x:c r="I630"/>
      <x:c r="J630"/>
      <x:c r="K630"/>
      <x:c r="L630"/>
      <x:c r="M630"/>
      <x:c r="N630"/>
      <x:c r="O630"/>
      <x:c r="P630"/>
      <x:c r="Q630"/>
      <x:c r="R630"/>
      <x:c r="S630"/>
      <x:c r="T630"/>
      <x:c r="U630"/>
      <x:c r="V630"/>
      <x:c r="W630"/>
      <x:c r="X630"/>
      <x:c r="Y630"/>
      <x:c r="Z630"/>
      <x:c r="AA630"/>
      <x:c r="AB630"/>
      <x:c r="AC630"/>
      <x:c r="AD630"/>
      <x:c r="AE630"/>
      <x:c r="AF630"/>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x:c r="C631"/>
      <x:c r="D631"/>
      <x:c r="E631"/>
      <x:c r="F631"/>
      <x:c r="G631"/>
      <x:c r="H631"/>
      <x:c r="I631"/>
      <x:c r="J631"/>
      <x:c r="K631"/>
      <x:c r="L631"/>
      <x:c r="M631"/>
      <x:c r="N631"/>
      <x:c r="O631"/>
      <x:c r="P631"/>
      <x:c r="Q631"/>
      <x:c r="R631"/>
      <x:c r="S631"/>
      <x:c r="T631"/>
      <x:c r="U631"/>
      <x:c r="V631"/>
      <x:c r="W631"/>
      <x:c r="X631"/>
      <x:c r="Y631"/>
      <x:c r="Z631"/>
      <x:c r="AA631"/>
      <x:c r="AB631"/>
      <x:c r="AC631"/>
      <x:c r="AD631"/>
      <x:c r="AE631"/>
      <x:c r="AF631"/>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x:c r="C632"/>
      <x:c r="D632"/>
      <x:c r="E632"/>
      <x:c r="F632"/>
      <x:c r="G632"/>
      <x:c r="H632"/>
      <x:c r="I632"/>
      <x:c r="J632"/>
      <x:c r="K632"/>
      <x:c r="L632"/>
      <x:c r="M632"/>
      <x:c r="N632"/>
      <x:c r="O632"/>
      <x:c r="P632"/>
      <x:c r="Q632"/>
      <x:c r="R632"/>
      <x:c r="S632"/>
      <x:c r="T632"/>
      <x:c r="U632"/>
      <x:c r="V632"/>
      <x:c r="W632"/>
      <x:c r="X632"/>
      <x:c r="Y632"/>
      <x:c r="Z632"/>
      <x:c r="AA632"/>
      <x:c r="AB632"/>
      <x:c r="AC632"/>
      <x:c r="AD632"/>
      <x:c r="AE632"/>
      <x:c r="AF632"/>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x:c r="C633"/>
      <x:c r="D633"/>
      <x:c r="E633"/>
      <x:c r="F633"/>
      <x:c r="G633"/>
      <x:c r="H633"/>
      <x:c r="I633"/>
      <x:c r="J633"/>
      <x:c r="K633"/>
      <x:c r="L633"/>
      <x:c r="M633"/>
      <x:c r="N633"/>
      <x:c r="O633"/>
      <x:c r="P633"/>
      <x:c r="Q633"/>
      <x:c r="R633"/>
      <x:c r="S633"/>
      <x:c r="T633"/>
      <x:c r="U633"/>
      <x:c r="V633"/>
      <x:c r="W633"/>
      <x:c r="X633"/>
      <x:c r="Y633"/>
      <x:c r="Z633"/>
      <x:c r="AA633"/>
      <x:c r="AB633"/>
      <x:c r="AC633"/>
      <x:c r="AD633"/>
      <x:c r="AE633"/>
      <x:c r="AF633"/>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C634"/>
      <x:c r="D634"/>
      <x:c r="E634"/>
      <x:c r="F634"/>
      <x:c r="G634"/>
      <x:c r="H634"/>
      <x:c r="I634"/>
      <x:c r="J634"/>
      <x:c r="K634"/>
      <x:c r="L634"/>
      <x:c r="M634"/>
      <x:c r="N634"/>
      <x:c r="O634"/>
      <x:c r="P634"/>
      <x:c r="Q634"/>
      <x:c r="R634"/>
      <x:c r="S634"/>
      <x:c r="T634"/>
      <x:c r="U634"/>
      <x:c r="V634"/>
      <x:c r="W634"/>
      <x:c r="X634"/>
      <x:c r="Y634"/>
      <x:c r="Z634"/>
      <x:c r="AA634"/>
      <x:c r="AB634"/>
      <x:c r="AC634"/>
      <x:c r="AD634"/>
      <x:c r="AE634"/>
      <x:c r="AF63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x:c r="C635"/>
      <x:c r="D635"/>
      <x:c r="E635"/>
      <x:c r="F635"/>
      <x:c r="G635"/>
      <x:c r="H635"/>
      <x:c r="I635"/>
      <x:c r="J635"/>
      <x:c r="K635"/>
      <x:c r="L635"/>
      <x:c r="M635"/>
      <x:c r="N635"/>
      <x:c r="O635"/>
      <x:c r="P635"/>
      <x:c r="Q635"/>
      <x:c r="R635"/>
      <x:c r="S635"/>
      <x:c r="T635"/>
      <x:c r="U635"/>
      <x:c r="V635"/>
      <x:c r="W635"/>
      <x:c r="X635"/>
      <x:c r="Y635"/>
      <x:c r="Z635"/>
      <x:c r="AA635"/>
      <x:c r="AB635"/>
      <x:c r="AC635"/>
      <x:c r="AD635"/>
      <x:c r="AE635"/>
      <x:c r="AF635"/>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x:c r="C636"/>
      <x:c r="D636"/>
      <x:c r="E636"/>
      <x:c r="F636"/>
      <x:c r="G636"/>
      <x:c r="H636"/>
      <x:c r="I636"/>
      <x:c r="J636"/>
      <x:c r="K636"/>
      <x:c r="L636"/>
      <x:c r="M636"/>
      <x:c r="N636"/>
      <x:c r="O636"/>
      <x:c r="P636"/>
      <x:c r="Q636"/>
      <x:c r="R636"/>
      <x:c r="S636"/>
      <x:c r="T636"/>
      <x:c r="U636"/>
      <x:c r="V636"/>
      <x:c r="W636"/>
      <x:c r="X636"/>
      <x:c r="Y636"/>
      <x:c r="Z636"/>
      <x:c r="AA636"/>
      <x:c r="AB636"/>
      <x:c r="AC636"/>
      <x:c r="AD636"/>
      <x:c r="AE636"/>
      <x:c r="AF636"/>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x:c r="C637"/>
      <x:c r="D637"/>
      <x:c r="E637"/>
      <x:c r="F637"/>
      <x:c r="G637"/>
      <x:c r="H637"/>
      <x:c r="I637"/>
      <x:c r="J637"/>
      <x:c r="K637"/>
      <x:c r="L637"/>
      <x:c r="M637"/>
      <x:c r="N637"/>
      <x:c r="O637"/>
      <x:c r="P637"/>
      <x:c r="Q637"/>
      <x:c r="R637"/>
      <x:c r="S637"/>
      <x:c r="T637"/>
      <x:c r="U637"/>
      <x:c r="V637"/>
      <x:c r="W637"/>
      <x:c r="X637"/>
      <x:c r="Y637"/>
      <x:c r="Z637"/>
      <x:c r="AA637"/>
      <x:c r="AB637"/>
      <x:c r="AC637"/>
      <x:c r="AD637"/>
      <x:c r="AE637"/>
      <x:c r="AF637"/>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x:c r="C638"/>
      <x:c r="D638"/>
      <x:c r="E638"/>
      <x:c r="F638"/>
      <x:c r="G638"/>
      <x:c r="H638"/>
      <x:c r="I638"/>
      <x:c r="J638"/>
      <x:c r="K638"/>
      <x:c r="L638"/>
      <x:c r="M638"/>
      <x:c r="N638"/>
      <x:c r="O638"/>
      <x:c r="P638"/>
      <x:c r="Q638"/>
      <x:c r="R638"/>
      <x:c r="S638"/>
      <x:c r="T638"/>
      <x:c r="U638"/>
      <x:c r="V638"/>
      <x:c r="W638"/>
      <x:c r="X638"/>
      <x:c r="Y638"/>
      <x:c r="Z638"/>
      <x:c r="AA638"/>
      <x:c r="AB638"/>
      <x:c r="AC638"/>
      <x:c r="AD638"/>
      <x:c r="AE638"/>
      <x:c r="AF638"/>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x:c r="C639"/>
      <x:c r="D639"/>
      <x:c r="E639"/>
      <x:c r="F639"/>
      <x:c r="G639"/>
      <x:c r="H639"/>
      <x:c r="I639"/>
      <x:c r="J639"/>
      <x:c r="K639"/>
      <x:c r="L639"/>
      <x:c r="M639"/>
      <x:c r="N639"/>
      <x:c r="O639"/>
      <x:c r="P639"/>
      <x:c r="Q639"/>
      <x:c r="R639"/>
      <x:c r="S639"/>
      <x:c r="T639"/>
      <x:c r="U639"/>
      <x:c r="V639"/>
      <x:c r="W639"/>
      <x:c r="X639"/>
      <x:c r="Y639"/>
      <x:c r="Z639"/>
      <x:c r="AA639"/>
      <x:c r="AB639"/>
      <x:c r="AC639"/>
      <x:c r="AD639"/>
      <x:c r="AE639"/>
      <x:c r="AF639"/>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C640"/>
      <x:c r="D640"/>
      <x:c r="E640"/>
      <x:c r="F640"/>
      <x:c r="G640"/>
      <x:c r="H640"/>
      <x:c r="I640"/>
      <x:c r="J640"/>
      <x:c r="K640"/>
      <x:c r="L640"/>
      <x:c r="M640"/>
      <x:c r="N640"/>
      <x:c r="O640"/>
      <x:c r="P640"/>
      <x:c r="Q640"/>
      <x:c r="R640"/>
      <x:c r="S640"/>
      <x:c r="T640"/>
      <x:c r="U640"/>
      <x:c r="V640"/>
      <x:c r="W640"/>
      <x:c r="X640"/>
      <x:c r="Y640"/>
      <x:c r="Z640"/>
      <x:c r="AA640"/>
      <x:c r="AB640"/>
      <x:c r="AC640"/>
      <x:c r="AD640"/>
      <x:c r="AE640"/>
      <x:c r="AF640"/>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x:c r="C641"/>
      <x:c r="D641"/>
      <x:c r="E641"/>
      <x:c r="F641"/>
      <x:c r="G641"/>
      <x:c r="H641"/>
      <x:c r="I641"/>
      <x:c r="J641"/>
      <x:c r="K641"/>
      <x:c r="L641"/>
      <x:c r="M641"/>
      <x:c r="N641"/>
      <x:c r="O641"/>
      <x:c r="P641"/>
      <x:c r="Q641"/>
      <x:c r="R641"/>
      <x:c r="S641"/>
      <x:c r="T641"/>
      <x:c r="U641"/>
      <x:c r="V641"/>
      <x:c r="W641"/>
      <x:c r="X641"/>
      <x:c r="Y641"/>
      <x:c r="Z641"/>
      <x:c r="AA641"/>
      <x:c r="AB641"/>
      <x:c r="AC641"/>
      <x:c r="AD641"/>
      <x:c r="AE641"/>
      <x:c r="AF641"/>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x:c r="C642"/>
      <x:c r="D642"/>
      <x:c r="E642"/>
      <x:c r="F642"/>
      <x:c r="G642"/>
      <x:c r="H642"/>
      <x:c r="I642"/>
      <x:c r="J642"/>
      <x:c r="K642"/>
      <x:c r="L642"/>
      <x:c r="M642"/>
      <x:c r="N642"/>
      <x:c r="O642"/>
      <x:c r="P642"/>
      <x:c r="Q642"/>
      <x:c r="R642"/>
      <x:c r="S642"/>
      <x:c r="T642"/>
      <x:c r="U642"/>
      <x:c r="V642"/>
      <x:c r="W642"/>
      <x:c r="X642"/>
      <x:c r="Y642"/>
      <x:c r="Z642"/>
      <x:c r="AA642"/>
      <x:c r="AB642"/>
      <x:c r="AC642"/>
      <x:c r="AD642"/>
      <x:c r="AE642"/>
      <x:c r="AF642"/>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x:c r="C643"/>
      <x:c r="D643"/>
      <x:c r="E643"/>
      <x:c r="F643"/>
      <x:c r="G643"/>
      <x:c r="H643"/>
      <x:c r="I643"/>
      <x:c r="J643"/>
      <x:c r="K643"/>
      <x:c r="L643"/>
      <x:c r="M643"/>
      <x:c r="N643"/>
      <x:c r="O643"/>
      <x:c r="P643"/>
      <x:c r="Q643"/>
      <x:c r="R643"/>
      <x:c r="S643"/>
      <x:c r="T643"/>
      <x:c r="U643"/>
      <x:c r="V643"/>
      <x:c r="W643"/>
      <x:c r="X643"/>
      <x:c r="Y643"/>
      <x:c r="Z643"/>
      <x:c r="AA643"/>
      <x:c r="AB643"/>
      <x:c r="AC643"/>
      <x:c r="AD643"/>
      <x:c r="AE643"/>
      <x:c r="AF643"/>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x:c r="C644"/>
      <x:c r="D644"/>
      <x:c r="E644"/>
      <x:c r="F644"/>
      <x:c r="G644"/>
      <x:c r="H644"/>
      <x:c r="I644"/>
      <x:c r="J644"/>
      <x:c r="K644"/>
      <x:c r="L644"/>
      <x:c r="M644"/>
      <x:c r="N644"/>
      <x:c r="O644"/>
      <x:c r="P644"/>
      <x:c r="Q644"/>
      <x:c r="R644"/>
      <x:c r="S644"/>
      <x:c r="T644"/>
      <x:c r="U644"/>
      <x:c r="V644"/>
      <x:c r="W644"/>
      <x:c r="X644"/>
      <x:c r="Y644"/>
      <x:c r="Z644"/>
      <x:c r="AA644"/>
      <x:c r="AB644"/>
      <x:c r="AC644"/>
      <x:c r="AD644"/>
      <x:c r="AE644"/>
      <x:c r="AF644"/>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x:c r="C645"/>
      <x:c r="D645"/>
      <x:c r="E645"/>
      <x:c r="F645"/>
      <x:c r="G645"/>
      <x:c r="H645"/>
      <x:c r="I645"/>
      <x:c r="J645"/>
      <x:c r="K645"/>
      <x:c r="L645"/>
      <x:c r="M645"/>
      <x:c r="N645"/>
      <x:c r="O645"/>
      <x:c r="P645"/>
      <x:c r="Q645"/>
      <x:c r="R645"/>
      <x:c r="S645"/>
      <x:c r="T645"/>
      <x:c r="U645"/>
      <x:c r="V645"/>
      <x:c r="W645"/>
      <x:c r="X645"/>
      <x:c r="Y645"/>
      <x:c r="Z645"/>
      <x:c r="AA645"/>
      <x:c r="AB645"/>
      <x:c r="AC645"/>
      <x:c r="AD645"/>
      <x:c r="AE645"/>
      <x:c r="AF645"/>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x:c r="C646"/>
      <x:c r="D646"/>
      <x:c r="E646"/>
      <x:c r="F646"/>
      <x:c r="G646"/>
      <x:c r="H646"/>
      <x:c r="I646"/>
      <x:c r="J646"/>
      <x:c r="K646"/>
      <x:c r="L646"/>
      <x:c r="M646"/>
      <x:c r="N646"/>
      <x:c r="O646"/>
      <x:c r="P646"/>
      <x:c r="Q646"/>
      <x:c r="R646"/>
      <x:c r="S646"/>
      <x:c r="T646"/>
      <x:c r="U646"/>
      <x:c r="V646"/>
      <x:c r="W646"/>
      <x:c r="X646"/>
      <x:c r="Y646"/>
      <x:c r="Z646"/>
      <x:c r="AA646"/>
      <x:c r="AB646"/>
      <x:c r="AC646"/>
      <x:c r="AD646"/>
      <x:c r="AE646"/>
      <x:c r="AF646"/>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x:c r="C647"/>
      <x:c r="D647"/>
      <x:c r="E647"/>
      <x:c r="F647"/>
      <x:c r="G647"/>
      <x:c r="H647"/>
      <x:c r="I647"/>
      <x:c r="J647"/>
      <x:c r="K647"/>
      <x:c r="L647"/>
      <x:c r="M647"/>
      <x:c r="N647"/>
      <x:c r="O647"/>
      <x:c r="P647"/>
      <x:c r="Q647"/>
      <x:c r="R647"/>
      <x:c r="S647"/>
      <x:c r="T647"/>
      <x:c r="U647"/>
      <x:c r="V647"/>
      <x:c r="W647"/>
      <x:c r="X647"/>
      <x:c r="Y647"/>
      <x:c r="Z647"/>
      <x:c r="AA647"/>
      <x:c r="AB647"/>
      <x:c r="AC647"/>
      <x:c r="AD647"/>
      <x:c r="AE647"/>
      <x:c r="AF647"/>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x:c r="C648"/>
      <x:c r="D648"/>
      <x:c r="E648"/>
      <x:c r="F648"/>
      <x:c r="G648"/>
      <x:c r="H648"/>
      <x:c r="I648"/>
      <x:c r="J648"/>
      <x:c r="K648"/>
      <x:c r="L648"/>
      <x:c r="M648"/>
      <x:c r="N648"/>
      <x:c r="O648"/>
      <x:c r="P648"/>
      <x:c r="Q648"/>
      <x:c r="R648"/>
      <x:c r="S648"/>
      <x:c r="T648"/>
      <x:c r="U648"/>
      <x:c r="V648"/>
      <x:c r="W648"/>
      <x:c r="X648"/>
      <x:c r="Y648"/>
      <x:c r="Z648"/>
      <x:c r="AA648"/>
      <x:c r="AB648"/>
      <x:c r="AC648"/>
      <x:c r="AD648"/>
      <x:c r="AE648"/>
      <x:c r="AF648"/>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x:c r="C649"/>
      <x:c r="D649"/>
      <x:c r="E649"/>
      <x:c r="F649"/>
      <x:c r="G649"/>
      <x:c r="H649"/>
      <x:c r="I649"/>
      <x:c r="J649"/>
      <x:c r="K649"/>
      <x:c r="L649"/>
      <x:c r="M649"/>
      <x:c r="N649"/>
      <x:c r="O649"/>
      <x:c r="P649"/>
      <x:c r="Q649"/>
      <x:c r="R649"/>
      <x:c r="S649"/>
      <x:c r="T649"/>
      <x:c r="U649"/>
      <x:c r="V649"/>
      <x:c r="W649"/>
      <x:c r="X649"/>
      <x:c r="Y649"/>
      <x:c r="Z649"/>
      <x:c r="AA649"/>
      <x:c r="AB649"/>
      <x:c r="AC649"/>
      <x:c r="AD649"/>
      <x:c r="AE649"/>
      <x:c r="AF649"/>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x:c r="C650"/>
      <x:c r="D650"/>
      <x:c r="E650"/>
      <x:c r="F650"/>
      <x:c r="G650"/>
      <x:c r="H650"/>
      <x:c r="I650"/>
      <x:c r="J650"/>
      <x:c r="K650"/>
      <x:c r="L650"/>
      <x:c r="M650"/>
      <x:c r="N650"/>
      <x:c r="O650"/>
      <x:c r="P650"/>
      <x:c r="Q650"/>
      <x:c r="R650"/>
      <x:c r="S650"/>
      <x:c r="T650"/>
      <x:c r="U650"/>
      <x:c r="V650"/>
      <x:c r="W650"/>
      <x:c r="X650"/>
      <x:c r="Y650"/>
      <x:c r="Z650"/>
      <x:c r="AA650"/>
      <x:c r="AB650"/>
      <x:c r="AC650"/>
      <x:c r="AD650"/>
      <x:c r="AE650"/>
      <x:c r="AF650"/>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x:c r="C651"/>
      <x:c r="D651"/>
      <x:c r="E651"/>
      <x:c r="F651"/>
      <x:c r="G651"/>
      <x:c r="H651"/>
      <x:c r="I651"/>
      <x:c r="J651"/>
      <x:c r="K651"/>
      <x:c r="L651"/>
      <x:c r="M651"/>
      <x:c r="N651"/>
      <x:c r="O651"/>
      <x:c r="P651"/>
      <x:c r="Q651"/>
      <x:c r="R651"/>
      <x:c r="S651"/>
      <x:c r="T651"/>
      <x:c r="U651"/>
      <x:c r="V651"/>
      <x:c r="W651"/>
      <x:c r="X651"/>
      <x:c r="Y651"/>
      <x:c r="Z651"/>
      <x:c r="AA651"/>
      <x:c r="AB651"/>
      <x:c r="AC651"/>
      <x:c r="AD651"/>
      <x:c r="AE651"/>
      <x:c r="AF651"/>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C652"/>
      <x:c r="D652"/>
      <x:c r="E652"/>
      <x:c r="F652"/>
      <x:c r="G652"/>
      <x:c r="H652"/>
      <x:c r="I652"/>
      <x:c r="J652"/>
      <x:c r="K652"/>
      <x:c r="L652"/>
      <x:c r="M652"/>
      <x:c r="N652"/>
      <x:c r="O652"/>
      <x:c r="P652"/>
      <x:c r="Q652"/>
      <x:c r="R652"/>
      <x:c r="S652"/>
      <x:c r="T652"/>
      <x:c r="U652"/>
      <x:c r="V652"/>
      <x:c r="W652"/>
      <x:c r="X652"/>
      <x:c r="Y652"/>
      <x:c r="Z652"/>
      <x:c r="AA652"/>
      <x:c r="AB652"/>
      <x:c r="AC652"/>
      <x:c r="AD652"/>
      <x:c r="AE652"/>
      <x:c r="AF652"/>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x:c r="C653"/>
      <x:c r="D653"/>
      <x:c r="E653"/>
      <x:c r="F653"/>
      <x:c r="G653"/>
      <x:c r="H653"/>
      <x:c r="I653"/>
      <x:c r="J653"/>
      <x:c r="K653"/>
      <x:c r="L653"/>
      <x:c r="M653"/>
      <x:c r="N653"/>
      <x:c r="O653"/>
      <x:c r="P653"/>
      <x:c r="Q653"/>
      <x:c r="R653"/>
      <x:c r="S653"/>
      <x:c r="T653"/>
      <x:c r="U653"/>
      <x:c r="V653"/>
      <x:c r="W653"/>
      <x:c r="X653"/>
      <x:c r="Y653"/>
      <x:c r="Z653"/>
      <x:c r="AA653"/>
      <x:c r="AB653"/>
      <x:c r="AC653"/>
      <x:c r="AD653"/>
      <x:c r="AE653"/>
      <x:c r="AF653"/>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C654"/>
      <x:c r="D654"/>
      <x:c r="E654"/>
      <x:c r="F654"/>
      <x:c r="G654"/>
      <x:c r="H654"/>
      <x:c r="I654"/>
      <x:c r="J654"/>
      <x:c r="K654"/>
      <x:c r="L654"/>
      <x:c r="M654"/>
      <x:c r="N654"/>
      <x:c r="O654"/>
      <x:c r="P654"/>
      <x:c r="Q654"/>
      <x:c r="R654"/>
      <x:c r="S654"/>
      <x:c r="T654"/>
      <x:c r="U654"/>
      <x:c r="V654"/>
      <x:c r="W654"/>
      <x:c r="X654"/>
      <x:c r="Y654"/>
      <x:c r="Z654"/>
      <x:c r="AA654"/>
      <x:c r="AB654"/>
      <x:c r="AC654"/>
      <x:c r="AD654"/>
      <x:c r="AE654"/>
      <x:c r="AF65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x:c r="C655"/>
      <x:c r="D655"/>
      <x:c r="E655"/>
      <x:c r="F655"/>
      <x:c r="G655"/>
      <x:c r="H655"/>
      <x:c r="I655"/>
      <x:c r="J655"/>
      <x:c r="K655"/>
      <x:c r="L655"/>
      <x:c r="M655"/>
      <x:c r="N655"/>
      <x:c r="O655"/>
      <x:c r="P655"/>
      <x:c r="Q655"/>
      <x:c r="R655"/>
      <x:c r="S655"/>
      <x:c r="T655"/>
      <x:c r="U655"/>
      <x:c r="V655"/>
      <x:c r="W655"/>
      <x:c r="X655"/>
      <x:c r="Y655"/>
      <x:c r="Z655"/>
      <x:c r="AA655"/>
      <x:c r="AB655"/>
      <x:c r="AC655"/>
      <x:c r="AD655"/>
      <x:c r="AE655"/>
      <x:c r="AF655"/>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x:c r="C656"/>
      <x:c r="D656"/>
      <x:c r="E656"/>
      <x:c r="F656"/>
      <x:c r="G656"/>
      <x:c r="H656"/>
      <x:c r="I656"/>
      <x:c r="J656"/>
      <x:c r="K656"/>
      <x:c r="L656"/>
      <x:c r="M656"/>
      <x:c r="N656"/>
      <x:c r="O656"/>
      <x:c r="P656"/>
      <x:c r="Q656"/>
      <x:c r="R656"/>
      <x:c r="S656"/>
      <x:c r="T656"/>
      <x:c r="U656"/>
      <x:c r="V656"/>
      <x:c r="W656"/>
      <x:c r="X656"/>
      <x:c r="Y656"/>
      <x:c r="Z656"/>
      <x:c r="AA656"/>
      <x:c r="AB656"/>
      <x:c r="AC656"/>
      <x:c r="AD656"/>
      <x:c r="AE656"/>
      <x:c r="AF656"/>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x:c r="C657"/>
      <x:c r="D657"/>
      <x:c r="E657"/>
      <x:c r="F657"/>
      <x:c r="G657"/>
      <x:c r="H657"/>
      <x:c r="I657"/>
      <x:c r="J657"/>
      <x:c r="K657"/>
      <x:c r="L657"/>
      <x:c r="M657"/>
      <x:c r="N657"/>
      <x:c r="O657"/>
      <x:c r="P657"/>
      <x:c r="Q657"/>
      <x:c r="R657"/>
      <x:c r="S657"/>
      <x:c r="T657"/>
      <x:c r="U657"/>
      <x:c r="V657"/>
      <x:c r="W657"/>
      <x:c r="X657"/>
      <x:c r="Y657"/>
      <x:c r="Z657"/>
      <x:c r="AA657"/>
      <x:c r="AB657"/>
      <x:c r="AC657"/>
      <x:c r="AD657"/>
      <x:c r="AE657"/>
      <x:c r="AF657"/>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x:c r="C658"/>
      <x:c r="D658"/>
      <x:c r="E658"/>
      <x:c r="F658"/>
      <x:c r="G658"/>
      <x:c r="H658"/>
      <x:c r="I658"/>
      <x:c r="J658"/>
      <x:c r="K658"/>
      <x:c r="L658"/>
      <x:c r="M658"/>
      <x:c r="N658"/>
      <x:c r="O658"/>
      <x:c r="P658"/>
      <x:c r="Q658"/>
      <x:c r="R658"/>
      <x:c r="S658"/>
      <x:c r="T658"/>
      <x:c r="U658"/>
      <x:c r="V658"/>
      <x:c r="W658"/>
      <x:c r="X658"/>
      <x:c r="Y658"/>
      <x:c r="Z658"/>
      <x:c r="AA658"/>
      <x:c r="AB658"/>
      <x:c r="AC658"/>
      <x:c r="AD658"/>
      <x:c r="AE658"/>
      <x:c r="AF658"/>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x:c r="C659"/>
      <x:c r="D659"/>
      <x:c r="E659"/>
      <x:c r="F659"/>
      <x:c r="G659"/>
      <x:c r="H659"/>
      <x:c r="I659"/>
      <x:c r="J659"/>
      <x:c r="K659"/>
      <x:c r="L659"/>
      <x:c r="M659"/>
      <x:c r="N659"/>
      <x:c r="O659"/>
      <x:c r="P659"/>
      <x:c r="Q659"/>
      <x:c r="R659"/>
      <x:c r="S659"/>
      <x:c r="T659"/>
      <x:c r="U659"/>
      <x:c r="V659"/>
      <x:c r="W659"/>
      <x:c r="X659"/>
      <x:c r="Y659"/>
      <x:c r="Z659"/>
      <x:c r="AA659"/>
      <x:c r="AB659"/>
      <x:c r="AC659"/>
      <x:c r="AD659"/>
      <x:c r="AE659"/>
      <x:c r="AF659"/>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x:c r="C660"/>
      <x:c r="D660"/>
      <x:c r="E660"/>
      <x:c r="F660"/>
      <x:c r="G660"/>
      <x:c r="H660"/>
      <x:c r="I660"/>
      <x:c r="J660"/>
      <x:c r="K660"/>
      <x:c r="L660"/>
      <x:c r="M660"/>
      <x:c r="N660"/>
      <x:c r="O660"/>
      <x:c r="P660"/>
      <x:c r="Q660"/>
      <x:c r="R660"/>
      <x:c r="S660"/>
      <x:c r="T660"/>
      <x:c r="U660"/>
      <x:c r="V660"/>
      <x:c r="W660"/>
      <x:c r="X660"/>
      <x:c r="Y660"/>
      <x:c r="Z660"/>
      <x:c r="AA660"/>
      <x:c r="AB660"/>
      <x:c r="AC660"/>
      <x:c r="AD660"/>
      <x:c r="AE660"/>
      <x:c r="AF660"/>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C661"/>
      <x:c r="D661"/>
      <x:c r="E661"/>
      <x:c r="F661"/>
      <x:c r="G661"/>
      <x:c r="H661"/>
      <x:c r="I661"/>
      <x:c r="J661"/>
      <x:c r="K661"/>
      <x:c r="L661"/>
      <x:c r="M661"/>
      <x:c r="N661"/>
      <x:c r="O661"/>
      <x:c r="P661"/>
      <x:c r="Q661"/>
      <x:c r="R661"/>
      <x:c r="S661"/>
      <x:c r="T661"/>
      <x:c r="U661"/>
      <x:c r="V661"/>
      <x:c r="W661"/>
      <x:c r="X661"/>
      <x:c r="Y661"/>
      <x:c r="Z661"/>
      <x:c r="AA661"/>
      <x:c r="AB661"/>
      <x:c r="AC661"/>
      <x:c r="AD661"/>
      <x:c r="AE661"/>
      <x:c r="AF661"/>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x:c r="C662"/>
      <x:c r="D662"/>
      <x:c r="E662"/>
      <x:c r="F662"/>
      <x:c r="G662"/>
      <x:c r="H662"/>
      <x:c r="I662"/>
      <x:c r="J662"/>
      <x:c r="K662"/>
      <x:c r="L662"/>
      <x:c r="M662"/>
      <x:c r="N662"/>
      <x:c r="O662"/>
      <x:c r="P662"/>
      <x:c r="Q662"/>
      <x:c r="R662"/>
      <x:c r="S662"/>
      <x:c r="T662"/>
      <x:c r="U662"/>
      <x:c r="V662"/>
      <x:c r="W662"/>
      <x:c r="X662"/>
      <x:c r="Y662"/>
      <x:c r="Z662"/>
      <x:c r="AA662"/>
      <x:c r="AB662"/>
      <x:c r="AC662"/>
      <x:c r="AD662"/>
      <x:c r="AE662"/>
      <x:c r="AF662"/>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x:c r="C663"/>
      <x:c r="D663"/>
      <x:c r="E663"/>
      <x:c r="F663"/>
      <x:c r="G663"/>
      <x:c r="H663"/>
      <x:c r="I663"/>
      <x:c r="J663"/>
      <x:c r="K663"/>
      <x:c r="L663"/>
      <x:c r="M663"/>
      <x:c r="N663"/>
      <x:c r="O663"/>
      <x:c r="P663"/>
      <x:c r="Q663"/>
      <x:c r="R663"/>
      <x:c r="S663"/>
      <x:c r="T663"/>
      <x:c r="U663"/>
      <x:c r="V663"/>
      <x:c r="W663"/>
      <x:c r="X663"/>
      <x:c r="Y663"/>
      <x:c r="Z663"/>
      <x:c r="AA663"/>
      <x:c r="AB663"/>
      <x:c r="AC663"/>
      <x:c r="AD663"/>
      <x:c r="AE663"/>
      <x:c r="AF663"/>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x:c r="C664"/>
      <x:c r="D664"/>
      <x:c r="E664"/>
      <x:c r="F664"/>
      <x:c r="G664"/>
      <x:c r="H664"/>
      <x:c r="I664"/>
      <x:c r="J664"/>
      <x:c r="K664"/>
      <x:c r="L664"/>
      <x:c r="M664"/>
      <x:c r="N664"/>
      <x:c r="O664"/>
      <x:c r="P664"/>
      <x:c r="Q664"/>
      <x:c r="R664"/>
      <x:c r="S664"/>
      <x:c r="T664"/>
      <x:c r="U664"/>
      <x:c r="V664"/>
      <x:c r="W664"/>
      <x:c r="X664"/>
      <x:c r="Y664"/>
      <x:c r="Z664"/>
      <x:c r="AA664"/>
      <x:c r="AB664"/>
      <x:c r="AC664"/>
      <x:c r="AD664"/>
      <x:c r="AE664"/>
      <x:c r="AF664"/>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x:c r="C665"/>
      <x:c r="D665"/>
      <x:c r="E665"/>
      <x:c r="F665"/>
      <x:c r="G665"/>
      <x:c r="H665"/>
      <x:c r="I665"/>
      <x:c r="J665"/>
      <x:c r="K665"/>
      <x:c r="L665"/>
      <x:c r="M665"/>
      <x:c r="N665"/>
      <x:c r="O665"/>
      <x:c r="P665"/>
      <x:c r="Q665"/>
      <x:c r="R665"/>
      <x:c r="S665"/>
      <x:c r="T665"/>
      <x:c r="U665"/>
      <x:c r="V665"/>
      <x:c r="W665"/>
      <x:c r="X665"/>
      <x:c r="Y665"/>
      <x:c r="Z665"/>
      <x:c r="AA665"/>
      <x:c r="AB665"/>
      <x:c r="AC665"/>
      <x:c r="AD665"/>
      <x:c r="AE665"/>
      <x:c r="AF665"/>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C666"/>
      <x:c r="D666"/>
      <x:c r="E666"/>
      <x:c r="F666"/>
      <x:c r="G666"/>
      <x:c r="H666"/>
      <x:c r="I666"/>
      <x:c r="J666"/>
      <x:c r="K666"/>
      <x:c r="L666"/>
      <x:c r="M666"/>
      <x:c r="N666"/>
      <x:c r="O666"/>
      <x:c r="P666"/>
      <x:c r="Q666"/>
      <x:c r="R666"/>
      <x:c r="S666"/>
      <x:c r="T666"/>
      <x:c r="U666"/>
      <x:c r="V666"/>
      <x:c r="W666"/>
      <x:c r="X666"/>
      <x:c r="Y666"/>
      <x:c r="Z666"/>
      <x:c r="AA666"/>
      <x:c r="AB666"/>
      <x:c r="AC666"/>
      <x:c r="AD666"/>
      <x:c r="AE666"/>
      <x:c r="AF666"/>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x:c r="C667"/>
      <x:c r="D667"/>
      <x:c r="E667"/>
      <x:c r="F667"/>
      <x:c r="G667"/>
      <x:c r="H667"/>
      <x:c r="I667"/>
      <x:c r="J667"/>
      <x:c r="K667"/>
      <x:c r="L667"/>
      <x:c r="M667"/>
      <x:c r="N667"/>
      <x:c r="O667"/>
      <x:c r="P667"/>
      <x:c r="Q667"/>
      <x:c r="R667"/>
      <x:c r="S667"/>
      <x:c r="T667"/>
      <x:c r="U667"/>
      <x:c r="V667"/>
      <x:c r="W667"/>
      <x:c r="X667"/>
      <x:c r="Y667"/>
      <x:c r="Z667"/>
      <x:c r="AA667"/>
      <x:c r="AB667"/>
      <x:c r="AC667"/>
      <x:c r="AD667"/>
      <x:c r="AE667"/>
      <x:c r="AF667"/>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C668"/>
      <x:c r="D668"/>
      <x:c r="E668"/>
      <x:c r="F668"/>
      <x:c r="G668"/>
      <x:c r="H668"/>
      <x:c r="I668"/>
      <x:c r="J668"/>
      <x:c r="K668"/>
      <x:c r="L668"/>
      <x:c r="M668"/>
      <x:c r="N668"/>
      <x:c r="O668"/>
      <x:c r="P668"/>
      <x:c r="Q668"/>
      <x:c r="R668"/>
      <x:c r="S668"/>
      <x:c r="T668"/>
      <x:c r="U668"/>
      <x:c r="V668"/>
      <x:c r="W668"/>
      <x:c r="X668"/>
      <x:c r="Y668"/>
      <x:c r="Z668"/>
      <x:c r="AA668"/>
      <x:c r="AB668"/>
      <x:c r="AC668"/>
      <x:c r="AD668"/>
      <x:c r="AE668"/>
      <x:c r="AF668"/>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x:c r="C669"/>
      <x:c r="D669"/>
      <x:c r="E669"/>
      <x:c r="F669"/>
      <x:c r="G669"/>
      <x:c r="H669"/>
      <x:c r="I669"/>
      <x:c r="J669"/>
      <x:c r="K669"/>
      <x:c r="L669"/>
      <x:c r="M669"/>
      <x:c r="N669"/>
      <x:c r="O669"/>
      <x:c r="P669"/>
      <x:c r="Q669"/>
      <x:c r="R669"/>
      <x:c r="S669"/>
      <x:c r="T669"/>
      <x:c r="U669"/>
      <x:c r="V669"/>
      <x:c r="W669"/>
      <x:c r="X669"/>
      <x:c r="Y669"/>
      <x:c r="Z669"/>
      <x:c r="AA669"/>
      <x:c r="AB669"/>
      <x:c r="AC669"/>
      <x:c r="AD669"/>
      <x:c r="AE669"/>
      <x:c r="AF669"/>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C670"/>
      <x:c r="D670"/>
      <x:c r="E670"/>
      <x:c r="F670"/>
      <x:c r="G670"/>
      <x:c r="H670"/>
      <x:c r="I670"/>
      <x:c r="J670"/>
      <x:c r="K670"/>
      <x:c r="L670"/>
      <x:c r="M670"/>
      <x:c r="N670"/>
      <x:c r="O670"/>
      <x:c r="P670"/>
      <x:c r="Q670"/>
      <x:c r="R670"/>
      <x:c r="S670"/>
      <x:c r="T670"/>
      <x:c r="U670"/>
      <x:c r="V670"/>
      <x:c r="W670"/>
      <x:c r="X670"/>
      <x:c r="Y670"/>
      <x:c r="Z670"/>
      <x:c r="AA670"/>
      <x:c r="AB670"/>
      <x:c r="AC670"/>
      <x:c r="AD670"/>
      <x:c r="AE670"/>
      <x:c r="AF670"/>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x:c r="C671"/>
      <x:c r="D671"/>
      <x:c r="E671"/>
      <x:c r="F671"/>
      <x:c r="G671"/>
      <x:c r="H671"/>
      <x:c r="I671"/>
      <x:c r="J671"/>
      <x:c r="K671"/>
      <x:c r="L671"/>
      <x:c r="M671"/>
      <x:c r="N671"/>
      <x:c r="O671"/>
      <x:c r="P671"/>
      <x:c r="Q671"/>
      <x:c r="R671"/>
      <x:c r="S671"/>
      <x:c r="T671"/>
      <x:c r="U671"/>
      <x:c r="V671"/>
      <x:c r="W671"/>
      <x:c r="X671"/>
      <x:c r="Y671"/>
      <x:c r="Z671"/>
      <x:c r="AA671"/>
      <x:c r="AB671"/>
      <x:c r="AC671"/>
      <x:c r="AD671"/>
      <x:c r="AE671"/>
      <x:c r="AF671"/>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C672"/>
      <x:c r="D672"/>
      <x:c r="E672"/>
      <x:c r="F672"/>
      <x:c r="G672"/>
      <x:c r="H672"/>
      <x:c r="I672"/>
      <x:c r="J672"/>
      <x:c r="K672"/>
      <x:c r="L672"/>
      <x:c r="M672"/>
      <x:c r="N672"/>
      <x:c r="O672"/>
      <x:c r="P672"/>
      <x:c r="Q672"/>
      <x:c r="R672"/>
      <x:c r="S672"/>
      <x:c r="T672"/>
      <x:c r="U672"/>
      <x:c r="V672"/>
      <x:c r="W672"/>
      <x:c r="X672"/>
      <x:c r="Y672"/>
      <x:c r="Z672"/>
      <x:c r="AA672"/>
      <x:c r="AB672"/>
      <x:c r="AC672"/>
      <x:c r="AD672"/>
      <x:c r="AE672"/>
      <x:c r="AF672"/>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x:c r="C673"/>
      <x:c r="D673"/>
      <x:c r="E673"/>
      <x:c r="F673"/>
      <x:c r="G673"/>
      <x:c r="H673"/>
      <x:c r="I673"/>
      <x:c r="J673"/>
      <x:c r="K673"/>
      <x:c r="L673"/>
      <x:c r="M673"/>
      <x:c r="N673"/>
      <x:c r="O673"/>
      <x:c r="P673"/>
      <x:c r="Q673"/>
      <x:c r="R673"/>
      <x:c r="S673"/>
      <x:c r="T673"/>
      <x:c r="U673"/>
      <x:c r="V673"/>
      <x:c r="W673"/>
      <x:c r="X673"/>
      <x:c r="Y673"/>
      <x:c r="Z673"/>
      <x:c r="AA673"/>
      <x:c r="AB673"/>
      <x:c r="AC673"/>
      <x:c r="AD673"/>
      <x:c r="AE673"/>
      <x:c r="AF673"/>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x:c r="C674"/>
      <x:c r="D674"/>
      <x:c r="E674"/>
      <x:c r="F674"/>
      <x:c r="G674"/>
      <x:c r="H674"/>
      <x:c r="I674"/>
      <x:c r="J674"/>
      <x:c r="K674"/>
      <x:c r="L674"/>
      <x:c r="M674"/>
      <x:c r="N674"/>
      <x:c r="O674"/>
      <x:c r="P674"/>
      <x:c r="Q674"/>
      <x:c r="R674"/>
      <x:c r="S674"/>
      <x:c r="T674"/>
      <x:c r="U674"/>
      <x:c r="V674"/>
      <x:c r="W674"/>
      <x:c r="X674"/>
      <x:c r="Y674"/>
      <x:c r="Z674"/>
      <x:c r="AA674"/>
      <x:c r="AB674"/>
      <x:c r="AC674"/>
      <x:c r="AD674"/>
      <x:c r="AE674"/>
      <x:c r="AF67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x:c r="C675"/>
      <x:c r="D675"/>
      <x:c r="E675"/>
      <x:c r="F675"/>
      <x:c r="G675"/>
      <x:c r="H675"/>
      <x:c r="I675"/>
      <x:c r="J675"/>
      <x:c r="K675"/>
      <x:c r="L675"/>
      <x:c r="M675"/>
      <x:c r="N675"/>
      <x:c r="O675"/>
      <x:c r="P675"/>
      <x:c r="Q675"/>
      <x:c r="R675"/>
      <x:c r="S675"/>
      <x:c r="T675"/>
      <x:c r="U675"/>
      <x:c r="V675"/>
      <x:c r="W675"/>
      <x:c r="X675"/>
      <x:c r="Y675"/>
      <x:c r="Z675"/>
      <x:c r="AA675"/>
      <x:c r="AB675"/>
      <x:c r="AC675"/>
      <x:c r="AD675"/>
      <x:c r="AE675"/>
      <x:c r="AF675"/>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x:c r="C676"/>
      <x:c r="D676"/>
      <x:c r="E676"/>
      <x:c r="F676"/>
      <x:c r="G676"/>
      <x:c r="H676"/>
      <x:c r="I676"/>
      <x:c r="J676"/>
      <x:c r="K676"/>
      <x:c r="L676"/>
      <x:c r="M676"/>
      <x:c r="N676"/>
      <x:c r="O676"/>
      <x:c r="P676"/>
      <x:c r="Q676"/>
      <x:c r="R676"/>
      <x:c r="S676"/>
      <x:c r="T676"/>
      <x:c r="U676"/>
      <x:c r="V676"/>
      <x:c r="W676"/>
      <x:c r="X676"/>
      <x:c r="Y676"/>
      <x:c r="Z676"/>
      <x:c r="AA676"/>
      <x:c r="AB676"/>
      <x:c r="AC676"/>
      <x:c r="AD676"/>
      <x:c r="AE676"/>
      <x:c r="AF676"/>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x:c r="C677"/>
      <x:c r="D677"/>
      <x:c r="E677"/>
      <x:c r="F677"/>
      <x:c r="G677"/>
      <x:c r="H677"/>
      <x:c r="I677"/>
      <x:c r="J677"/>
      <x:c r="K677"/>
      <x:c r="L677"/>
      <x:c r="M677"/>
      <x:c r="N677"/>
      <x:c r="O677"/>
      <x:c r="P677"/>
      <x:c r="Q677"/>
      <x:c r="R677"/>
      <x:c r="S677"/>
      <x:c r="T677"/>
      <x:c r="U677"/>
      <x:c r="V677"/>
      <x:c r="W677"/>
      <x:c r="X677"/>
      <x:c r="Y677"/>
      <x:c r="Z677"/>
      <x:c r="AA677"/>
      <x:c r="AB677"/>
      <x:c r="AC677"/>
      <x:c r="AD677"/>
      <x:c r="AE677"/>
      <x:c r="AF677"/>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x:c r="C678"/>
      <x:c r="D678"/>
      <x:c r="E678"/>
      <x:c r="F678"/>
      <x:c r="G678"/>
      <x:c r="H678"/>
      <x:c r="I678"/>
      <x:c r="J678"/>
      <x:c r="K678"/>
      <x:c r="L678"/>
      <x:c r="M678"/>
      <x:c r="N678"/>
      <x:c r="O678"/>
      <x:c r="P678"/>
      <x:c r="Q678"/>
      <x:c r="R678"/>
      <x:c r="S678"/>
      <x:c r="T678"/>
      <x:c r="U678"/>
      <x:c r="V678"/>
      <x:c r="W678"/>
      <x:c r="X678"/>
      <x:c r="Y678"/>
      <x:c r="Z678"/>
      <x:c r="AA678"/>
      <x:c r="AB678"/>
      <x:c r="AC678"/>
      <x:c r="AD678"/>
      <x:c r="AE678"/>
      <x:c r="AF678"/>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C679"/>
      <x:c r="D679"/>
      <x:c r="E679"/>
      <x:c r="F679"/>
      <x:c r="G679"/>
      <x:c r="H679"/>
      <x:c r="I679"/>
      <x:c r="J679"/>
      <x:c r="K679"/>
      <x:c r="L679"/>
      <x:c r="M679"/>
      <x:c r="N679"/>
      <x:c r="O679"/>
      <x:c r="P679"/>
      <x:c r="Q679"/>
      <x:c r="R679"/>
      <x:c r="S679"/>
      <x:c r="T679"/>
      <x:c r="U679"/>
      <x:c r="V679"/>
      <x:c r="W679"/>
      <x:c r="X679"/>
      <x:c r="Y679"/>
      <x:c r="Z679"/>
      <x:c r="AA679"/>
      <x:c r="AB679"/>
      <x:c r="AC679"/>
      <x:c r="AD679"/>
      <x:c r="AE679"/>
      <x:c r="AF679"/>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x:c r="C680"/>
      <x:c r="D680"/>
      <x:c r="E680"/>
      <x:c r="F680"/>
      <x:c r="G680"/>
      <x:c r="H680"/>
      <x:c r="I680"/>
      <x:c r="J680"/>
      <x:c r="K680"/>
      <x:c r="L680"/>
      <x:c r="M680"/>
      <x:c r="N680"/>
      <x:c r="O680"/>
      <x:c r="P680"/>
      <x:c r="Q680"/>
      <x:c r="R680"/>
      <x:c r="S680"/>
      <x:c r="T680"/>
      <x:c r="U680"/>
      <x:c r="V680"/>
      <x:c r="W680"/>
      <x:c r="X680"/>
      <x:c r="Y680"/>
      <x:c r="Z680"/>
      <x:c r="AA680"/>
      <x:c r="AB680"/>
      <x:c r="AC680"/>
      <x:c r="AD680"/>
      <x:c r="AE680"/>
      <x:c r="AF680"/>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x:c r="C681"/>
      <x:c r="D681"/>
      <x:c r="E681"/>
      <x:c r="F681"/>
      <x:c r="G681"/>
      <x:c r="H681"/>
      <x:c r="I681"/>
      <x:c r="J681"/>
      <x:c r="K681"/>
      <x:c r="L681"/>
      <x:c r="M681"/>
      <x:c r="N681"/>
      <x:c r="O681"/>
      <x:c r="P681"/>
      <x:c r="Q681"/>
      <x:c r="R681"/>
      <x:c r="S681"/>
      <x:c r="T681"/>
      <x:c r="U681"/>
      <x:c r="V681"/>
      <x:c r="W681"/>
      <x:c r="X681"/>
      <x:c r="Y681"/>
      <x:c r="Z681"/>
      <x:c r="AA681"/>
      <x:c r="AB681"/>
      <x:c r="AC681"/>
      <x:c r="AD681"/>
      <x:c r="AE681"/>
      <x:c r="AF681"/>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x:c r="C682"/>
      <x:c r="D682"/>
      <x:c r="E682"/>
      <x:c r="F682"/>
      <x:c r="G682"/>
      <x:c r="H682"/>
      <x:c r="I682"/>
      <x:c r="J682"/>
      <x:c r="K682"/>
      <x:c r="L682"/>
      <x:c r="M682"/>
      <x:c r="N682"/>
      <x:c r="O682"/>
      <x:c r="P682"/>
      <x:c r="Q682"/>
      <x:c r="R682"/>
      <x:c r="S682"/>
      <x:c r="T682"/>
      <x:c r="U682"/>
      <x:c r="V682"/>
      <x:c r="W682"/>
      <x:c r="X682"/>
      <x:c r="Y682"/>
      <x:c r="Z682"/>
      <x:c r="AA682"/>
      <x:c r="AB682"/>
      <x:c r="AC682"/>
      <x:c r="AD682"/>
      <x:c r="AE682"/>
      <x:c r="AF682"/>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C683"/>
      <x:c r="D683"/>
      <x:c r="E683"/>
      <x:c r="F683"/>
      <x:c r="G683"/>
      <x:c r="H683"/>
      <x:c r="I683"/>
      <x:c r="J683"/>
      <x:c r="K683"/>
      <x:c r="L683"/>
      <x:c r="M683"/>
      <x:c r="N683"/>
      <x:c r="O683"/>
      <x:c r="P683"/>
      <x:c r="Q683"/>
      <x:c r="R683"/>
      <x:c r="S683"/>
      <x:c r="T683"/>
      <x:c r="U683"/>
      <x:c r="V683"/>
      <x:c r="W683"/>
      <x:c r="X683"/>
      <x:c r="Y683"/>
      <x:c r="Z683"/>
      <x:c r="AA683"/>
      <x:c r="AB683"/>
      <x:c r="AC683"/>
      <x:c r="AD683"/>
      <x:c r="AE683"/>
      <x:c r="AF683"/>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x:c r="C684"/>
      <x:c r="D684"/>
      <x:c r="E684"/>
      <x:c r="F684"/>
      <x:c r="G684"/>
      <x:c r="H684"/>
      <x:c r="I684"/>
      <x:c r="J684"/>
      <x:c r="K684"/>
      <x:c r="L684"/>
      <x:c r="M684"/>
      <x:c r="N684"/>
      <x:c r="O684"/>
      <x:c r="P684"/>
      <x:c r="Q684"/>
      <x:c r="R684"/>
      <x:c r="S684"/>
      <x:c r="T684"/>
      <x:c r="U684"/>
      <x:c r="V684"/>
      <x:c r="W684"/>
      <x:c r="X684"/>
      <x:c r="Y684"/>
      <x:c r="Z684"/>
      <x:c r="AA684"/>
      <x:c r="AB684"/>
      <x:c r="AC684"/>
      <x:c r="AD684"/>
      <x:c r="AE684"/>
      <x:c r="AF684"/>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x:c r="C685"/>
      <x:c r="D685"/>
      <x:c r="E685"/>
      <x:c r="F685"/>
      <x:c r="G685"/>
      <x:c r="H685"/>
      <x:c r="I685"/>
      <x:c r="J685"/>
      <x:c r="K685"/>
      <x:c r="L685"/>
      <x:c r="M685"/>
      <x:c r="N685"/>
      <x:c r="O685"/>
      <x:c r="P685"/>
      <x:c r="Q685"/>
      <x:c r="R685"/>
      <x:c r="S685"/>
      <x:c r="T685"/>
      <x:c r="U685"/>
      <x:c r="V685"/>
      <x:c r="W685"/>
      <x:c r="X685"/>
      <x:c r="Y685"/>
      <x:c r="Z685"/>
      <x:c r="AA685"/>
      <x:c r="AB685"/>
      <x:c r="AC685"/>
      <x:c r="AD685"/>
      <x:c r="AE685"/>
      <x:c r="AF685"/>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x:c r="C686"/>
      <x:c r="D686"/>
      <x:c r="E686"/>
      <x:c r="F686"/>
      <x:c r="G686"/>
      <x:c r="H686"/>
      <x:c r="I686"/>
      <x:c r="J686"/>
      <x:c r="K686"/>
      <x:c r="L686"/>
      <x:c r="M686"/>
      <x:c r="N686"/>
      <x:c r="O686"/>
      <x:c r="P686"/>
      <x:c r="Q686"/>
      <x:c r="R686"/>
      <x:c r="S686"/>
      <x:c r="T686"/>
      <x:c r="U686"/>
      <x:c r="V686"/>
      <x:c r="W686"/>
      <x:c r="X686"/>
      <x:c r="Y686"/>
      <x:c r="Z686"/>
      <x:c r="AA686"/>
      <x:c r="AB686"/>
      <x:c r="AC686"/>
      <x:c r="AD686"/>
      <x:c r="AE686"/>
      <x:c r="AF686"/>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x:c r="C687"/>
      <x:c r="D687"/>
      <x:c r="E687"/>
      <x:c r="F687"/>
      <x:c r="G687"/>
      <x:c r="H687"/>
      <x:c r="I687"/>
      <x:c r="J687"/>
      <x:c r="K687"/>
      <x:c r="L687"/>
      <x:c r="M687"/>
      <x:c r="N687"/>
      <x:c r="O687"/>
      <x:c r="P687"/>
      <x:c r="Q687"/>
      <x:c r="R687"/>
      <x:c r="S687"/>
      <x:c r="T687"/>
      <x:c r="U687"/>
      <x:c r="V687"/>
      <x:c r="W687"/>
      <x:c r="X687"/>
      <x:c r="Y687"/>
      <x:c r="Z687"/>
      <x:c r="AA687"/>
      <x:c r="AB687"/>
      <x:c r="AC687"/>
      <x:c r="AD687"/>
      <x:c r="AE687"/>
      <x:c r="AF687"/>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x:c r="C688"/>
      <x:c r="D688"/>
      <x:c r="E688"/>
      <x:c r="F688"/>
      <x:c r="G688"/>
      <x:c r="H688"/>
      <x:c r="I688"/>
      <x:c r="J688"/>
      <x:c r="K688"/>
      <x:c r="L688"/>
      <x:c r="M688"/>
      <x:c r="N688"/>
      <x:c r="O688"/>
      <x:c r="P688"/>
      <x:c r="Q688"/>
      <x:c r="R688"/>
      <x:c r="S688"/>
      <x:c r="T688"/>
      <x:c r="U688"/>
      <x:c r="V688"/>
      <x:c r="W688"/>
      <x:c r="X688"/>
      <x:c r="Y688"/>
      <x:c r="Z688"/>
      <x:c r="AA688"/>
      <x:c r="AB688"/>
      <x:c r="AC688"/>
      <x:c r="AD688"/>
      <x:c r="AE688"/>
      <x:c r="AF688"/>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x:c r="C689"/>
      <x:c r="D689"/>
      <x:c r="E689"/>
      <x:c r="F689"/>
      <x:c r="G689"/>
      <x:c r="H689"/>
      <x:c r="I689"/>
      <x:c r="J689"/>
      <x:c r="K689"/>
      <x:c r="L689"/>
      <x:c r="M689"/>
      <x:c r="N689"/>
      <x:c r="O689"/>
      <x:c r="P689"/>
      <x:c r="Q689"/>
      <x:c r="R689"/>
      <x:c r="S689"/>
      <x:c r="T689"/>
      <x:c r="U689"/>
      <x:c r="V689"/>
      <x:c r="W689"/>
      <x:c r="X689"/>
      <x:c r="Y689"/>
      <x:c r="Z689"/>
      <x:c r="AA689"/>
      <x:c r="AB689"/>
      <x:c r="AC689"/>
      <x:c r="AD689"/>
      <x:c r="AE689"/>
      <x:c r="AF689"/>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C690"/>
      <x:c r="D690"/>
      <x:c r="E690"/>
      <x:c r="F690"/>
      <x:c r="G690"/>
      <x:c r="H690"/>
      <x:c r="I690"/>
      <x:c r="J690"/>
      <x:c r="K690"/>
      <x:c r="L690"/>
      <x:c r="M690"/>
      <x:c r="N690"/>
      <x:c r="O690"/>
      <x:c r="P690"/>
      <x:c r="Q690"/>
      <x:c r="R690"/>
      <x:c r="S690"/>
      <x:c r="T690"/>
      <x:c r="U690"/>
      <x:c r="V690"/>
      <x:c r="W690"/>
      <x:c r="X690"/>
      <x:c r="Y690"/>
      <x:c r="Z690"/>
      <x:c r="AA690"/>
      <x:c r="AB690"/>
      <x:c r="AC690"/>
      <x:c r="AD690"/>
      <x:c r="AE690"/>
      <x:c r="AF690"/>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x:c r="C691"/>
      <x:c r="D691"/>
      <x:c r="E691"/>
      <x:c r="F691"/>
      <x:c r="G691"/>
      <x:c r="H691"/>
      <x:c r="I691"/>
      <x:c r="J691"/>
      <x:c r="K691"/>
      <x:c r="L691"/>
      <x:c r="M691"/>
      <x:c r="N691"/>
      <x:c r="O691"/>
      <x:c r="P691"/>
      <x:c r="Q691"/>
      <x:c r="R691"/>
      <x:c r="S691"/>
      <x:c r="T691"/>
      <x:c r="U691"/>
      <x:c r="V691"/>
      <x:c r="W691"/>
      <x:c r="X691"/>
      <x:c r="Y691"/>
      <x:c r="Z691"/>
      <x:c r="AA691"/>
      <x:c r="AB691"/>
      <x:c r="AC691"/>
      <x:c r="AD691"/>
      <x:c r="AE691"/>
      <x:c r="AF691"/>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x:c r="C692"/>
      <x:c r="D692"/>
      <x:c r="E692"/>
      <x:c r="F692"/>
      <x:c r="G692"/>
      <x:c r="H692"/>
      <x:c r="I692"/>
      <x:c r="J692"/>
      <x:c r="K692"/>
      <x:c r="L692"/>
      <x:c r="M692"/>
      <x:c r="N692"/>
      <x:c r="O692"/>
      <x:c r="P692"/>
      <x:c r="Q692"/>
      <x:c r="R692"/>
      <x:c r="S692"/>
      <x:c r="T692"/>
      <x:c r="U692"/>
      <x:c r="V692"/>
      <x:c r="W692"/>
      <x:c r="X692"/>
      <x:c r="Y692"/>
      <x:c r="Z692"/>
      <x:c r="AA692"/>
      <x:c r="AB692"/>
      <x:c r="AC692"/>
      <x:c r="AD692"/>
      <x:c r="AE692"/>
      <x:c r="AF692"/>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x:c r="C693"/>
      <x:c r="D693"/>
      <x:c r="E693"/>
      <x:c r="F693"/>
      <x:c r="G693"/>
      <x:c r="H693"/>
      <x:c r="I693"/>
      <x:c r="J693"/>
      <x:c r="K693"/>
      <x:c r="L693"/>
      <x:c r="M693"/>
      <x:c r="N693"/>
      <x:c r="O693"/>
      <x:c r="P693"/>
      <x:c r="Q693"/>
      <x:c r="R693"/>
      <x:c r="S693"/>
      <x:c r="T693"/>
      <x:c r="U693"/>
      <x:c r="V693"/>
      <x:c r="W693"/>
      <x:c r="X693"/>
      <x:c r="Y693"/>
      <x:c r="Z693"/>
      <x:c r="AA693"/>
      <x:c r="AB693"/>
      <x:c r="AC693"/>
      <x:c r="AD693"/>
      <x:c r="AE693"/>
      <x:c r="AF693"/>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x:c r="C694"/>
      <x:c r="D694"/>
      <x:c r="E694"/>
      <x:c r="F694"/>
      <x:c r="G694"/>
      <x:c r="H694"/>
      <x:c r="I694"/>
      <x:c r="J694"/>
      <x:c r="K694"/>
      <x:c r="L694"/>
      <x:c r="M694"/>
      <x:c r="N694"/>
      <x:c r="O694"/>
      <x:c r="P694"/>
      <x:c r="Q694"/>
      <x:c r="R694"/>
      <x:c r="S694"/>
      <x:c r="T694"/>
      <x:c r="U694"/>
      <x:c r="V694"/>
      <x:c r="W694"/>
      <x:c r="X694"/>
      <x:c r="Y694"/>
      <x:c r="Z694"/>
      <x:c r="AA694"/>
      <x:c r="AB694"/>
      <x:c r="AC694"/>
      <x:c r="AD694"/>
      <x:c r="AE694"/>
      <x:c r="AF694"/>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x:c r="C695"/>
      <x:c r="D695"/>
      <x:c r="E695"/>
      <x:c r="F695"/>
      <x:c r="G695"/>
      <x:c r="H695"/>
      <x:c r="I695"/>
      <x:c r="J695"/>
      <x:c r="K695"/>
      <x:c r="L695"/>
      <x:c r="M695"/>
      <x:c r="N695"/>
      <x:c r="O695"/>
      <x:c r="P695"/>
      <x:c r="Q695"/>
      <x:c r="R695"/>
      <x:c r="S695"/>
      <x:c r="T695"/>
      <x:c r="U695"/>
      <x:c r="V695"/>
      <x:c r="W695"/>
      <x:c r="X695"/>
      <x:c r="Y695"/>
      <x:c r="Z695"/>
      <x:c r="AA695"/>
      <x:c r="AB695"/>
      <x:c r="AC695"/>
      <x:c r="AD695"/>
      <x:c r="AE695"/>
      <x:c r="AF695"/>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x:c r="C696"/>
      <x:c r="D696"/>
      <x:c r="E696"/>
      <x:c r="F696"/>
      <x:c r="G696"/>
      <x:c r="H696"/>
      <x:c r="I696"/>
      <x:c r="J696"/>
      <x:c r="K696"/>
      <x:c r="L696"/>
      <x:c r="M696"/>
      <x:c r="N696"/>
      <x:c r="O696"/>
      <x:c r="P696"/>
      <x:c r="Q696"/>
      <x:c r="R696"/>
      <x:c r="S696"/>
      <x:c r="T696"/>
      <x:c r="U696"/>
      <x:c r="V696"/>
      <x:c r="W696"/>
      <x:c r="X696"/>
      <x:c r="Y696"/>
      <x:c r="Z696"/>
      <x:c r="AA696"/>
      <x:c r="AB696"/>
      <x:c r="AC696"/>
      <x:c r="AD696"/>
      <x:c r="AE696"/>
      <x:c r="AF696"/>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x:c r="C697"/>
      <x:c r="D697"/>
      <x:c r="E697"/>
      <x:c r="F697"/>
      <x:c r="G697"/>
      <x:c r="H697"/>
      <x:c r="I697"/>
      <x:c r="J697"/>
      <x:c r="K697"/>
      <x:c r="L697"/>
      <x:c r="M697"/>
      <x:c r="N697"/>
      <x:c r="O697"/>
      <x:c r="P697"/>
      <x:c r="Q697"/>
      <x:c r="R697"/>
      <x:c r="S697"/>
      <x:c r="T697"/>
      <x:c r="U697"/>
      <x:c r="V697"/>
      <x:c r="W697"/>
      <x:c r="X697"/>
      <x:c r="Y697"/>
      <x:c r="Z697"/>
      <x:c r="AA697"/>
      <x:c r="AB697"/>
      <x:c r="AC697"/>
      <x:c r="AD697"/>
      <x:c r="AE697"/>
      <x:c r="AF697"/>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x:c r="C698"/>
      <x:c r="D698"/>
      <x:c r="E698"/>
      <x:c r="F698"/>
      <x:c r="G698"/>
      <x:c r="H698"/>
      <x:c r="I698"/>
      <x:c r="J698"/>
      <x:c r="K698"/>
      <x:c r="L698"/>
      <x:c r="M698"/>
      <x:c r="N698"/>
      <x:c r="O698"/>
      <x:c r="P698"/>
      <x:c r="Q698"/>
      <x:c r="R698"/>
      <x:c r="S698"/>
      <x:c r="T698"/>
      <x:c r="U698"/>
      <x:c r="V698"/>
      <x:c r="W698"/>
      <x:c r="X698"/>
      <x:c r="Y698"/>
      <x:c r="Z698"/>
      <x:c r="AA698"/>
      <x:c r="AB698"/>
      <x:c r="AC698"/>
      <x:c r="AD698"/>
      <x:c r="AE698"/>
      <x:c r="AF698"/>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x:c r="C699"/>
      <x:c r="D699"/>
      <x:c r="E699"/>
      <x:c r="F699"/>
      <x:c r="G699"/>
      <x:c r="H699"/>
      <x:c r="I699"/>
      <x:c r="J699"/>
      <x:c r="K699"/>
      <x:c r="L699"/>
      <x:c r="M699"/>
      <x:c r="N699"/>
      <x:c r="O699"/>
      <x:c r="P699"/>
      <x:c r="Q699"/>
      <x:c r="R699"/>
      <x:c r="S699"/>
      <x:c r="T699"/>
      <x:c r="U699"/>
      <x:c r="V699"/>
      <x:c r="W699"/>
      <x:c r="X699"/>
      <x:c r="Y699"/>
      <x:c r="Z699"/>
      <x:c r="AA699"/>
      <x:c r="AB699"/>
      <x:c r="AC699"/>
      <x:c r="AD699"/>
      <x:c r="AE699"/>
      <x:c r="AF699"/>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x:c r="C700"/>
      <x:c r="D700"/>
      <x:c r="E700"/>
      <x:c r="F700"/>
      <x:c r="G700"/>
      <x:c r="H700"/>
      <x:c r="I700"/>
      <x:c r="J700"/>
      <x:c r="K700"/>
      <x:c r="L700"/>
      <x:c r="M700"/>
      <x:c r="N700"/>
      <x:c r="O700"/>
      <x:c r="P700"/>
      <x:c r="Q700"/>
      <x:c r="R700"/>
      <x:c r="S700"/>
      <x:c r="T700"/>
      <x:c r="U700"/>
      <x:c r="V700"/>
      <x:c r="W700"/>
      <x:c r="X700"/>
      <x:c r="Y700"/>
      <x:c r="Z700"/>
      <x:c r="AA700"/>
      <x:c r="AB700"/>
      <x:c r="AC700"/>
      <x:c r="AD700"/>
      <x:c r="AE700"/>
      <x:c r="AF700"/>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x:c r="C701"/>
      <x:c r="D701"/>
      <x:c r="E701"/>
      <x:c r="F701"/>
      <x:c r="G701"/>
      <x:c r="H701"/>
      <x:c r="I701"/>
      <x:c r="J701"/>
      <x:c r="K701"/>
      <x:c r="L701"/>
      <x:c r="M701"/>
      <x:c r="N701"/>
      <x:c r="O701"/>
      <x:c r="P701"/>
      <x:c r="Q701"/>
      <x:c r="R701"/>
      <x:c r="S701"/>
      <x:c r="T701"/>
      <x:c r="U701"/>
      <x:c r="V701"/>
      <x:c r="W701"/>
      <x:c r="X701"/>
      <x:c r="Y701"/>
      <x:c r="Z701"/>
      <x:c r="AA701"/>
      <x:c r="AB701"/>
      <x:c r="AC701"/>
      <x:c r="AD701"/>
      <x:c r="AE701"/>
      <x:c r="AF701"/>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x:c r="C702"/>
      <x:c r="D702"/>
      <x:c r="E702"/>
      <x:c r="F702"/>
      <x:c r="G702"/>
      <x:c r="H702"/>
      <x:c r="I702"/>
      <x:c r="J702"/>
      <x:c r="K702"/>
      <x:c r="L702"/>
      <x:c r="M702"/>
      <x:c r="N702"/>
      <x:c r="O702"/>
      <x:c r="P702"/>
      <x:c r="Q702"/>
      <x:c r="R702"/>
      <x:c r="S702"/>
      <x:c r="T702"/>
      <x:c r="U702"/>
      <x:c r="V702"/>
      <x:c r="W702"/>
      <x:c r="X702"/>
      <x:c r="Y702"/>
      <x:c r="Z702"/>
      <x:c r="AA702"/>
      <x:c r="AB702"/>
      <x:c r="AC702"/>
      <x:c r="AD702"/>
      <x:c r="AE702"/>
      <x:c r="AF702"/>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x:c r="C703"/>
      <x:c r="D703"/>
      <x:c r="E703"/>
      <x:c r="F703"/>
      <x:c r="G703"/>
      <x:c r="H703"/>
      <x:c r="I703"/>
      <x:c r="J703"/>
      <x:c r="K703"/>
      <x:c r="L703"/>
      <x:c r="M703"/>
      <x:c r="N703"/>
      <x:c r="O703"/>
      <x:c r="P703"/>
      <x:c r="Q703"/>
      <x:c r="R703"/>
      <x:c r="S703"/>
      <x:c r="T703"/>
      <x:c r="U703"/>
      <x:c r="V703"/>
      <x:c r="W703"/>
      <x:c r="X703"/>
      <x:c r="Y703"/>
      <x:c r="Z703"/>
      <x:c r="AA703"/>
      <x:c r="AB703"/>
      <x:c r="AC703"/>
      <x:c r="AD703"/>
      <x:c r="AE703"/>
      <x:c r="AF703"/>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x:c r="C704"/>
      <x:c r="D704"/>
      <x:c r="E704"/>
      <x:c r="F704"/>
      <x:c r="G704"/>
      <x:c r="H704"/>
      <x:c r="I704"/>
      <x:c r="J704"/>
      <x:c r="K704"/>
      <x:c r="L704"/>
      <x:c r="M704"/>
      <x:c r="N704"/>
      <x:c r="O704"/>
      <x:c r="P704"/>
      <x:c r="Q704"/>
      <x:c r="R704"/>
      <x:c r="S704"/>
      <x:c r="T704"/>
      <x:c r="U704"/>
      <x:c r="V704"/>
      <x:c r="W704"/>
      <x:c r="X704"/>
      <x:c r="Y704"/>
      <x:c r="Z704"/>
      <x:c r="AA704"/>
      <x:c r="AB704"/>
      <x:c r="AC704"/>
      <x:c r="AD704"/>
      <x:c r="AE704"/>
      <x:c r="AF704"/>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x:c r="C705"/>
      <x:c r="D705"/>
      <x:c r="E705"/>
      <x:c r="F705"/>
      <x:c r="G705"/>
      <x:c r="H705"/>
      <x:c r="I705"/>
      <x:c r="J705"/>
      <x:c r="K705"/>
      <x:c r="L705"/>
      <x:c r="M705"/>
      <x:c r="N705"/>
      <x:c r="O705"/>
      <x:c r="P705"/>
      <x:c r="Q705"/>
      <x:c r="R705"/>
      <x:c r="S705"/>
      <x:c r="T705"/>
      <x:c r="U705"/>
      <x:c r="V705"/>
      <x:c r="W705"/>
      <x:c r="X705"/>
      <x:c r="Y705"/>
      <x:c r="Z705"/>
      <x:c r="AA705"/>
      <x:c r="AB705"/>
      <x:c r="AC705"/>
      <x:c r="AD705"/>
      <x:c r="AE705"/>
      <x:c r="AF705"/>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C706"/>
      <x:c r="D706"/>
      <x:c r="E706"/>
      <x:c r="F706"/>
      <x:c r="G706"/>
      <x:c r="H706"/>
      <x:c r="I706"/>
      <x:c r="J706"/>
      <x:c r="K706"/>
      <x:c r="L706"/>
      <x:c r="M706"/>
      <x:c r="N706"/>
      <x:c r="O706"/>
      <x:c r="P706"/>
      <x:c r="Q706"/>
      <x:c r="R706"/>
      <x:c r="S706"/>
      <x:c r="T706"/>
      <x:c r="U706"/>
      <x:c r="V706"/>
      <x:c r="W706"/>
      <x:c r="X706"/>
      <x:c r="Y706"/>
      <x:c r="Z706"/>
      <x:c r="AA706"/>
      <x:c r="AB706"/>
      <x:c r="AC706"/>
      <x:c r="AD706"/>
      <x:c r="AE706"/>
      <x:c r="AF706"/>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x:c r="C707"/>
      <x:c r="D707"/>
      <x:c r="E707"/>
      <x:c r="F707"/>
      <x:c r="G707"/>
      <x:c r="H707"/>
      <x:c r="I707"/>
      <x:c r="J707"/>
      <x:c r="K707"/>
      <x:c r="L707"/>
      <x:c r="M707"/>
      <x:c r="N707"/>
      <x:c r="O707"/>
      <x:c r="P707"/>
      <x:c r="Q707"/>
      <x:c r="R707"/>
      <x:c r="S707"/>
      <x:c r="T707"/>
      <x:c r="U707"/>
      <x:c r="V707"/>
      <x:c r="W707"/>
      <x:c r="X707"/>
      <x:c r="Y707"/>
      <x:c r="Z707"/>
      <x:c r="AA707"/>
      <x:c r="AB707"/>
      <x:c r="AC707"/>
      <x:c r="AD707"/>
      <x:c r="AE707"/>
      <x:c r="AF707"/>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C708"/>
      <x:c r="D708"/>
      <x:c r="E708"/>
      <x:c r="F708"/>
      <x:c r="G708"/>
      <x:c r="H708"/>
      <x:c r="I708"/>
      <x:c r="J708"/>
      <x:c r="K708"/>
      <x:c r="L708"/>
      <x:c r="M708"/>
      <x:c r="N708"/>
      <x:c r="O708"/>
      <x:c r="P708"/>
      <x:c r="Q708"/>
      <x:c r="R708"/>
      <x:c r="S708"/>
      <x:c r="T708"/>
      <x:c r="U708"/>
      <x:c r="V708"/>
      <x:c r="W708"/>
      <x:c r="X708"/>
      <x:c r="Y708"/>
      <x:c r="Z708"/>
      <x:c r="AA708"/>
      <x:c r="AB708"/>
      <x:c r="AC708"/>
      <x:c r="AD708"/>
      <x:c r="AE708"/>
      <x:c r="AF708"/>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x:c r="C709"/>
      <x:c r="D709"/>
      <x:c r="E709"/>
      <x:c r="F709"/>
      <x:c r="G709"/>
      <x:c r="H709"/>
      <x:c r="I709"/>
      <x:c r="J709"/>
      <x:c r="K709"/>
      <x:c r="L709"/>
      <x:c r="M709"/>
      <x:c r="N709"/>
      <x:c r="O709"/>
      <x:c r="P709"/>
      <x:c r="Q709"/>
      <x:c r="R709"/>
      <x:c r="S709"/>
      <x:c r="T709"/>
      <x:c r="U709"/>
      <x:c r="V709"/>
      <x:c r="W709"/>
      <x:c r="X709"/>
      <x:c r="Y709"/>
      <x:c r="Z709"/>
      <x:c r="AA709"/>
      <x:c r="AB709"/>
      <x:c r="AC709"/>
      <x:c r="AD709"/>
      <x:c r="AE709"/>
      <x:c r="AF709"/>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x:c r="C710"/>
      <x:c r="D710"/>
      <x:c r="E710"/>
      <x:c r="F710"/>
      <x:c r="G710"/>
      <x:c r="H710"/>
      <x:c r="I710"/>
      <x:c r="J710"/>
      <x:c r="K710"/>
      <x:c r="L710"/>
      <x:c r="M710"/>
      <x:c r="N710"/>
      <x:c r="O710"/>
      <x:c r="P710"/>
      <x:c r="Q710"/>
      <x:c r="R710"/>
      <x:c r="S710"/>
      <x:c r="T710"/>
      <x:c r="U710"/>
      <x:c r="V710"/>
      <x:c r="W710"/>
      <x:c r="X710"/>
      <x:c r="Y710"/>
      <x:c r="Z710"/>
      <x:c r="AA710"/>
      <x:c r="AB710"/>
      <x:c r="AC710"/>
      <x:c r="AD710"/>
      <x:c r="AE710"/>
      <x:c r="AF710"/>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x:c r="C711"/>
      <x:c r="D711"/>
      <x:c r="E711"/>
      <x:c r="F711"/>
      <x:c r="G711"/>
      <x:c r="H711"/>
      <x:c r="I711"/>
      <x:c r="J711"/>
      <x:c r="K711"/>
      <x:c r="L711"/>
      <x:c r="M711"/>
      <x:c r="N711"/>
      <x:c r="O711"/>
      <x:c r="P711"/>
      <x:c r="Q711"/>
      <x:c r="R711"/>
      <x:c r="S711"/>
      <x:c r="T711"/>
      <x:c r="U711"/>
      <x:c r="V711"/>
      <x:c r="W711"/>
      <x:c r="X711"/>
      <x:c r="Y711"/>
      <x:c r="Z711"/>
      <x:c r="AA711"/>
      <x:c r="AB711"/>
      <x:c r="AC711"/>
      <x:c r="AD711"/>
      <x:c r="AE711"/>
      <x:c r="AF711"/>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x:c r="C712"/>
      <x:c r="D712"/>
      <x:c r="E712"/>
      <x:c r="F712"/>
      <x:c r="G712"/>
      <x:c r="H712"/>
      <x:c r="I712"/>
      <x:c r="J712"/>
      <x:c r="K712"/>
      <x:c r="L712"/>
      <x:c r="M712"/>
      <x:c r="N712"/>
      <x:c r="O712"/>
      <x:c r="P712"/>
      <x:c r="Q712"/>
      <x:c r="R712"/>
      <x:c r="S712"/>
      <x:c r="T712"/>
      <x:c r="U712"/>
      <x:c r="V712"/>
      <x:c r="W712"/>
      <x:c r="X712"/>
      <x:c r="Y712"/>
      <x:c r="Z712"/>
      <x:c r="AA712"/>
      <x:c r="AB712"/>
      <x:c r="AC712"/>
      <x:c r="AD712"/>
      <x:c r="AE712"/>
      <x:c r="AF712"/>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x:c r="C713"/>
      <x:c r="D713"/>
      <x:c r="E713"/>
      <x:c r="F713"/>
      <x:c r="G713"/>
      <x:c r="H713"/>
      <x:c r="I713"/>
      <x:c r="J713"/>
      <x:c r="K713"/>
      <x:c r="L713"/>
      <x:c r="M713"/>
      <x:c r="N713"/>
      <x:c r="O713"/>
      <x:c r="P713"/>
      <x:c r="Q713"/>
      <x:c r="R713"/>
      <x:c r="S713"/>
      <x:c r="T713"/>
      <x:c r="U713"/>
      <x:c r="V713"/>
      <x:c r="W713"/>
      <x:c r="X713"/>
      <x:c r="Y713"/>
      <x:c r="Z713"/>
      <x:c r="AA713"/>
      <x:c r="AB713"/>
      <x:c r="AC713"/>
      <x:c r="AD713"/>
      <x:c r="AE713"/>
      <x:c r="AF713"/>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x:c r="C714"/>
      <x:c r="D714"/>
      <x:c r="E714"/>
      <x:c r="F714"/>
      <x:c r="G714"/>
      <x:c r="H714"/>
      <x:c r="I714"/>
      <x:c r="J714"/>
      <x:c r="K714"/>
      <x:c r="L714"/>
      <x:c r="M714"/>
      <x:c r="N714"/>
      <x:c r="O714"/>
      <x:c r="P714"/>
      <x:c r="Q714"/>
      <x:c r="R714"/>
      <x:c r="S714"/>
      <x:c r="T714"/>
      <x:c r="U714"/>
      <x:c r="V714"/>
      <x:c r="W714"/>
      <x:c r="X714"/>
      <x:c r="Y714"/>
      <x:c r="Z714"/>
      <x:c r="AA714"/>
      <x:c r="AB714"/>
      <x:c r="AC714"/>
      <x:c r="AD714"/>
      <x:c r="AE714"/>
      <x:c r="AF714"/>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x:c r="C715"/>
      <x:c r="D715"/>
      <x:c r="E715"/>
      <x:c r="F715"/>
      <x:c r="G715"/>
      <x:c r="H715"/>
      <x:c r="I715"/>
      <x:c r="J715"/>
      <x:c r="K715"/>
      <x:c r="L715"/>
      <x:c r="M715"/>
      <x:c r="N715"/>
      <x:c r="O715"/>
      <x:c r="P715"/>
      <x:c r="Q715"/>
      <x:c r="R715"/>
      <x:c r="S715"/>
      <x:c r="T715"/>
      <x:c r="U715"/>
      <x:c r="V715"/>
      <x:c r="W715"/>
      <x:c r="X715"/>
      <x:c r="Y715"/>
      <x:c r="Z715"/>
      <x:c r="AA715"/>
      <x:c r="AB715"/>
      <x:c r="AC715"/>
      <x:c r="AD715"/>
      <x:c r="AE715"/>
      <x:c r="AF715"/>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C716"/>
      <x:c r="D716"/>
      <x:c r="E716"/>
      <x:c r="F716"/>
      <x:c r="G716"/>
      <x:c r="H716"/>
      <x:c r="I716"/>
      <x:c r="J716"/>
      <x:c r="K716"/>
      <x:c r="L716"/>
      <x:c r="M716"/>
      <x:c r="N716"/>
      <x:c r="O716"/>
      <x:c r="P716"/>
      <x:c r="Q716"/>
      <x:c r="R716"/>
      <x:c r="S716"/>
      <x:c r="T716"/>
      <x:c r="U716"/>
      <x:c r="V716"/>
      <x:c r="W716"/>
      <x:c r="X716"/>
      <x:c r="Y716"/>
      <x:c r="Z716"/>
      <x:c r="AA716"/>
      <x:c r="AB716"/>
      <x:c r="AC716"/>
      <x:c r="AD716"/>
      <x:c r="AE716"/>
      <x:c r="AF716"/>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x:c r="C717"/>
      <x:c r="D717"/>
      <x:c r="E717"/>
      <x:c r="F717"/>
      <x:c r="G717"/>
      <x:c r="H717"/>
      <x:c r="I717"/>
      <x:c r="J717"/>
      <x:c r="K717"/>
      <x:c r="L717"/>
      <x:c r="M717"/>
      <x:c r="N717"/>
      <x:c r="O717"/>
      <x:c r="P717"/>
      <x:c r="Q717"/>
      <x:c r="R717"/>
      <x:c r="S717"/>
      <x:c r="T717"/>
      <x:c r="U717"/>
      <x:c r="V717"/>
      <x:c r="W717"/>
      <x:c r="X717"/>
      <x:c r="Y717"/>
      <x:c r="Z717"/>
      <x:c r="AA717"/>
      <x:c r="AB717"/>
      <x:c r="AC717"/>
      <x:c r="AD717"/>
      <x:c r="AE717"/>
      <x:c r="AF717"/>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x:c r="C718"/>
      <x:c r="D718"/>
      <x:c r="E718"/>
      <x:c r="F718"/>
      <x:c r="G718"/>
      <x:c r="H718"/>
      <x:c r="I718"/>
      <x:c r="J718"/>
      <x:c r="K718"/>
      <x:c r="L718"/>
      <x:c r="M718"/>
      <x:c r="N718"/>
      <x:c r="O718"/>
      <x:c r="P718"/>
      <x:c r="Q718"/>
      <x:c r="R718"/>
      <x:c r="S718"/>
      <x:c r="T718"/>
      <x:c r="U718"/>
      <x:c r="V718"/>
      <x:c r="W718"/>
      <x:c r="X718"/>
      <x:c r="Y718"/>
      <x:c r="Z718"/>
      <x:c r="AA718"/>
      <x:c r="AB718"/>
      <x:c r="AC718"/>
      <x:c r="AD718"/>
      <x:c r="AE718"/>
      <x:c r="AF718"/>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x:c r="C719"/>
      <x:c r="D719"/>
      <x:c r="E719"/>
      <x:c r="F719"/>
      <x:c r="G719"/>
      <x:c r="H719"/>
      <x:c r="I719"/>
      <x:c r="J719"/>
      <x:c r="K719"/>
      <x:c r="L719"/>
      <x:c r="M719"/>
      <x:c r="N719"/>
      <x:c r="O719"/>
      <x:c r="P719"/>
      <x:c r="Q719"/>
      <x:c r="R719"/>
      <x:c r="S719"/>
      <x:c r="T719"/>
      <x:c r="U719"/>
      <x:c r="V719"/>
      <x:c r="W719"/>
      <x:c r="X719"/>
      <x:c r="Y719"/>
      <x:c r="Z719"/>
      <x:c r="AA719"/>
      <x:c r="AB719"/>
      <x:c r="AC719"/>
      <x:c r="AD719"/>
      <x:c r="AE719"/>
      <x:c r="AF719"/>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x:c r="C720"/>
      <x:c r="D720"/>
      <x:c r="E720"/>
      <x:c r="F720"/>
      <x:c r="G720"/>
      <x:c r="H720"/>
      <x:c r="I720"/>
      <x:c r="J720"/>
      <x:c r="K720"/>
      <x:c r="L720"/>
      <x:c r="M720"/>
      <x:c r="N720"/>
      <x:c r="O720"/>
      <x:c r="P720"/>
      <x:c r="Q720"/>
      <x:c r="R720"/>
      <x:c r="S720"/>
      <x:c r="T720"/>
      <x:c r="U720"/>
      <x:c r="V720"/>
      <x:c r="W720"/>
      <x:c r="X720"/>
      <x:c r="Y720"/>
      <x:c r="Z720"/>
      <x:c r="AA720"/>
      <x:c r="AB720"/>
      <x:c r="AC720"/>
      <x:c r="AD720"/>
      <x:c r="AE720"/>
      <x:c r="AF720"/>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C721"/>
      <x:c r="D721"/>
      <x:c r="E721"/>
      <x:c r="F721"/>
      <x:c r="G721"/>
      <x:c r="H721"/>
      <x:c r="I721"/>
      <x:c r="J721"/>
      <x:c r="K721"/>
      <x:c r="L721"/>
      <x:c r="M721"/>
      <x:c r="N721"/>
      <x:c r="O721"/>
      <x:c r="P721"/>
      <x:c r="Q721"/>
      <x:c r="R721"/>
      <x:c r="S721"/>
      <x:c r="T721"/>
      <x:c r="U721"/>
      <x:c r="V721"/>
      <x:c r="W721"/>
      <x:c r="X721"/>
      <x:c r="Y721"/>
      <x:c r="Z721"/>
      <x:c r="AA721"/>
      <x:c r="AB721"/>
      <x:c r="AC721"/>
      <x:c r="AD721"/>
      <x:c r="AE721"/>
      <x:c r="AF721"/>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x:c r="C722"/>
      <x:c r="D722"/>
      <x:c r="E722"/>
      <x:c r="F722"/>
      <x:c r="G722"/>
      <x:c r="H722"/>
      <x:c r="I722"/>
      <x:c r="J722"/>
      <x:c r="K722"/>
      <x:c r="L722"/>
      <x:c r="M722"/>
      <x:c r="N722"/>
      <x:c r="O722"/>
      <x:c r="P722"/>
      <x:c r="Q722"/>
      <x:c r="R722"/>
      <x:c r="S722"/>
      <x:c r="T722"/>
      <x:c r="U722"/>
      <x:c r="V722"/>
      <x:c r="W722"/>
      <x:c r="X722"/>
      <x:c r="Y722"/>
      <x:c r="Z722"/>
      <x:c r="AA722"/>
      <x:c r="AB722"/>
      <x:c r="AC722"/>
      <x:c r="AD722"/>
      <x:c r="AE722"/>
      <x:c r="AF722"/>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x:c r="C723"/>
      <x:c r="D723"/>
      <x:c r="E723"/>
      <x:c r="F723"/>
      <x:c r="G723"/>
      <x:c r="H723"/>
      <x:c r="I723"/>
      <x:c r="J723"/>
      <x:c r="K723"/>
      <x:c r="L723"/>
      <x:c r="M723"/>
      <x:c r="N723"/>
      <x:c r="O723"/>
      <x:c r="P723"/>
      <x:c r="Q723"/>
      <x:c r="R723"/>
      <x:c r="S723"/>
      <x:c r="T723"/>
      <x:c r="U723"/>
      <x:c r="V723"/>
      <x:c r="W723"/>
      <x:c r="X723"/>
      <x:c r="Y723"/>
      <x:c r="Z723"/>
      <x:c r="AA723"/>
      <x:c r="AB723"/>
      <x:c r="AC723"/>
      <x:c r="AD723"/>
      <x:c r="AE723"/>
      <x:c r="AF723"/>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x:c r="C724"/>
      <x:c r="D724"/>
      <x:c r="E724"/>
      <x:c r="F724"/>
      <x:c r="G724"/>
      <x:c r="H724"/>
      <x:c r="I724"/>
      <x:c r="J724"/>
      <x:c r="K724"/>
      <x:c r="L724"/>
      <x:c r="M724"/>
      <x:c r="N724"/>
      <x:c r="O724"/>
      <x:c r="P724"/>
      <x:c r="Q724"/>
      <x:c r="R724"/>
      <x:c r="S724"/>
      <x:c r="T724"/>
      <x:c r="U724"/>
      <x:c r="V724"/>
      <x:c r="W724"/>
      <x:c r="X724"/>
      <x:c r="Y724"/>
      <x:c r="Z724"/>
      <x:c r="AA724"/>
      <x:c r="AB724"/>
      <x:c r="AC724"/>
      <x:c r="AD724"/>
      <x:c r="AE724"/>
      <x:c r="AF724"/>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x:c r="C725"/>
      <x:c r="D725"/>
      <x:c r="E725"/>
      <x:c r="F725"/>
      <x:c r="G725"/>
      <x:c r="H725"/>
      <x:c r="I725"/>
      <x:c r="J725"/>
      <x:c r="K725"/>
      <x:c r="L725"/>
      <x:c r="M725"/>
      <x:c r="N725"/>
      <x:c r="O725"/>
      <x:c r="P725"/>
      <x:c r="Q725"/>
      <x:c r="R725"/>
      <x:c r="S725"/>
      <x:c r="T725"/>
      <x:c r="U725"/>
      <x:c r="V725"/>
      <x:c r="W725"/>
      <x:c r="X725"/>
      <x:c r="Y725"/>
      <x:c r="Z725"/>
      <x:c r="AA725"/>
      <x:c r="AB725"/>
      <x:c r="AC725"/>
      <x:c r="AD725"/>
      <x:c r="AE725"/>
      <x:c r="AF725"/>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x:c r="C726"/>
      <x:c r="D726"/>
      <x:c r="E726"/>
      <x:c r="F726"/>
      <x:c r="G726"/>
      <x:c r="H726"/>
      <x:c r="I726"/>
      <x:c r="J726"/>
      <x:c r="K726"/>
      <x:c r="L726"/>
      <x:c r="M726"/>
      <x:c r="N726"/>
      <x:c r="O726"/>
      <x:c r="P726"/>
      <x:c r="Q726"/>
      <x:c r="R726"/>
      <x:c r="S726"/>
      <x:c r="T726"/>
      <x:c r="U726"/>
      <x:c r="V726"/>
      <x:c r="W726"/>
      <x:c r="X726"/>
      <x:c r="Y726"/>
      <x:c r="Z726"/>
      <x:c r="AA726"/>
      <x:c r="AB726"/>
      <x:c r="AC726"/>
      <x:c r="AD726"/>
      <x:c r="AE726"/>
      <x:c r="AF726"/>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x:c r="C727"/>
      <x:c r="D727"/>
      <x:c r="E727"/>
      <x:c r="F727"/>
      <x:c r="G727"/>
      <x:c r="H727"/>
      <x:c r="I727"/>
      <x:c r="J727"/>
      <x:c r="K727"/>
      <x:c r="L727"/>
      <x:c r="M727"/>
      <x:c r="N727"/>
      <x:c r="O727"/>
      <x:c r="P727"/>
      <x:c r="Q727"/>
      <x:c r="R727"/>
      <x:c r="S727"/>
      <x:c r="T727"/>
      <x:c r="U727"/>
      <x:c r="V727"/>
      <x:c r="W727"/>
      <x:c r="X727"/>
      <x:c r="Y727"/>
      <x:c r="Z727"/>
      <x:c r="AA727"/>
      <x:c r="AB727"/>
      <x:c r="AC727"/>
      <x:c r="AD727"/>
      <x:c r="AE727"/>
      <x:c r="AF727"/>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x:c r="C728"/>
      <x:c r="D728"/>
      <x:c r="E728"/>
      <x:c r="F728"/>
      <x:c r="G728"/>
      <x:c r="H728"/>
      <x:c r="I728"/>
      <x:c r="J728"/>
      <x:c r="K728"/>
      <x:c r="L728"/>
      <x:c r="M728"/>
      <x:c r="N728"/>
      <x:c r="O728"/>
      <x:c r="P728"/>
      <x:c r="Q728"/>
      <x:c r="R728"/>
      <x:c r="S728"/>
      <x:c r="T728"/>
      <x:c r="U728"/>
      <x:c r="V728"/>
      <x:c r="W728"/>
      <x:c r="X728"/>
      <x:c r="Y728"/>
      <x:c r="Z728"/>
      <x:c r="AA728"/>
      <x:c r="AB728"/>
      <x:c r="AC728"/>
      <x:c r="AD728"/>
      <x:c r="AE728"/>
      <x:c r="AF728"/>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x:c r="C729"/>
      <x:c r="D729"/>
      <x:c r="E729"/>
      <x:c r="F729"/>
      <x:c r="G729"/>
      <x:c r="H729"/>
      <x:c r="I729"/>
      <x:c r="J729"/>
      <x:c r="K729"/>
      <x:c r="L729"/>
      <x:c r="M729"/>
      <x:c r="N729"/>
      <x:c r="O729"/>
      <x:c r="P729"/>
      <x:c r="Q729"/>
      <x:c r="R729"/>
      <x:c r="S729"/>
      <x:c r="T729"/>
      <x:c r="U729"/>
      <x:c r="V729"/>
      <x:c r="W729"/>
      <x:c r="X729"/>
      <x:c r="Y729"/>
      <x:c r="Z729"/>
      <x:c r="AA729"/>
      <x:c r="AB729"/>
      <x:c r="AC729"/>
      <x:c r="AD729"/>
      <x:c r="AE729"/>
      <x:c r="AF729"/>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C730"/>
      <x:c r="D730"/>
      <x:c r="E730"/>
      <x:c r="F730"/>
      <x:c r="G730"/>
      <x:c r="H730"/>
      <x:c r="I730"/>
      <x:c r="J730"/>
      <x:c r="K730"/>
      <x:c r="L730"/>
      <x:c r="M730"/>
      <x:c r="N730"/>
      <x:c r="O730"/>
      <x:c r="P730"/>
      <x:c r="Q730"/>
      <x:c r="R730"/>
      <x:c r="S730"/>
      <x:c r="T730"/>
      <x:c r="U730"/>
      <x:c r="V730"/>
      <x:c r="W730"/>
      <x:c r="X730"/>
      <x:c r="Y730"/>
      <x:c r="Z730"/>
      <x:c r="AA730"/>
      <x:c r="AB730"/>
      <x:c r="AC730"/>
      <x:c r="AD730"/>
      <x:c r="AE730"/>
      <x:c r="AF730"/>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x:c r="C731"/>
      <x:c r="D731"/>
      <x:c r="E731"/>
      <x:c r="F731"/>
      <x:c r="G731"/>
      <x:c r="H731"/>
      <x:c r="I731"/>
      <x:c r="J731"/>
      <x:c r="K731"/>
      <x:c r="L731"/>
      <x:c r="M731"/>
      <x:c r="N731"/>
      <x:c r="O731"/>
      <x:c r="P731"/>
      <x:c r="Q731"/>
      <x:c r="R731"/>
      <x:c r="S731"/>
      <x:c r="T731"/>
      <x:c r="U731"/>
      <x:c r="V731"/>
      <x:c r="W731"/>
      <x:c r="X731"/>
      <x:c r="Y731"/>
      <x:c r="Z731"/>
      <x:c r="AA731"/>
      <x:c r="AB731"/>
      <x:c r="AC731"/>
      <x:c r="AD731"/>
      <x:c r="AE731"/>
      <x:c r="AF731"/>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C732"/>
      <x:c r="D732"/>
      <x:c r="E732"/>
      <x:c r="F732"/>
      <x:c r="G732"/>
      <x:c r="H732"/>
      <x:c r="I732"/>
      <x:c r="J732"/>
      <x:c r="K732"/>
      <x:c r="L732"/>
      <x:c r="M732"/>
      <x:c r="N732"/>
      <x:c r="O732"/>
      <x:c r="P732"/>
      <x:c r="Q732"/>
      <x:c r="R732"/>
      <x:c r="S732"/>
      <x:c r="T732"/>
      <x:c r="U732"/>
      <x:c r="V732"/>
      <x:c r="W732"/>
      <x:c r="X732"/>
      <x:c r="Y732"/>
      <x:c r="Z732"/>
      <x:c r="AA732"/>
      <x:c r="AB732"/>
      <x:c r="AC732"/>
      <x:c r="AD732"/>
      <x:c r="AE732"/>
      <x:c r="AF732"/>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x:c r="C733"/>
      <x:c r="D733"/>
      <x:c r="E733"/>
      <x:c r="F733"/>
      <x:c r="G733"/>
      <x:c r="H733"/>
      <x:c r="I733"/>
      <x:c r="J733"/>
      <x:c r="K733"/>
      <x:c r="L733"/>
      <x:c r="M733"/>
      <x:c r="N733"/>
      <x:c r="O733"/>
      <x:c r="P733"/>
      <x:c r="Q733"/>
      <x:c r="R733"/>
      <x:c r="S733"/>
      <x:c r="T733"/>
      <x:c r="U733"/>
      <x:c r="V733"/>
      <x:c r="W733"/>
      <x:c r="X733"/>
      <x:c r="Y733"/>
      <x:c r="Z733"/>
      <x:c r="AA733"/>
      <x:c r="AB733"/>
      <x:c r="AC733"/>
      <x:c r="AD733"/>
      <x:c r="AE733"/>
      <x:c r="AF733"/>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x:c r="C734"/>
      <x:c r="D734"/>
      <x:c r="E734"/>
      <x:c r="F734"/>
      <x:c r="G734"/>
      <x:c r="H734"/>
      <x:c r="I734"/>
      <x:c r="J734"/>
      <x:c r="K734"/>
      <x:c r="L734"/>
      <x:c r="M734"/>
      <x:c r="N734"/>
      <x:c r="O734"/>
      <x:c r="P734"/>
      <x:c r="Q734"/>
      <x:c r="R734"/>
      <x:c r="S734"/>
      <x:c r="T734"/>
      <x:c r="U734"/>
      <x:c r="V734"/>
      <x:c r="W734"/>
      <x:c r="X734"/>
      <x:c r="Y734"/>
      <x:c r="Z734"/>
      <x:c r="AA734"/>
      <x:c r="AB734"/>
      <x:c r="AC734"/>
      <x:c r="AD734"/>
      <x:c r="AE734"/>
      <x:c r="AF734"/>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C735"/>
      <x:c r="D735"/>
      <x:c r="E735"/>
      <x:c r="F735"/>
      <x:c r="G735"/>
      <x:c r="H735"/>
      <x:c r="I735"/>
      <x:c r="J735"/>
      <x:c r="K735"/>
      <x:c r="L735"/>
      <x:c r="M735"/>
      <x:c r="N735"/>
      <x:c r="O735"/>
      <x:c r="P735"/>
      <x:c r="Q735"/>
      <x:c r="R735"/>
      <x:c r="S735"/>
      <x:c r="T735"/>
      <x:c r="U735"/>
      <x:c r="V735"/>
      <x:c r="W735"/>
      <x:c r="X735"/>
      <x:c r="Y735"/>
      <x:c r="Z735"/>
      <x:c r="AA735"/>
      <x:c r="AB735"/>
      <x:c r="AC735"/>
      <x:c r="AD735"/>
      <x:c r="AE735"/>
      <x:c r="AF735"/>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x:c r="C736"/>
      <x:c r="D736"/>
      <x:c r="E736"/>
      <x:c r="F736"/>
      <x:c r="G736"/>
      <x:c r="H736"/>
      <x:c r="I736"/>
      <x:c r="J736"/>
      <x:c r="K736"/>
      <x:c r="L736"/>
      <x:c r="M736"/>
      <x:c r="N736"/>
      <x:c r="O736"/>
      <x:c r="P736"/>
      <x:c r="Q736"/>
      <x:c r="R736"/>
      <x:c r="S736"/>
      <x:c r="T736"/>
      <x:c r="U736"/>
      <x:c r="V736"/>
      <x:c r="W736"/>
      <x:c r="X736"/>
      <x:c r="Y736"/>
      <x:c r="Z736"/>
      <x:c r="AA736"/>
      <x:c r="AB736"/>
      <x:c r="AC736"/>
      <x:c r="AD736"/>
      <x:c r="AE736"/>
      <x:c r="AF736"/>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x:c r="C737"/>
      <x:c r="D737"/>
      <x:c r="E737"/>
      <x:c r="F737"/>
      <x:c r="G737"/>
      <x:c r="H737"/>
      <x:c r="I737"/>
      <x:c r="J737"/>
      <x:c r="K737"/>
      <x:c r="L737"/>
      <x:c r="M737"/>
      <x:c r="N737"/>
      <x:c r="O737"/>
      <x:c r="P737"/>
      <x:c r="Q737"/>
      <x:c r="R737"/>
      <x:c r="S737"/>
      <x:c r="T737"/>
      <x:c r="U737"/>
      <x:c r="V737"/>
      <x:c r="W737"/>
      <x:c r="X737"/>
      <x:c r="Y737"/>
      <x:c r="Z737"/>
      <x:c r="AA737"/>
      <x:c r="AB737"/>
      <x:c r="AC737"/>
      <x:c r="AD737"/>
      <x:c r="AE737"/>
      <x:c r="AF737"/>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x:c r="C738"/>
      <x:c r="D738"/>
      <x:c r="E738"/>
      <x:c r="F738"/>
      <x:c r="G738"/>
      <x:c r="H738"/>
      <x:c r="I738"/>
      <x:c r="J738"/>
      <x:c r="K738"/>
      <x:c r="L738"/>
      <x:c r="M738"/>
      <x:c r="N738"/>
      <x:c r="O738"/>
      <x:c r="P738"/>
      <x:c r="Q738"/>
      <x:c r="R738"/>
      <x:c r="S738"/>
      <x:c r="T738"/>
      <x:c r="U738"/>
      <x:c r="V738"/>
      <x:c r="W738"/>
      <x:c r="X738"/>
      <x:c r="Y738"/>
      <x:c r="Z738"/>
      <x:c r="AA738"/>
      <x:c r="AB738"/>
      <x:c r="AC738"/>
      <x:c r="AD738"/>
      <x:c r="AE738"/>
      <x:c r="AF738"/>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x:c r="C739"/>
      <x:c r="D739"/>
      <x:c r="E739"/>
      <x:c r="F739"/>
      <x:c r="G739"/>
      <x:c r="H739"/>
      <x:c r="I739"/>
      <x:c r="J739"/>
      <x:c r="K739"/>
      <x:c r="L739"/>
      <x:c r="M739"/>
      <x:c r="N739"/>
      <x:c r="O739"/>
      <x:c r="P739"/>
      <x:c r="Q739"/>
      <x:c r="R739"/>
      <x:c r="S739"/>
      <x:c r="T739"/>
      <x:c r="U739"/>
      <x:c r="V739"/>
      <x:c r="W739"/>
      <x:c r="X739"/>
      <x:c r="Y739"/>
      <x:c r="Z739"/>
      <x:c r="AA739"/>
      <x:c r="AB739"/>
      <x:c r="AC739"/>
      <x:c r="AD739"/>
      <x:c r="AE739"/>
      <x:c r="AF739"/>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C740"/>
      <x:c r="D740"/>
      <x:c r="E740"/>
      <x:c r="F740"/>
      <x:c r="G740"/>
      <x:c r="H740"/>
      <x:c r="I740"/>
      <x:c r="J740"/>
      <x:c r="K740"/>
      <x:c r="L740"/>
      <x:c r="M740"/>
      <x:c r="N740"/>
      <x:c r="O740"/>
      <x:c r="P740"/>
      <x:c r="Q740"/>
      <x:c r="R740"/>
      <x:c r="S740"/>
      <x:c r="T740"/>
      <x:c r="U740"/>
      <x:c r="V740"/>
      <x:c r="W740"/>
      <x:c r="X740"/>
      <x:c r="Y740"/>
      <x:c r="Z740"/>
      <x:c r="AA740"/>
      <x:c r="AB740"/>
      <x:c r="AC740"/>
      <x:c r="AD740"/>
      <x:c r="AE740"/>
      <x:c r="AF740"/>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x:c r="C741"/>
      <x:c r="D741"/>
      <x:c r="E741"/>
      <x:c r="F741"/>
      <x:c r="G741"/>
      <x:c r="H741"/>
      <x:c r="I741"/>
      <x:c r="J741"/>
      <x:c r="K741"/>
      <x:c r="L741"/>
      <x:c r="M741"/>
      <x:c r="N741"/>
      <x:c r="O741"/>
      <x:c r="P741"/>
      <x:c r="Q741"/>
      <x:c r="R741"/>
      <x:c r="S741"/>
      <x:c r="T741"/>
      <x:c r="U741"/>
      <x:c r="V741"/>
      <x:c r="W741"/>
      <x:c r="X741"/>
      <x:c r="Y741"/>
      <x:c r="Z741"/>
      <x:c r="AA741"/>
      <x:c r="AB741"/>
      <x:c r="AC741"/>
      <x:c r="AD741"/>
      <x:c r="AE741"/>
      <x:c r="AF741"/>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x:c r="C742"/>
      <x:c r="D742"/>
      <x:c r="E742"/>
      <x:c r="F742"/>
      <x:c r="G742"/>
      <x:c r="H742"/>
      <x:c r="I742"/>
      <x:c r="J742"/>
      <x:c r="K742"/>
      <x:c r="L742"/>
      <x:c r="M742"/>
      <x:c r="N742"/>
      <x:c r="O742"/>
      <x:c r="P742"/>
      <x:c r="Q742"/>
      <x:c r="R742"/>
      <x:c r="S742"/>
      <x:c r="T742"/>
      <x:c r="U742"/>
      <x:c r="V742"/>
      <x:c r="W742"/>
      <x:c r="X742"/>
      <x:c r="Y742"/>
      <x:c r="Z742"/>
      <x:c r="AA742"/>
      <x:c r="AB742"/>
      <x:c r="AC742"/>
      <x:c r="AD742"/>
      <x:c r="AE742"/>
      <x:c r="AF742"/>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x:c r="C743"/>
      <x:c r="D743"/>
      <x:c r="E743"/>
      <x:c r="F743"/>
      <x:c r="G743"/>
      <x:c r="H743"/>
      <x:c r="I743"/>
      <x:c r="J743"/>
      <x:c r="K743"/>
      <x:c r="L743"/>
      <x:c r="M743"/>
      <x:c r="N743"/>
      <x:c r="O743"/>
      <x:c r="P743"/>
      <x:c r="Q743"/>
      <x:c r="R743"/>
      <x:c r="S743"/>
      <x:c r="T743"/>
      <x:c r="U743"/>
      <x:c r="V743"/>
      <x:c r="W743"/>
      <x:c r="X743"/>
      <x:c r="Y743"/>
      <x:c r="Z743"/>
      <x:c r="AA743"/>
      <x:c r="AB743"/>
      <x:c r="AC743"/>
      <x:c r="AD743"/>
      <x:c r="AE743"/>
      <x:c r="AF743"/>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x:c r="C744"/>
      <x:c r="D744"/>
      <x:c r="E744"/>
      <x:c r="F744"/>
      <x:c r="G744"/>
      <x:c r="H744"/>
      <x:c r="I744"/>
      <x:c r="J744"/>
      <x:c r="K744"/>
      <x:c r="L744"/>
      <x:c r="M744"/>
      <x:c r="N744"/>
      <x:c r="O744"/>
      <x:c r="P744"/>
      <x:c r="Q744"/>
      <x:c r="R744"/>
      <x:c r="S744"/>
      <x:c r="T744"/>
      <x:c r="U744"/>
      <x:c r="V744"/>
      <x:c r="W744"/>
      <x:c r="X744"/>
      <x:c r="Y744"/>
      <x:c r="Z744"/>
      <x:c r="AA744"/>
      <x:c r="AB744"/>
      <x:c r="AC744"/>
      <x:c r="AD744"/>
      <x:c r="AE744"/>
      <x:c r="AF744"/>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x:c r="C745"/>
      <x:c r="D745"/>
      <x:c r="E745"/>
      <x:c r="F745"/>
      <x:c r="G745"/>
      <x:c r="H745"/>
      <x:c r="I745"/>
      <x:c r="J745"/>
      <x:c r="K745"/>
      <x:c r="L745"/>
      <x:c r="M745"/>
      <x:c r="N745"/>
      <x:c r="O745"/>
      <x:c r="P745"/>
      <x:c r="Q745"/>
      <x:c r="R745"/>
      <x:c r="S745"/>
      <x:c r="T745"/>
      <x:c r="U745"/>
      <x:c r="V745"/>
      <x:c r="W745"/>
      <x:c r="X745"/>
      <x:c r="Y745"/>
      <x:c r="Z745"/>
      <x:c r="AA745"/>
      <x:c r="AB745"/>
      <x:c r="AC745"/>
      <x:c r="AD745"/>
      <x:c r="AE745"/>
      <x:c r="AF745"/>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x:c r="C746"/>
      <x:c r="D746"/>
      <x:c r="E746"/>
      <x:c r="F746"/>
      <x:c r="G746"/>
      <x:c r="H746"/>
      <x:c r="I746"/>
      <x:c r="J746"/>
      <x:c r="K746"/>
      <x:c r="L746"/>
      <x:c r="M746"/>
      <x:c r="N746"/>
      <x:c r="O746"/>
      <x:c r="P746"/>
      <x:c r="Q746"/>
      <x:c r="R746"/>
      <x:c r="S746"/>
      <x:c r="T746"/>
      <x:c r="U746"/>
      <x:c r="V746"/>
      <x:c r="W746"/>
      <x:c r="X746"/>
      <x:c r="Y746"/>
      <x:c r="Z746"/>
      <x:c r="AA746"/>
      <x:c r="AB746"/>
      <x:c r="AC746"/>
      <x:c r="AD746"/>
      <x:c r="AE746"/>
      <x:c r="AF746"/>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C747"/>
      <x:c r="D747"/>
      <x:c r="E747"/>
      <x:c r="F747"/>
      <x:c r="G747"/>
      <x:c r="H747"/>
      <x:c r="I747"/>
      <x:c r="J747"/>
      <x:c r="K747"/>
      <x:c r="L747"/>
      <x:c r="M747"/>
      <x:c r="N747"/>
      <x:c r="O747"/>
      <x:c r="P747"/>
      <x:c r="Q747"/>
      <x:c r="R747"/>
      <x:c r="S747"/>
      <x:c r="T747"/>
      <x:c r="U747"/>
      <x:c r="V747"/>
      <x:c r="W747"/>
      <x:c r="X747"/>
      <x:c r="Y747"/>
      <x:c r="Z747"/>
      <x:c r="AA747"/>
      <x:c r="AB747"/>
      <x:c r="AC747"/>
      <x:c r="AD747"/>
      <x:c r="AE747"/>
      <x:c r="AF747"/>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x:c r="C748"/>
      <x:c r="D748"/>
      <x:c r="E748"/>
      <x:c r="F748"/>
      <x:c r="G748"/>
      <x:c r="H748"/>
      <x:c r="I748"/>
      <x:c r="J748"/>
      <x:c r="K748"/>
      <x:c r="L748"/>
      <x:c r="M748"/>
      <x:c r="N748"/>
      <x:c r="O748"/>
      <x:c r="P748"/>
      <x:c r="Q748"/>
      <x:c r="R748"/>
      <x:c r="S748"/>
      <x:c r="T748"/>
      <x:c r="U748"/>
      <x:c r="V748"/>
      <x:c r="W748"/>
      <x:c r="X748"/>
      <x:c r="Y748"/>
      <x:c r="Z748"/>
      <x:c r="AA748"/>
      <x:c r="AB748"/>
      <x:c r="AC748"/>
      <x:c r="AD748"/>
      <x:c r="AE748"/>
      <x:c r="AF748"/>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x:c r="C749"/>
      <x:c r="D749"/>
      <x:c r="E749"/>
      <x:c r="F749"/>
      <x:c r="G749"/>
      <x:c r="H749"/>
      <x:c r="I749"/>
      <x:c r="J749"/>
      <x:c r="K749"/>
      <x:c r="L749"/>
      <x:c r="M749"/>
      <x:c r="N749"/>
      <x:c r="O749"/>
      <x:c r="P749"/>
      <x:c r="Q749"/>
      <x:c r="R749"/>
      <x:c r="S749"/>
      <x:c r="T749"/>
      <x:c r="U749"/>
      <x:c r="V749"/>
      <x:c r="W749"/>
      <x:c r="X749"/>
      <x:c r="Y749"/>
      <x:c r="Z749"/>
      <x:c r="AA749"/>
      <x:c r="AB749"/>
      <x:c r="AC749"/>
      <x:c r="AD749"/>
      <x:c r="AE749"/>
      <x:c r="AF749"/>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C750"/>
      <x:c r="D750"/>
      <x:c r="E750"/>
      <x:c r="F750"/>
      <x:c r="G750"/>
      <x:c r="H750"/>
      <x:c r="I750"/>
      <x:c r="J750"/>
      <x:c r="K750"/>
      <x:c r="L750"/>
      <x:c r="M750"/>
      <x:c r="N750"/>
      <x:c r="O750"/>
      <x:c r="P750"/>
      <x:c r="Q750"/>
      <x:c r="R750"/>
      <x:c r="S750"/>
      <x:c r="T750"/>
      <x:c r="U750"/>
      <x:c r="V750"/>
      <x:c r="W750"/>
      <x:c r="X750"/>
      <x:c r="Y750"/>
      <x:c r="Z750"/>
      <x:c r="AA750"/>
      <x:c r="AB750"/>
      <x:c r="AC750"/>
      <x:c r="AD750"/>
      <x:c r="AE750"/>
      <x:c r="AF750"/>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x:c r="C751"/>
      <x:c r="D751"/>
      <x:c r="E751"/>
      <x:c r="F751"/>
      <x:c r="G751"/>
      <x:c r="H751"/>
      <x:c r="I751"/>
      <x:c r="J751"/>
      <x:c r="K751"/>
      <x:c r="L751"/>
      <x:c r="M751"/>
      <x:c r="N751"/>
      <x:c r="O751"/>
      <x:c r="P751"/>
      <x:c r="Q751"/>
      <x:c r="R751"/>
      <x:c r="S751"/>
      <x:c r="T751"/>
      <x:c r="U751"/>
      <x:c r="V751"/>
      <x:c r="W751"/>
      <x:c r="X751"/>
      <x:c r="Y751"/>
      <x:c r="Z751"/>
      <x:c r="AA751"/>
      <x:c r="AB751"/>
      <x:c r="AC751"/>
      <x:c r="AD751"/>
      <x:c r="AE751"/>
      <x:c r="AF751"/>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x:c r="C752"/>
      <x:c r="D752"/>
      <x:c r="E752"/>
      <x:c r="F752"/>
      <x:c r="G752"/>
      <x:c r="H752"/>
      <x:c r="I752"/>
      <x:c r="J752"/>
      <x:c r="K752"/>
      <x:c r="L752"/>
      <x:c r="M752"/>
      <x:c r="N752"/>
      <x:c r="O752"/>
      <x:c r="P752"/>
      <x:c r="Q752"/>
      <x:c r="R752"/>
      <x:c r="S752"/>
      <x:c r="T752"/>
      <x:c r="U752"/>
      <x:c r="V752"/>
      <x:c r="W752"/>
      <x:c r="X752"/>
      <x:c r="Y752"/>
      <x:c r="Z752"/>
      <x:c r="AA752"/>
      <x:c r="AB752"/>
      <x:c r="AC752"/>
      <x:c r="AD752"/>
      <x:c r="AE752"/>
      <x:c r="AF752"/>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C753"/>
      <x:c r="D753"/>
      <x:c r="E753"/>
      <x:c r="F753"/>
      <x:c r="G753"/>
      <x:c r="H753"/>
      <x:c r="I753"/>
      <x:c r="J753"/>
      <x:c r="K753"/>
      <x:c r="L753"/>
      <x:c r="M753"/>
      <x:c r="N753"/>
      <x:c r="O753"/>
      <x:c r="P753"/>
      <x:c r="Q753"/>
      <x:c r="R753"/>
      <x:c r="S753"/>
      <x:c r="T753"/>
      <x:c r="U753"/>
      <x:c r="V753"/>
      <x:c r="W753"/>
      <x:c r="X753"/>
      <x:c r="Y753"/>
      <x:c r="Z753"/>
      <x:c r="AA753"/>
      <x:c r="AB753"/>
      <x:c r="AC753"/>
      <x:c r="AD753"/>
      <x:c r="AE753"/>
      <x:c r="AF753"/>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x:c r="C754"/>
      <x:c r="D754"/>
      <x:c r="E754"/>
      <x:c r="F754"/>
      <x:c r="G754"/>
      <x:c r="H754"/>
      <x:c r="I754"/>
      <x:c r="J754"/>
      <x:c r="K754"/>
      <x:c r="L754"/>
      <x:c r="M754"/>
      <x:c r="N754"/>
      <x:c r="O754"/>
      <x:c r="P754"/>
      <x:c r="Q754"/>
      <x:c r="R754"/>
      <x:c r="S754"/>
      <x:c r="T754"/>
      <x:c r="U754"/>
      <x:c r="V754"/>
      <x:c r="W754"/>
      <x:c r="X754"/>
      <x:c r="Y754"/>
      <x:c r="Z754"/>
      <x:c r="AA754"/>
      <x:c r="AB754"/>
      <x:c r="AC754"/>
      <x:c r="AD754"/>
      <x:c r="AE754"/>
      <x:c r="AF754"/>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x:c r="C755"/>
      <x:c r="D755"/>
      <x:c r="E755"/>
      <x:c r="F755"/>
      <x:c r="G755"/>
      <x:c r="H755"/>
      <x:c r="I755"/>
      <x:c r="J755"/>
      <x:c r="K755"/>
      <x:c r="L755"/>
      <x:c r="M755"/>
      <x:c r="N755"/>
      <x:c r="O755"/>
      <x:c r="P755"/>
      <x:c r="Q755"/>
      <x:c r="R755"/>
      <x:c r="S755"/>
      <x:c r="T755"/>
      <x:c r="U755"/>
      <x:c r="V755"/>
      <x:c r="W755"/>
      <x:c r="X755"/>
      <x:c r="Y755"/>
      <x:c r="Z755"/>
      <x:c r="AA755"/>
      <x:c r="AB755"/>
      <x:c r="AC755"/>
      <x:c r="AD755"/>
      <x:c r="AE755"/>
      <x:c r="AF755"/>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x:c r="C756"/>
      <x:c r="D756"/>
      <x:c r="E756"/>
      <x:c r="F756"/>
      <x:c r="G756"/>
      <x:c r="H756"/>
      <x:c r="I756"/>
      <x:c r="J756"/>
      <x:c r="K756"/>
      <x:c r="L756"/>
      <x:c r="M756"/>
      <x:c r="N756"/>
      <x:c r="O756"/>
      <x:c r="P756"/>
      <x:c r="Q756"/>
      <x:c r="R756"/>
      <x:c r="S756"/>
      <x:c r="T756"/>
      <x:c r="U756"/>
      <x:c r="V756"/>
      <x:c r="W756"/>
      <x:c r="X756"/>
      <x:c r="Y756"/>
      <x:c r="Z756"/>
      <x:c r="AA756"/>
      <x:c r="AB756"/>
      <x:c r="AC756"/>
      <x:c r="AD756"/>
      <x:c r="AE756"/>
      <x:c r="AF756"/>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C757"/>
      <x:c r="D757"/>
      <x:c r="E757"/>
      <x:c r="F757"/>
      <x:c r="G757"/>
      <x:c r="H757"/>
      <x:c r="I757"/>
      <x:c r="J757"/>
      <x:c r="K757"/>
      <x:c r="L757"/>
      <x:c r="M757"/>
      <x:c r="N757"/>
      <x:c r="O757"/>
      <x:c r="P757"/>
      <x:c r="Q757"/>
      <x:c r="R757"/>
      <x:c r="S757"/>
      <x:c r="T757"/>
      <x:c r="U757"/>
      <x:c r="V757"/>
      <x:c r="W757"/>
      <x:c r="X757"/>
      <x:c r="Y757"/>
      <x:c r="Z757"/>
      <x:c r="AA757"/>
      <x:c r="AB757"/>
      <x:c r="AC757"/>
      <x:c r="AD757"/>
      <x:c r="AE757"/>
      <x:c r="AF757"/>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x:c r="C758"/>
      <x:c r="D758"/>
      <x:c r="E758"/>
      <x:c r="F758"/>
      <x:c r="G758"/>
      <x:c r="H758"/>
      <x:c r="I758"/>
      <x:c r="J758"/>
      <x:c r="K758"/>
      <x:c r="L758"/>
      <x:c r="M758"/>
      <x:c r="N758"/>
      <x:c r="O758"/>
      <x:c r="P758"/>
      <x:c r="Q758"/>
      <x:c r="R758"/>
      <x:c r="S758"/>
      <x:c r="T758"/>
      <x:c r="U758"/>
      <x:c r="V758"/>
      <x:c r="W758"/>
      <x:c r="X758"/>
      <x:c r="Y758"/>
      <x:c r="Z758"/>
      <x:c r="AA758"/>
      <x:c r="AB758"/>
      <x:c r="AC758"/>
      <x:c r="AD758"/>
      <x:c r="AE758"/>
      <x:c r="AF758"/>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x:c r="C759"/>
      <x:c r="D759"/>
      <x:c r="E759"/>
      <x:c r="F759"/>
      <x:c r="G759"/>
      <x:c r="H759"/>
      <x:c r="I759"/>
      <x:c r="J759"/>
      <x:c r="K759"/>
      <x:c r="L759"/>
      <x:c r="M759"/>
      <x:c r="N759"/>
      <x:c r="O759"/>
      <x:c r="P759"/>
      <x:c r="Q759"/>
      <x:c r="R759"/>
      <x:c r="S759"/>
      <x:c r="T759"/>
      <x:c r="U759"/>
      <x:c r="V759"/>
      <x:c r="W759"/>
      <x:c r="X759"/>
      <x:c r="Y759"/>
      <x:c r="Z759"/>
      <x:c r="AA759"/>
      <x:c r="AB759"/>
      <x:c r="AC759"/>
      <x:c r="AD759"/>
      <x:c r="AE759"/>
      <x:c r="AF759"/>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C760"/>
      <x:c r="D760"/>
      <x:c r="E760"/>
      <x:c r="F760"/>
      <x:c r="G760"/>
      <x:c r="H760"/>
      <x:c r="I760"/>
      <x:c r="J760"/>
      <x:c r="K760"/>
      <x:c r="L760"/>
      <x:c r="M760"/>
      <x:c r="N760"/>
      <x:c r="O760"/>
      <x:c r="P760"/>
      <x:c r="Q760"/>
      <x:c r="R760"/>
      <x:c r="S760"/>
      <x:c r="T760"/>
      <x:c r="U760"/>
      <x:c r="V760"/>
      <x:c r="W760"/>
      <x:c r="X760"/>
      <x:c r="Y760"/>
      <x:c r="Z760"/>
      <x:c r="AA760"/>
      <x:c r="AB760"/>
      <x:c r="AC760"/>
      <x:c r="AD760"/>
      <x:c r="AE760"/>
      <x:c r="AF760"/>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x:c r="C761"/>
      <x:c r="D761"/>
      <x:c r="E761"/>
      <x:c r="F761"/>
      <x:c r="G761"/>
      <x:c r="H761"/>
      <x:c r="I761"/>
      <x:c r="J761"/>
      <x:c r="K761"/>
      <x:c r="L761"/>
      <x:c r="M761"/>
      <x:c r="N761"/>
      <x:c r="O761"/>
      <x:c r="P761"/>
      <x:c r="Q761"/>
      <x:c r="R761"/>
      <x:c r="S761"/>
      <x:c r="T761"/>
      <x:c r="U761"/>
      <x:c r="V761"/>
      <x:c r="W761"/>
      <x:c r="X761"/>
      <x:c r="Y761"/>
      <x:c r="Z761"/>
      <x:c r="AA761"/>
      <x:c r="AB761"/>
      <x:c r="AC761"/>
      <x:c r="AD761"/>
      <x:c r="AE761"/>
      <x:c r="AF761"/>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x:c r="C762"/>
      <x:c r="D762"/>
      <x:c r="E762"/>
      <x:c r="F762"/>
      <x:c r="G762"/>
      <x:c r="H762"/>
      <x:c r="I762"/>
      <x:c r="J762"/>
      <x:c r="K762"/>
      <x:c r="L762"/>
      <x:c r="M762"/>
      <x:c r="N762"/>
      <x:c r="O762"/>
      <x:c r="P762"/>
      <x:c r="Q762"/>
      <x:c r="R762"/>
      <x:c r="S762"/>
      <x:c r="T762"/>
      <x:c r="U762"/>
      <x:c r="V762"/>
      <x:c r="W762"/>
      <x:c r="X762"/>
      <x:c r="Y762"/>
      <x:c r="Z762"/>
      <x:c r="AA762"/>
      <x:c r="AB762"/>
      <x:c r="AC762"/>
      <x:c r="AD762"/>
      <x:c r="AE762"/>
      <x:c r="AF762"/>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x:c r="C763"/>
      <x:c r="D763"/>
      <x:c r="E763"/>
      <x:c r="F763"/>
      <x:c r="G763"/>
      <x:c r="H763"/>
      <x:c r="I763"/>
      <x:c r="J763"/>
      <x:c r="K763"/>
      <x:c r="L763"/>
      <x:c r="M763"/>
      <x:c r="N763"/>
      <x:c r="O763"/>
      <x:c r="P763"/>
      <x:c r="Q763"/>
      <x:c r="R763"/>
      <x:c r="S763"/>
      <x:c r="T763"/>
      <x:c r="U763"/>
      <x:c r="V763"/>
      <x:c r="W763"/>
      <x:c r="X763"/>
      <x:c r="Y763"/>
      <x:c r="Z763"/>
      <x:c r="AA763"/>
      <x:c r="AB763"/>
      <x:c r="AC763"/>
      <x:c r="AD763"/>
      <x:c r="AE763"/>
      <x:c r="AF763"/>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x:c r="C764"/>
      <x:c r="D764"/>
      <x:c r="E764"/>
      <x:c r="F764"/>
      <x:c r="G764"/>
      <x:c r="H764"/>
      <x:c r="I764"/>
      <x:c r="J764"/>
      <x:c r="K764"/>
      <x:c r="L764"/>
      <x:c r="M764"/>
      <x:c r="N764"/>
      <x:c r="O764"/>
      <x:c r="P764"/>
      <x:c r="Q764"/>
      <x:c r="R764"/>
      <x:c r="S764"/>
      <x:c r="T764"/>
      <x:c r="U764"/>
      <x:c r="V764"/>
      <x:c r="W764"/>
      <x:c r="X764"/>
      <x:c r="Y764"/>
      <x:c r="Z764"/>
      <x:c r="AA764"/>
      <x:c r="AB764"/>
      <x:c r="AC764"/>
      <x:c r="AD764"/>
      <x:c r="AE764"/>
      <x:c r="AF764"/>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x:c r="C765"/>
      <x:c r="D765"/>
      <x:c r="E765"/>
      <x:c r="F765"/>
      <x:c r="G765"/>
      <x:c r="H765"/>
      <x:c r="I765"/>
      <x:c r="J765"/>
      <x:c r="K765"/>
      <x:c r="L765"/>
      <x:c r="M765"/>
      <x:c r="N765"/>
      <x:c r="O765"/>
      <x:c r="P765"/>
      <x:c r="Q765"/>
      <x:c r="R765"/>
      <x:c r="S765"/>
      <x:c r="T765"/>
      <x:c r="U765"/>
      <x:c r="V765"/>
      <x:c r="W765"/>
      <x:c r="X765"/>
      <x:c r="Y765"/>
      <x:c r="Z765"/>
      <x:c r="AA765"/>
      <x:c r="AB765"/>
      <x:c r="AC765"/>
      <x:c r="AD765"/>
      <x:c r="AE765"/>
      <x:c r="AF765"/>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x:c r="C766"/>
      <x:c r="D766"/>
      <x:c r="E766"/>
      <x:c r="F766"/>
      <x:c r="G766"/>
      <x:c r="H766"/>
      <x:c r="I766"/>
      <x:c r="J766"/>
      <x:c r="K766"/>
      <x:c r="L766"/>
      <x:c r="M766"/>
      <x:c r="N766"/>
      <x:c r="O766"/>
      <x:c r="P766"/>
      <x:c r="Q766"/>
      <x:c r="R766"/>
      <x:c r="S766"/>
      <x:c r="T766"/>
      <x:c r="U766"/>
      <x:c r="V766"/>
      <x:c r="W766"/>
      <x:c r="X766"/>
      <x:c r="Y766"/>
      <x:c r="Z766"/>
      <x:c r="AA766"/>
      <x:c r="AB766"/>
      <x:c r="AC766"/>
      <x:c r="AD766"/>
      <x:c r="AE766"/>
      <x:c r="AF766"/>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x:c r="C767"/>
      <x:c r="D767"/>
      <x:c r="E767"/>
      <x:c r="F767"/>
      <x:c r="G767"/>
      <x:c r="H767"/>
      <x:c r="I767"/>
      <x:c r="J767"/>
      <x:c r="K767"/>
      <x:c r="L767"/>
      <x:c r="M767"/>
      <x:c r="N767"/>
      <x:c r="O767"/>
      <x:c r="P767"/>
      <x:c r="Q767"/>
      <x:c r="R767"/>
      <x:c r="S767"/>
      <x:c r="T767"/>
      <x:c r="U767"/>
      <x:c r="V767"/>
      <x:c r="W767"/>
      <x:c r="X767"/>
      <x:c r="Y767"/>
      <x:c r="Z767"/>
      <x:c r="AA767"/>
      <x:c r="AB767"/>
      <x:c r="AC767"/>
      <x:c r="AD767"/>
      <x:c r="AE767"/>
      <x:c r="AF767"/>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C768"/>
      <x:c r="D768"/>
      <x:c r="E768"/>
      <x:c r="F768"/>
      <x:c r="G768"/>
      <x:c r="H768"/>
      <x:c r="I768"/>
      <x:c r="J768"/>
      <x:c r="K768"/>
      <x:c r="L768"/>
      <x:c r="M768"/>
      <x:c r="N768"/>
      <x:c r="O768"/>
      <x:c r="P768"/>
      <x:c r="Q768"/>
      <x:c r="R768"/>
      <x:c r="S768"/>
      <x:c r="T768"/>
      <x:c r="U768"/>
      <x:c r="V768"/>
      <x:c r="W768"/>
      <x:c r="X768"/>
      <x:c r="Y768"/>
      <x:c r="Z768"/>
      <x:c r="AA768"/>
      <x:c r="AB768"/>
      <x:c r="AC768"/>
      <x:c r="AD768"/>
      <x:c r="AE768"/>
      <x:c r="AF768"/>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x:c r="C769"/>
      <x:c r="D769"/>
      <x:c r="E769"/>
      <x:c r="F769"/>
      <x:c r="G769"/>
      <x:c r="H769"/>
      <x:c r="I769"/>
      <x:c r="J769"/>
      <x:c r="K769"/>
      <x:c r="L769"/>
      <x:c r="M769"/>
      <x:c r="N769"/>
      <x:c r="O769"/>
      <x:c r="P769"/>
      <x:c r="Q769"/>
      <x:c r="R769"/>
      <x:c r="S769"/>
      <x:c r="T769"/>
      <x:c r="U769"/>
      <x:c r="V769"/>
      <x:c r="W769"/>
      <x:c r="X769"/>
      <x:c r="Y769"/>
      <x:c r="Z769"/>
      <x:c r="AA769"/>
      <x:c r="AB769"/>
      <x:c r="AC769"/>
      <x:c r="AD769"/>
      <x:c r="AE769"/>
      <x:c r="AF769"/>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x:c r="C770"/>
      <x:c r="D770"/>
      <x:c r="E770"/>
      <x:c r="F770"/>
      <x:c r="G770"/>
      <x:c r="H770"/>
      <x:c r="I770"/>
      <x:c r="J770"/>
      <x:c r="K770"/>
      <x:c r="L770"/>
      <x:c r="M770"/>
      <x:c r="N770"/>
      <x:c r="O770"/>
      <x:c r="P770"/>
      <x:c r="Q770"/>
      <x:c r="R770"/>
      <x:c r="S770"/>
      <x:c r="T770"/>
      <x:c r="U770"/>
      <x:c r="V770"/>
      <x:c r="W770"/>
      <x:c r="X770"/>
      <x:c r="Y770"/>
      <x:c r="Z770"/>
      <x:c r="AA770"/>
      <x:c r="AB770"/>
      <x:c r="AC770"/>
      <x:c r="AD770"/>
      <x:c r="AE770"/>
      <x:c r="AF770"/>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x:c r="C771"/>
      <x:c r="D771"/>
      <x:c r="E771"/>
      <x:c r="F771"/>
      <x:c r="G771"/>
      <x:c r="H771"/>
      <x:c r="I771"/>
      <x:c r="J771"/>
      <x:c r="K771"/>
      <x:c r="L771"/>
      <x:c r="M771"/>
      <x:c r="N771"/>
      <x:c r="O771"/>
      <x:c r="P771"/>
      <x:c r="Q771"/>
      <x:c r="R771"/>
      <x:c r="S771"/>
      <x:c r="T771"/>
      <x:c r="U771"/>
      <x:c r="V771"/>
      <x:c r="W771"/>
      <x:c r="X771"/>
      <x:c r="Y771"/>
      <x:c r="Z771"/>
      <x:c r="AA771"/>
      <x:c r="AB771"/>
      <x:c r="AC771"/>
      <x:c r="AD771"/>
      <x:c r="AE771"/>
      <x:c r="AF771"/>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x:c r="C772"/>
      <x:c r="D772"/>
      <x:c r="E772"/>
      <x:c r="F772"/>
      <x:c r="G772"/>
      <x:c r="H772"/>
      <x:c r="I772"/>
      <x:c r="J772"/>
      <x:c r="K772"/>
      <x:c r="L772"/>
      <x:c r="M772"/>
      <x:c r="N772"/>
      <x:c r="O772"/>
      <x:c r="P772"/>
      <x:c r="Q772"/>
      <x:c r="R772"/>
      <x:c r="S772"/>
      <x:c r="T772"/>
      <x:c r="U772"/>
      <x:c r="V772"/>
      <x:c r="W772"/>
      <x:c r="X772"/>
      <x:c r="Y772"/>
      <x:c r="Z772"/>
      <x:c r="AA772"/>
      <x:c r="AB772"/>
      <x:c r="AC772"/>
      <x:c r="AD772"/>
      <x:c r="AE772"/>
      <x:c r="AF772"/>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C773"/>
      <x:c r="D773"/>
      <x:c r="E773"/>
      <x:c r="F773"/>
      <x:c r="G773"/>
      <x:c r="H773"/>
      <x:c r="I773"/>
      <x:c r="J773"/>
      <x:c r="K773"/>
      <x:c r="L773"/>
      <x:c r="M773"/>
      <x:c r="N773"/>
      <x:c r="O773"/>
      <x:c r="P773"/>
      <x:c r="Q773"/>
      <x:c r="R773"/>
      <x:c r="S773"/>
      <x:c r="T773"/>
      <x:c r="U773"/>
      <x:c r="V773"/>
      <x:c r="W773"/>
      <x:c r="X773"/>
      <x:c r="Y773"/>
      <x:c r="Z773"/>
      <x:c r="AA773"/>
      <x:c r="AB773"/>
      <x:c r="AC773"/>
      <x:c r="AD773"/>
      <x:c r="AE773"/>
      <x:c r="AF773"/>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x:c r="C774"/>
      <x:c r="D774"/>
      <x:c r="E774"/>
      <x:c r="F774"/>
      <x:c r="G774"/>
      <x:c r="H774"/>
      <x:c r="I774"/>
      <x:c r="J774"/>
      <x:c r="K774"/>
      <x:c r="L774"/>
      <x:c r="M774"/>
      <x:c r="N774"/>
      <x:c r="O774"/>
      <x:c r="P774"/>
      <x:c r="Q774"/>
      <x:c r="R774"/>
      <x:c r="S774"/>
      <x:c r="T774"/>
      <x:c r="U774"/>
      <x:c r="V774"/>
      <x:c r="W774"/>
      <x:c r="X774"/>
      <x:c r="Y774"/>
      <x:c r="Z774"/>
      <x:c r="AA774"/>
      <x:c r="AB774"/>
      <x:c r="AC774"/>
      <x:c r="AD774"/>
      <x:c r="AE774"/>
      <x:c r="AF77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x:c r="C775"/>
      <x:c r="D775"/>
      <x:c r="E775"/>
      <x:c r="F775"/>
      <x:c r="G775"/>
      <x:c r="H775"/>
      <x:c r="I775"/>
      <x:c r="J775"/>
      <x:c r="K775"/>
      <x:c r="L775"/>
      <x:c r="M775"/>
      <x:c r="N775"/>
      <x:c r="O775"/>
      <x:c r="P775"/>
      <x:c r="Q775"/>
      <x:c r="R775"/>
      <x:c r="S775"/>
      <x:c r="T775"/>
      <x:c r="U775"/>
      <x:c r="V775"/>
      <x:c r="W775"/>
      <x:c r="X775"/>
      <x:c r="Y775"/>
      <x:c r="Z775"/>
      <x:c r="AA775"/>
      <x:c r="AB775"/>
      <x:c r="AC775"/>
      <x:c r="AD775"/>
      <x:c r="AE775"/>
      <x:c r="AF775"/>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x:c r="C776"/>
      <x:c r="D776"/>
      <x:c r="E776"/>
      <x:c r="F776"/>
      <x:c r="G776"/>
      <x:c r="H776"/>
      <x:c r="I776"/>
      <x:c r="J776"/>
      <x:c r="K776"/>
      <x:c r="L776"/>
      <x:c r="M776"/>
      <x:c r="N776"/>
      <x:c r="O776"/>
      <x:c r="P776"/>
      <x:c r="Q776"/>
      <x:c r="R776"/>
      <x:c r="S776"/>
      <x:c r="T776"/>
      <x:c r="U776"/>
      <x:c r="V776"/>
      <x:c r="W776"/>
      <x:c r="X776"/>
      <x:c r="Y776"/>
      <x:c r="Z776"/>
      <x:c r="AA776"/>
      <x:c r="AB776"/>
      <x:c r="AC776"/>
      <x:c r="AD776"/>
      <x:c r="AE776"/>
      <x:c r="AF776"/>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C777"/>
      <x:c r="D777"/>
      <x:c r="E777"/>
      <x:c r="F777"/>
      <x:c r="G777"/>
      <x:c r="H777"/>
      <x:c r="I777"/>
      <x:c r="J777"/>
      <x:c r="K777"/>
      <x:c r="L777"/>
      <x:c r="M777"/>
      <x:c r="N777"/>
      <x:c r="O777"/>
      <x:c r="P777"/>
      <x:c r="Q777"/>
      <x:c r="R777"/>
      <x:c r="S777"/>
      <x:c r="T777"/>
      <x:c r="U777"/>
      <x:c r="V777"/>
      <x:c r="W777"/>
      <x:c r="X777"/>
      <x:c r="Y777"/>
      <x:c r="Z777"/>
      <x:c r="AA777"/>
      <x:c r="AB777"/>
      <x:c r="AC777"/>
      <x:c r="AD777"/>
      <x:c r="AE777"/>
      <x:c r="AF777"/>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x:c r="C778"/>
      <x:c r="D778"/>
      <x:c r="E778"/>
      <x:c r="F778"/>
      <x:c r="G778"/>
      <x:c r="H778"/>
      <x:c r="I778"/>
      <x:c r="J778"/>
      <x:c r="K778"/>
      <x:c r="L778"/>
      <x:c r="M778"/>
      <x:c r="N778"/>
      <x:c r="O778"/>
      <x:c r="P778"/>
      <x:c r="Q778"/>
      <x:c r="R778"/>
      <x:c r="S778"/>
      <x:c r="T778"/>
      <x:c r="U778"/>
      <x:c r="V778"/>
      <x:c r="W778"/>
      <x:c r="X778"/>
      <x:c r="Y778"/>
      <x:c r="Z778"/>
      <x:c r="AA778"/>
      <x:c r="AB778"/>
      <x:c r="AC778"/>
      <x:c r="AD778"/>
      <x:c r="AE778"/>
      <x:c r="AF778"/>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x:c r="C779"/>
      <x:c r="D779"/>
      <x:c r="E779"/>
      <x:c r="F779"/>
      <x:c r="G779"/>
      <x:c r="H779"/>
      <x:c r="I779"/>
      <x:c r="J779"/>
      <x:c r="K779"/>
      <x:c r="L779"/>
      <x:c r="M779"/>
      <x:c r="N779"/>
      <x:c r="O779"/>
      <x:c r="P779"/>
      <x:c r="Q779"/>
      <x:c r="R779"/>
      <x:c r="S779"/>
      <x:c r="T779"/>
      <x:c r="U779"/>
      <x:c r="V779"/>
      <x:c r="W779"/>
      <x:c r="X779"/>
      <x:c r="Y779"/>
      <x:c r="Z779"/>
      <x:c r="AA779"/>
      <x:c r="AB779"/>
      <x:c r="AC779"/>
      <x:c r="AD779"/>
      <x:c r="AE779"/>
      <x:c r="AF779"/>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x:c r="C780"/>
      <x:c r="D780"/>
      <x:c r="E780"/>
      <x:c r="F780"/>
      <x:c r="G780"/>
      <x:c r="H780"/>
      <x:c r="I780"/>
      <x:c r="J780"/>
      <x:c r="K780"/>
      <x:c r="L780"/>
      <x:c r="M780"/>
      <x:c r="N780"/>
      <x:c r="O780"/>
      <x:c r="P780"/>
      <x:c r="Q780"/>
      <x:c r="R780"/>
      <x:c r="S780"/>
      <x:c r="T780"/>
      <x:c r="U780"/>
      <x:c r="V780"/>
      <x:c r="W780"/>
      <x:c r="X780"/>
      <x:c r="Y780"/>
      <x:c r="Z780"/>
      <x:c r="AA780"/>
      <x:c r="AB780"/>
      <x:c r="AC780"/>
      <x:c r="AD780"/>
      <x:c r="AE780"/>
      <x:c r="AF780"/>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C781"/>
      <x:c r="D781"/>
      <x:c r="E781"/>
      <x:c r="F781"/>
      <x:c r="G781"/>
      <x:c r="H781"/>
      <x:c r="I781"/>
      <x:c r="J781"/>
      <x:c r="K781"/>
      <x:c r="L781"/>
      <x:c r="M781"/>
      <x:c r="N781"/>
      <x:c r="O781"/>
      <x:c r="P781"/>
      <x:c r="Q781"/>
      <x:c r="R781"/>
      <x:c r="S781"/>
      <x:c r="T781"/>
      <x:c r="U781"/>
      <x:c r="V781"/>
      <x:c r="W781"/>
      <x:c r="X781"/>
      <x:c r="Y781"/>
      <x:c r="Z781"/>
      <x:c r="AA781"/>
      <x:c r="AB781"/>
      <x:c r="AC781"/>
      <x:c r="AD781"/>
      <x:c r="AE781"/>
      <x:c r="AF781"/>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x:c r="C782"/>
      <x:c r="D782"/>
      <x:c r="E782"/>
      <x:c r="F782"/>
      <x:c r="G782"/>
      <x:c r="H782"/>
      <x:c r="I782"/>
      <x:c r="J782"/>
      <x:c r="K782"/>
      <x:c r="L782"/>
      <x:c r="M782"/>
      <x:c r="N782"/>
      <x:c r="O782"/>
      <x:c r="P782"/>
      <x:c r="Q782"/>
      <x:c r="R782"/>
      <x:c r="S782"/>
      <x:c r="T782"/>
      <x:c r="U782"/>
      <x:c r="V782"/>
      <x:c r="W782"/>
      <x:c r="X782"/>
      <x:c r="Y782"/>
      <x:c r="Z782"/>
      <x:c r="AA782"/>
      <x:c r="AB782"/>
      <x:c r="AC782"/>
      <x:c r="AD782"/>
      <x:c r="AE782"/>
      <x:c r="AF782"/>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x:c r="C783"/>
      <x:c r="D783"/>
      <x:c r="E783"/>
      <x:c r="F783"/>
      <x:c r="G783"/>
      <x:c r="H783"/>
      <x:c r="I783"/>
      <x:c r="J783"/>
      <x:c r="K783"/>
      <x:c r="L783"/>
      <x:c r="M783"/>
      <x:c r="N783"/>
      <x:c r="O783"/>
      <x:c r="P783"/>
      <x:c r="Q783"/>
      <x:c r="R783"/>
      <x:c r="S783"/>
      <x:c r="T783"/>
      <x:c r="U783"/>
      <x:c r="V783"/>
      <x:c r="W783"/>
      <x:c r="X783"/>
      <x:c r="Y783"/>
      <x:c r="Z783"/>
      <x:c r="AA783"/>
      <x:c r="AB783"/>
      <x:c r="AC783"/>
      <x:c r="AD783"/>
      <x:c r="AE783"/>
      <x:c r="AF783"/>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x:c r="C784"/>
      <x:c r="D784"/>
      <x:c r="E784"/>
      <x:c r="F784"/>
      <x:c r="G784"/>
      <x:c r="H784"/>
      <x:c r="I784"/>
      <x:c r="J784"/>
      <x:c r="K784"/>
      <x:c r="L784"/>
      <x:c r="M784"/>
      <x:c r="N784"/>
      <x:c r="O784"/>
      <x:c r="P784"/>
      <x:c r="Q784"/>
      <x:c r="R784"/>
      <x:c r="S784"/>
      <x:c r="T784"/>
      <x:c r="U784"/>
      <x:c r="V784"/>
      <x:c r="W784"/>
      <x:c r="X784"/>
      <x:c r="Y784"/>
      <x:c r="Z784"/>
      <x:c r="AA784"/>
      <x:c r="AB784"/>
      <x:c r="AC784"/>
      <x:c r="AD784"/>
      <x:c r="AE784"/>
      <x:c r="AF784"/>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x:c r="C785"/>
      <x:c r="D785"/>
      <x:c r="E785"/>
      <x:c r="F785"/>
      <x:c r="G785"/>
      <x:c r="H785"/>
      <x:c r="I785"/>
      <x:c r="J785"/>
      <x:c r="K785"/>
      <x:c r="L785"/>
      <x:c r="M785"/>
      <x:c r="N785"/>
      <x:c r="O785"/>
      <x:c r="P785"/>
      <x:c r="Q785"/>
      <x:c r="R785"/>
      <x:c r="S785"/>
      <x:c r="T785"/>
      <x:c r="U785"/>
      <x:c r="V785"/>
      <x:c r="W785"/>
      <x:c r="X785"/>
      <x:c r="Y785"/>
      <x:c r="Z785"/>
      <x:c r="AA785"/>
      <x:c r="AB785"/>
      <x:c r="AC785"/>
      <x:c r="AD785"/>
      <x:c r="AE785"/>
      <x:c r="AF785"/>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C786"/>
      <x:c r="D786"/>
      <x:c r="E786"/>
      <x:c r="F786"/>
      <x:c r="G786"/>
      <x:c r="H786"/>
      <x:c r="I786"/>
      <x:c r="J786"/>
      <x:c r="K786"/>
      <x:c r="L786"/>
      <x:c r="M786"/>
      <x:c r="N786"/>
      <x:c r="O786"/>
      <x:c r="P786"/>
      <x:c r="Q786"/>
      <x:c r="R786"/>
      <x:c r="S786"/>
      <x:c r="T786"/>
      <x:c r="U786"/>
      <x:c r="V786"/>
      <x:c r="W786"/>
      <x:c r="X786"/>
      <x:c r="Y786"/>
      <x:c r="Z786"/>
      <x:c r="AA786"/>
      <x:c r="AB786"/>
      <x:c r="AC786"/>
      <x:c r="AD786"/>
      <x:c r="AE786"/>
      <x:c r="AF786"/>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x:c r="C787"/>
      <x:c r="D787"/>
      <x:c r="E787"/>
      <x:c r="F787"/>
      <x:c r="G787"/>
      <x:c r="H787"/>
      <x:c r="I787"/>
      <x:c r="J787"/>
      <x:c r="K787"/>
      <x:c r="L787"/>
      <x:c r="M787"/>
      <x:c r="N787"/>
      <x:c r="O787"/>
      <x:c r="P787"/>
      <x:c r="Q787"/>
      <x:c r="R787"/>
      <x:c r="S787"/>
      <x:c r="T787"/>
      <x:c r="U787"/>
      <x:c r="V787"/>
      <x:c r="W787"/>
      <x:c r="X787"/>
      <x:c r="Y787"/>
      <x:c r="Z787"/>
      <x:c r="AA787"/>
      <x:c r="AB787"/>
      <x:c r="AC787"/>
      <x:c r="AD787"/>
      <x:c r="AE787"/>
      <x:c r="AF787"/>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x:c r="C788"/>
      <x:c r="D788"/>
      <x:c r="E788"/>
      <x:c r="F788"/>
      <x:c r="G788"/>
      <x:c r="H788"/>
      <x:c r="I788"/>
      <x:c r="J788"/>
      <x:c r="K788"/>
      <x:c r="L788"/>
      <x:c r="M788"/>
      <x:c r="N788"/>
      <x:c r="O788"/>
      <x:c r="P788"/>
      <x:c r="Q788"/>
      <x:c r="R788"/>
      <x:c r="S788"/>
      <x:c r="T788"/>
      <x:c r="U788"/>
      <x:c r="V788"/>
      <x:c r="W788"/>
      <x:c r="X788"/>
      <x:c r="Y788"/>
      <x:c r="Z788"/>
      <x:c r="AA788"/>
      <x:c r="AB788"/>
      <x:c r="AC788"/>
      <x:c r="AD788"/>
      <x:c r="AE788"/>
      <x:c r="AF788"/>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x:c r="C789"/>
      <x:c r="D789"/>
      <x:c r="E789"/>
      <x:c r="F789"/>
      <x:c r="G789"/>
      <x:c r="H789"/>
      <x:c r="I789"/>
      <x:c r="J789"/>
      <x:c r="K789"/>
      <x:c r="L789"/>
      <x:c r="M789"/>
      <x:c r="N789"/>
      <x:c r="O789"/>
      <x:c r="P789"/>
      <x:c r="Q789"/>
      <x:c r="R789"/>
      <x:c r="S789"/>
      <x:c r="T789"/>
      <x:c r="U789"/>
      <x:c r="V789"/>
      <x:c r="W789"/>
      <x:c r="X789"/>
      <x:c r="Y789"/>
      <x:c r="Z789"/>
      <x:c r="AA789"/>
      <x:c r="AB789"/>
      <x:c r="AC789"/>
      <x:c r="AD789"/>
      <x:c r="AE789"/>
      <x:c r="AF789"/>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x:c r="C790"/>
      <x:c r="D790"/>
      <x:c r="E790"/>
      <x:c r="F790"/>
      <x:c r="G790"/>
      <x:c r="H790"/>
      <x:c r="I790"/>
      <x:c r="J790"/>
      <x:c r="K790"/>
      <x:c r="L790"/>
      <x:c r="M790"/>
      <x:c r="N790"/>
      <x:c r="O790"/>
      <x:c r="P790"/>
      <x:c r="Q790"/>
      <x:c r="R790"/>
      <x:c r="S790"/>
      <x:c r="T790"/>
      <x:c r="U790"/>
      <x:c r="V790"/>
      <x:c r="W790"/>
      <x:c r="X790"/>
      <x:c r="Y790"/>
      <x:c r="Z790"/>
      <x:c r="AA790"/>
      <x:c r="AB790"/>
      <x:c r="AC790"/>
      <x:c r="AD790"/>
      <x:c r="AE790"/>
      <x:c r="AF790"/>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x:c r="C791"/>
      <x:c r="D791"/>
      <x:c r="E791"/>
      <x:c r="F791"/>
      <x:c r="G791"/>
      <x:c r="H791"/>
      <x:c r="I791"/>
      <x:c r="J791"/>
      <x:c r="K791"/>
      <x:c r="L791"/>
      <x:c r="M791"/>
      <x:c r="N791"/>
      <x:c r="O791"/>
      <x:c r="P791"/>
      <x:c r="Q791"/>
      <x:c r="R791"/>
      <x:c r="S791"/>
      <x:c r="T791"/>
      <x:c r="U791"/>
      <x:c r="V791"/>
      <x:c r="W791"/>
      <x:c r="X791"/>
      <x:c r="Y791"/>
      <x:c r="Z791"/>
      <x:c r="AA791"/>
      <x:c r="AB791"/>
      <x:c r="AC791"/>
      <x:c r="AD791"/>
      <x:c r="AE791"/>
      <x:c r="AF791"/>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x:c r="C792"/>
      <x:c r="D792"/>
      <x:c r="E792"/>
      <x:c r="F792"/>
      <x:c r="G792"/>
      <x:c r="H792"/>
      <x:c r="I792"/>
      <x:c r="J792"/>
      <x:c r="K792"/>
      <x:c r="L792"/>
      <x:c r="M792"/>
      <x:c r="N792"/>
      <x:c r="O792"/>
      <x:c r="P792"/>
      <x:c r="Q792"/>
      <x:c r="R792"/>
      <x:c r="S792"/>
      <x:c r="T792"/>
      <x:c r="U792"/>
      <x:c r="V792"/>
      <x:c r="W792"/>
      <x:c r="X792"/>
      <x:c r="Y792"/>
      <x:c r="Z792"/>
      <x:c r="AA792"/>
      <x:c r="AB792"/>
      <x:c r="AC792"/>
      <x:c r="AD792"/>
      <x:c r="AE792"/>
      <x:c r="AF792"/>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x:c r="C793"/>
      <x:c r="D793"/>
      <x:c r="E793"/>
      <x:c r="F793"/>
      <x:c r="G793"/>
      <x:c r="H793"/>
      <x:c r="I793"/>
      <x:c r="J793"/>
      <x:c r="K793"/>
      <x:c r="L793"/>
      <x:c r="M793"/>
      <x:c r="N793"/>
      <x:c r="O793"/>
      <x:c r="P793"/>
      <x:c r="Q793"/>
      <x:c r="R793"/>
      <x:c r="S793"/>
      <x:c r="T793"/>
      <x:c r="U793"/>
      <x:c r="V793"/>
      <x:c r="W793"/>
      <x:c r="X793"/>
      <x:c r="Y793"/>
      <x:c r="Z793"/>
      <x:c r="AA793"/>
      <x:c r="AB793"/>
      <x:c r="AC793"/>
      <x:c r="AD793"/>
      <x:c r="AE793"/>
      <x:c r="AF793"/>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x:c r="C794"/>
      <x:c r="D794"/>
      <x:c r="E794"/>
      <x:c r="F794"/>
      <x:c r="G794"/>
      <x:c r="H794"/>
      <x:c r="I794"/>
      <x:c r="J794"/>
      <x:c r="K794"/>
      <x:c r="L794"/>
      <x:c r="M794"/>
      <x:c r="N794"/>
      <x:c r="O794"/>
      <x:c r="P794"/>
      <x:c r="Q794"/>
      <x:c r="R794"/>
      <x:c r="S794"/>
      <x:c r="T794"/>
      <x:c r="U794"/>
      <x:c r="V794"/>
      <x:c r="W794"/>
      <x:c r="X794"/>
      <x:c r="Y794"/>
      <x:c r="Z794"/>
      <x:c r="AA794"/>
      <x:c r="AB794"/>
      <x:c r="AC794"/>
      <x:c r="AD794"/>
      <x:c r="AE794"/>
      <x:c r="AF794"/>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x:c r="C795"/>
      <x:c r="D795"/>
      <x:c r="E795"/>
      <x:c r="F795"/>
      <x:c r="G795"/>
      <x:c r="H795"/>
      <x:c r="I795"/>
      <x:c r="J795"/>
      <x:c r="K795"/>
      <x:c r="L795"/>
      <x:c r="M795"/>
      <x:c r="N795"/>
      <x:c r="O795"/>
      <x:c r="P795"/>
      <x:c r="Q795"/>
      <x:c r="R795"/>
      <x:c r="S795"/>
      <x:c r="T795"/>
      <x:c r="U795"/>
      <x:c r="V795"/>
      <x:c r="W795"/>
      <x:c r="X795"/>
      <x:c r="Y795"/>
      <x:c r="Z795"/>
      <x:c r="AA795"/>
      <x:c r="AB795"/>
      <x:c r="AC795"/>
      <x:c r="AD795"/>
      <x:c r="AE795"/>
      <x:c r="AF795"/>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x:c r="C796"/>
      <x:c r="D796"/>
      <x:c r="E796"/>
      <x:c r="F796"/>
      <x:c r="G796"/>
      <x:c r="H796"/>
      <x:c r="I796"/>
      <x:c r="J796"/>
      <x:c r="K796"/>
      <x:c r="L796"/>
      <x:c r="M796"/>
      <x:c r="N796"/>
      <x:c r="O796"/>
      <x:c r="P796"/>
      <x:c r="Q796"/>
      <x:c r="R796"/>
      <x:c r="S796"/>
      <x:c r="T796"/>
      <x:c r="U796"/>
      <x:c r="V796"/>
      <x:c r="W796"/>
      <x:c r="X796"/>
      <x:c r="Y796"/>
      <x:c r="Z796"/>
      <x:c r="AA796"/>
      <x:c r="AB796"/>
      <x:c r="AC796"/>
      <x:c r="AD796"/>
      <x:c r="AE796"/>
      <x:c r="AF796"/>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'Taxonomy'!$B$210:$B$213</x:formula1>
    </x:dataValidation>
    <x:dataValidation type="list" sqref="D6:D1005">
      <x:formula1>'Taxonomy'!$B$6:$B$15</x:formula1>
    </x:dataValidation>
    <x:dataValidation type="list" sqref="X6:X1005">
      <x:formula1>'Taxonomy'!$B$16:$B$43</x:formula1>
    </x:dataValidation>
    <x:dataValidation type="list" sqref="Y6:Y1005">
      <x:formula1>'Taxonomy'!$B$44:$B$53</x:formula1>
    </x:dataValidation>
    <x:dataValidation type="list" sqref="Z6:Z1005">
      <x:formula1>'Taxonomy'!$B$54:$B$63</x:formula1>
    </x:dataValidation>
    <x:dataValidation type="list" sqref="AA6:AA1005">
      <x:formula1>'Taxonomy'!$B$64:$B$142</x:formula1>
    </x:dataValidation>
    <x:dataValidation type="list" sqref="AB6:AB1005">
      <x:formula1>'Taxonomy'!$B$143:$B$177</x:formula1>
    </x:dataValidation>
    <x:dataValidation type="list" sqref="AC6:AC1005">
      <x:formula1>'Taxonomy'!$B$178:$B$197</x:formula1>
    </x:dataValidation>
    <x:dataValidation type="list" sqref="AD6:AD1005">
      <x:formula1>'Taxonomy'!$B$198:$B$202</x:formula1>
    </x:dataValidation>
    <x:dataValidation type="list" sqref="C6:C1005">
      <x:formula1>'Taxonomy'!$B$203:$B$209</x:formula1>
    </x:dataValidation>
  </x:dataValidations>
  <x:pageMargins left="0.7" right="0.7" top="0.75" bottom="0.75" header="0.3" footer="0.3"/>
  <x:tableParts count="1">
    <x:tablePart xmlns:r="http://schemas.openxmlformats.org/officeDocument/2006/relationships" r:id="Rbf2dcca1ae4842a2"/>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3a4cb0aa0e804fe1"/>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7e6717ef2cd4d10"/>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209</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COUNTIF(Items!$D$6:$D$1005,A9)</x:f>
        <x:v>112</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COUNTIF(Items!$AA$6:$AA$1005,"Offensive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COUNTIFS(Items!$D$6:$D$1005,"Weapons",Items!$E$6:$E$1005,A18)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COUNTIFS(Items!$D$6:$D$1005,"Weapons",Items!$E$6:$E$1005,A19)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COUNTIFS(Items!$D$6:$D$1005,"Weapons",Items!$E$6:$E$1005,A20)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COUNTIFS(Items!$D$6:$D$1005,"Resources",Items!$E$6:$E$1005,"Ancient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7</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40</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56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34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73</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38</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b3787575be7a49cc"/>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483 catalog entries: 18 existing definition IDs and 465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488. AI owns crafting role; AJ:AM and AE are calculated. C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483</x:v>
      </x:c>
    </x:row>
    <x:row r="193" ht="115" customHeight="1">
      <x:c r="A193" s="4" t="str">
        <x:v>Audit: recipe count</x:v>
      </x:c>
      <x:c r="B193" s="4" t="n">
        <x:f>COUNTA('Crafting recipes'!$A$6:$A$1005)</x:f>
        <x:v>227</x:v>
      </x:c>
    </x:row>
    <x:row r="194" ht="115" customHeight="1">
      <x:c r="A194" s="4" t="str">
        <x:v>Audit: relationship count</x:v>
      </x:c>
      <x:c r="B194" s="4" t="n">
        <x:f>COUNTA('Material routes'!$A$6:$A$1005)</x:f>
        <x:v>658</x:v>
      </x:c>
    </x:row>
    <x:row r="195" ht="115" customHeight="1">
      <x:c r="A195" s="4" t="str">
        <x:v>Audit: browser pair count</x:v>
      </x:c>
      <x:c r="B195" s="4" t="n">
        <x:f>COUNTA('Crafting browser'!$J$6:$J$1005)</x:f>
        <x:v>431</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sheetData>
  <x:pageMargins left="0.7" right="0.7" top="0.75" bottom="0.75" header="0.3" footer="0.3"/>
  <x:tableParts count="1">
    <x:tablePart xmlns:r="http://schemas.openxmlformats.org/officeDocument/2006/relationships" r:id="R39879428eb894a30"/>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0668b973a7694ab9"/>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760627f4eeea4a02"/>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47320ad388e34d76"/>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fc756edb25864530"/>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a4c3534c60fc4615"/>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a5c8392fa5f34572"/>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4" ht="50" customHeight="1">
      <x:c r="A204" s="4" t="str">
        <x:v>Material tier</x:v>
      </x:c>
      <x:c r="B204" s="4" t="str">
        <x:v>T0</x:v>
      </x:c>
      <x:c r="C204"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5" ht="50" customHeight="1">
      <x:c r="A205" s="4" t="str">
        <x:v>Material tier</x:v>
      </x:c>
      <x:c r="B205" s="4" t="str">
        <x:v>T1</x:v>
      </x:c>
      <x:c r="C205"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6" ht="50" customHeight="1">
      <x:c r="A206" s="4" t="str">
        <x:v>Material tier</x:v>
      </x:c>
      <x:c r="B206" s="4" t="str">
        <x:v>T2</x:v>
      </x:c>
      <x:c r="C206"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7" ht="50" customHeight="1">
      <x:c r="A207" s="4" t="str">
        <x:v>Material tier</x:v>
      </x:c>
      <x:c r="B207" s="4" t="str">
        <x:v>T3</x:v>
      </x:c>
      <x:c r="C207"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8" ht="50" customHeight="1">
      <x:c r="A208" s="4" t="str">
        <x:v>Material tier</x:v>
      </x:c>
      <x:c r="B208" s="4" t="str">
        <x:v>T4</x:v>
      </x:c>
      <x:c r="C208"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09" ht="50" customHeight="1">
      <x:c r="A209" s="4" t="str">
        <x:v>Material tier</x:v>
      </x:c>
      <x:c r="B209" s="4" t="str">
        <x:v>Unassigned</x:v>
      </x:c>
      <x:c r="C209" s="4"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f93125c1f7154c8d"/>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Crafting components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Crafting components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Crafting components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Resources</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Resources</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Resources</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Resources</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Resources</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Resources</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Resources</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Resources</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Resources</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Resources</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Resources</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Resources</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Resources</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Resources</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Resources</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Resources</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Resources</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Resources</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Resources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Resources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Resources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Resources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Resources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Resources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Resources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Resources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Crafting components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Crafting components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Crafting components</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Crafting components</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Crafting components</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Crafting components</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Crafting components</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Crafting components</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Crafting components</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Resources</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Resources</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Resources</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Resources</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Resources</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Resources</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Resources</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Resources</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Resources</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Resources</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Resources</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Resources</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Resources</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Resources</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Resources</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Resources</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Resources</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Resources</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Resources</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Resources</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Resources</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Resources</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Resources</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Resources</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Resources</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Resources</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Resources</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Resources</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Resources</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Resources</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Resources</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Resources</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Resources</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Resources</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Resources</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Resources</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Resources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Resources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Resources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Resources</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Resources</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Resources</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Resources</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Resources</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Resources</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Resources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Resources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Resources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Resources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Resources</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Resources</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Resources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Resources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Resources</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Resources</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Resources</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Resources</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Resources</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Resources</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Resources</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Resources</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Resources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Resources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Resources</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Resources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Resources</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Resources</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Resources</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Resources</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Resources</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Resources</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Resources</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Resources</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Resources</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Resources</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Resources</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Resources</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Resources</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Resources</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Resources</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Resources</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Resources</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Resources</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Resources</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Resources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Resources</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Resources</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Resources</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Resources</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Resources</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Resources</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Resources</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Resources</x:v>
      </x:c>
      <x:c r="D647" s="4" t="str">
        <x:v>Primary</x:v>
      </x:c>
      <x:c r="E647" s="4" t="str">
        <x:f>IFERROR(INDEX('Items'!$AA$6:$AA$1005,MATCH(A647,'Items'!$A$6:$A$1005,0)),"MISSING ID")</x:f>
        <x:v>Chemical processing</x:v>
      </x:c>
      <x:c r="F647" s="4" t="str">
        <x:v>Hypothetical precursor use; no chemical efficacy asserted.</x:v>
      </x:c>
    </x:row>
  </x:sheetData>
  <x:dataValidations count="3">
    <x:dataValidation type="list" sqref="A6:A1005">
      <x:formula1>'Items'!$A$6:$A$488</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f95dd97171af44b2"/>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Resources</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Resources</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Resources</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Resources</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Resources</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Resources</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Resources</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Resources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Resources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Resources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Resources</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Resources</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Resources</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Resources</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Resources</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Resources</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Resources</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Resources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Resources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Resources</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Resources</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Resources</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Resources</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Resources</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Resources</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Resources</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Resources</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Resources</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Resources</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Resources</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Resources</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Resources</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Resources</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Resources</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Resources</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Resources</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Resources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Resources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Resources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Resources</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Resources</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Resources</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Resources</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Resources</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Resources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Resources</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Resources</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Resources</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Resources</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Resources</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Resources</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Resources</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Resources</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Resources</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Resources</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Resources</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Resources</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Resources</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Resources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Resources</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Resources</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Resources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Resources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Resources</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Resources</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Resources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Resources</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Resources</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Resources</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Resources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Resources</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Resources</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Resources</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Resources</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Resources</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Resources</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Resources</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Resources</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Resources</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Resources</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Resources</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Resources</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Resources</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Resources</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Resources</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Resources</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Resources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Resources</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Resources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Resources</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Resources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Resources</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Resources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Resources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Resources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Resources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Resources</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Resources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Resources</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Resources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Resources</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Resources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Resources</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Resources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Resources</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Resources</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Resources</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Resources</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Resources</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Resources</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Resources</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Resources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Resources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Resources</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Resources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Resources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Resources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Resources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Resources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Resources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Resources</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Resources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Resources</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Resources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Resources</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Resources</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Resources</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Resources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Resources</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Resources</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Resources</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Resources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Resources</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Resources</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Resources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Resources</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Resources</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Resources</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Resources</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Resources</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Resources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Resources</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Resources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Resources</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Resources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Resources</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Resources</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Resources</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Resources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Resources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Resources</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Resources</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Resources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Resources</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Resources</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Resources</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Resources</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Resources</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Resources</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Resources</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Resources</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Resources</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Resources</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Resources</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Resources</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Resources</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Resources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Resources</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Resources</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Resources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Resources</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Resources</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Resources</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Resources</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Resources</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Resources</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Resources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Resources</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Resources</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Resources</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Resources</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Resources</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Resources</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Resources</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Resources</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Resources</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Resources</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Resources</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Resources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Resources</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Resources</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Resources</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Resources</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Resources</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Resources</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Resources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Resources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Resources</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Resources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Resources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Resources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Resources</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Resources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Resources</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Resources</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Resources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Resources</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Resources</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Resources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Resources</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Resources</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Resources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Resources</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Resources</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Resources</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Resources</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Resources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Resources</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Resources</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Resources</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Resources</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Resources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Resources</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Resources</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Resources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Resources</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Resources</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Resources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Resources</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Resources</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Resources</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Resources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Resources</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Resources</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Resources</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Resources</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Resources</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Resources</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Resources</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Resources</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Resources</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Resources</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Resources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Resources</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Resources</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Resources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Resources</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Resources</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Resources</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Resources</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Resources</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Resources</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Resources</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Resources</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Resources</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Resources</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Resources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Resources</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Resources</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Resources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Resources</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Resources</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Resources</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Resources</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Resources</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Resources</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Resources</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Resources</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Resources</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Resources</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Resources</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Resources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Resources</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Resources</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Resources</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Resources</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Resources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Resources</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Resources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Resources</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Resources</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Resources</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Resources</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Resources</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Resources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Resources</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Resources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Resources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Resources</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Resources</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Resources</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Resources</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Resources</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Resources</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Resources</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Resources</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Resources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Resources</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Resources</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Resources</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Resources</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Resources</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Resources</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Resources</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Resources</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Resources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Resources</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Resources</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Resources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Resources</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Resources</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Resources</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Resources</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Resources</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Resources</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Resources</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Resources</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Resources</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Resources</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Resources</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Resources</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Resources</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Resources</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Resources</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Resources</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Resources</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Resources</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Resources</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Resources</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Resources</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Resources</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Resources</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Resources</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Resources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Resources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Resources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Resources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Resources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Resources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Resources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Resources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Resources</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Resources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Resources</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Resources</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Resources</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Resources</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Resources</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Resources</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Resources</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Resources</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Resources</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Resources</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Resources</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Resources</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Resources</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Resources</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Resources</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Resources</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Resources</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Resources</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Resources</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Resources</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Resources</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Resources</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Resources</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Resources</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Resources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Resources</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Resources</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Resources</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Resources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Resources</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Resources</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Resources</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Resources</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Resources</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Resources</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Resources</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Resources</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Resources</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Resources</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Resources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Resources</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Resources</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Resources</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Resources</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Resources</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Resources</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Resources</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Resources</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Resources</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Resources</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Resources</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Resources</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Resources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Resources</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Resources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Resources</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Resources</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Resources</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Resources</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Resources</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Resources</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Resources</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Resources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Resources</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Resources</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Resources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Resources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Resources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Resources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Resources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Resources</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Resources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Resources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sheetData>
  <x:dataValidations count="3">
    <x:dataValidation type="list" sqref="B6:B1005">
      <x:formula1>'Crafting recipes'!$A$6:$A$232</x:formula1>
    </x:dataValidation>
    <x:dataValidation type="list" sqref="D6:D1005">
      <x:formula1>'Items'!$A$6:$A$488</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50bbeaa7076049b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9fa9df199224ea1"/>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T1</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Specialist workshop; tools, heat, power, tolerances and process conditions unresolved</x:v>
      </x:c>
      <x:c r="H119" s="4" t="str">
        <x:f>IF(I119=0,"Unassigned",IF(SUMIFS('Material routes'!$Q$6:$Q$1005,'Material routes'!$B$6:$B$1005,A119)&gt;0,"Unassigned","T"&amp;_xlfn.MAXIFS('Material routes'!$P$6:$P$1005,'Material routes'!$B$6:$B$1005,A119)))</x:f>
        <x:v>T2</x:v>
      </x:c>
      <x:c r="I119" s="4" t="n">
        <x:f>SUM(COUNTIFS('Material routes'!$B$6:$B$1005,A119,'Material routes'!$C$6:$C$1005,"Ingredient candidate"),COUNTIFS('Material routes'!$B$6:$B$1005,A119,'Material routes'!$C$6:$C$1005,"Consumed input"),COUNTIFS('Material routes'!$B$6:$B$1005,A119,'Material routes'!$C$6:$C$1005,"Contained input"),COUNTIFS('Material routes'!$B$6:$B$1005,A119,'Material routes'!$C$6:$C$1005,"Transform input"))</x:f>
        <x:v>2</x:v>
      </x:c>
      <x:c r="J119" s="4" t="n">
        <x:f>COUNTIFS('Material routes'!$B$6:$B$1005,A119,'Material routes'!$C$6:$C$1005,"Output")</x:f>
        <x:v>1</x:v>
      </x:c>
      <x:c r="K119" s="4" t="n">
        <x:f>COUNTIFS('Material routes'!$B$6:$B$1005,A119,'Material routes'!$C$6:$C$1005,"Tool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Specialist workshop; tools, heat, power, tolerances and process conditions unresolved</x:v>
      </x:c>
      <x:c r="H120" s="4" t="str">
        <x:f>IF(I120=0,"Unassigned",IF(SUMIFS('Material routes'!$Q$6:$Q$1005,'Material routes'!$B$6:$B$1005,A120)&gt;0,"Unassigned","T"&amp;_xlfn.MAXIFS('Material routes'!$P$6:$P$1005,'Material routes'!$B$6:$B$1005,A120)))</x:f>
        <x:v>T2</x:v>
      </x:c>
      <x:c r="I120" s="4" t="n">
        <x:f>SUM(COUNTIFS('Material routes'!$B$6:$B$1005,A120,'Material routes'!$C$6:$C$1005,"Ingredient candidate"),COUNTIFS('Material routes'!$B$6:$B$1005,A120,'Material routes'!$C$6:$C$1005,"Consumed input"),COUNTIFS('Material routes'!$B$6:$B$1005,A120,'Material routes'!$C$6:$C$1005,"Contained input"),COUNTIFS('Material routes'!$B$6:$B$1005,A120,'Material routes'!$C$6:$C$1005,"Transform input"))</x:f>
        <x:v>2</x:v>
      </x:c>
      <x:c r="J120" s="4" t="n">
        <x:f>COUNTIFS('Material routes'!$B$6:$B$1005,A120,'Material routes'!$C$6:$C$1005,"Output")</x:f>
        <x:v>1</x:v>
      </x:c>
      <x:c r="K120" s="4" t="n">
        <x:f>COUNTIFS('Material routes'!$B$6:$B$1005,A120,'Material routes'!$C$6:$C$1005,"Tool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Specialist workshop; tools, heat, power, tolerances and process conditions unresolved</x:v>
      </x:c>
      <x:c r="H121" s="4" t="str">
        <x:f>IF(I121=0,"Unassigned",IF(SUMIFS('Material routes'!$Q$6:$Q$1005,'Material routes'!$B$6:$B$1005,A121)&gt;0,"Unassigned","T"&amp;_xlfn.MAXIFS('Material routes'!$P$6:$P$1005,'Material routes'!$B$6:$B$1005,A121)))</x:f>
        <x:v>T2</x:v>
      </x:c>
      <x:c r="I121" s="4" t="n">
        <x:f>SUM(COUNTIFS('Material routes'!$B$6:$B$1005,A121,'Material routes'!$C$6:$C$1005,"Ingredient candidate"),COUNTIFS('Material routes'!$B$6:$B$1005,A121,'Material routes'!$C$6:$C$1005,"Consumed input"),COUNTIFS('Material routes'!$B$6:$B$1005,A121,'Material routes'!$C$6:$C$1005,"Contained input"),COUNTIFS('Material routes'!$B$6:$B$1005,A121,'Material routes'!$C$6:$C$1005,"Transform input"))</x:f>
        <x:v>2</x:v>
      </x:c>
      <x:c r="J121" s="4" t="n">
        <x:f>COUNTIFS('Material routes'!$B$6:$B$1005,A121,'Material routes'!$C$6:$C$1005,"Output")</x:f>
        <x:v>1</x:v>
      </x:c>
      <x:c r="K121" s="4" t="n">
        <x:f>COUNTIFS('Material routes'!$B$6:$B$1005,A121,'Material routes'!$C$6:$C$1005,"Tool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Specialist workshop; tools, heat, power, tolerances and process conditions unresolved</x:v>
      </x:c>
      <x:c r="H122" s="4" t="str">
        <x:f>IF(I122=0,"Unassigned",IF(SUMIFS('Material routes'!$Q$6:$Q$1005,'Material routes'!$B$6:$B$1005,A122)&gt;0,"Unassigned","T"&amp;_xlfn.MAXIFS('Material routes'!$P$6:$P$1005,'Material routes'!$B$6:$B$1005,A122)))</x:f>
        <x:v>T2</x:v>
      </x:c>
      <x:c r="I122" s="4" t="n">
        <x:f>SUM(COUNTIFS('Material routes'!$B$6:$B$1005,A122,'Material routes'!$C$6:$C$1005,"Ingredient candidate"),COUNTIFS('Material routes'!$B$6:$B$1005,A122,'Material routes'!$C$6:$C$1005,"Consumed input"),COUNTIFS('Material routes'!$B$6:$B$1005,A122,'Material routes'!$C$6:$C$1005,"Contained input"),COUNTIFS('Material routes'!$B$6:$B$1005,A122,'Material routes'!$C$6:$C$1005,"Transform input"))</x:f>
        <x:v>1</x:v>
      </x:c>
      <x:c r="J122" s="4" t="n">
        <x:f>COUNTIFS('Material routes'!$B$6:$B$1005,A122,'Material routes'!$C$6:$C$1005,"Output")</x:f>
        <x:v>1</x:v>
      </x:c>
      <x:c r="K122" s="4" t="n">
        <x:f>COUNTIFS('Material routes'!$B$6:$B$1005,A122,'Material routes'!$C$6:$C$1005,"Tool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Specialist workshop; tools, heat, power, tolerances and process conditions unresolved</x:v>
      </x:c>
      <x:c r="H123" s="4" t="str">
        <x:f>IF(I123=0,"Unassigned",IF(SUMIFS('Material routes'!$Q$6:$Q$1005,'Material routes'!$B$6:$B$1005,A123)&gt;0,"Unassigned","T"&amp;_xlfn.MAXIFS('Material routes'!$P$6:$P$1005,'Material routes'!$B$6:$B$1005,A123)))</x:f>
        <x:v>T2</x:v>
      </x:c>
      <x:c r="I123" s="4" t="n">
        <x:f>SUM(COUNTIFS('Material routes'!$B$6:$B$1005,A123,'Material routes'!$C$6:$C$1005,"Ingredient candidate"),COUNTIFS('Material routes'!$B$6:$B$1005,A123,'Material routes'!$C$6:$C$1005,"Consumed input"),COUNTIFS('Material routes'!$B$6:$B$1005,A123,'Material routes'!$C$6:$C$1005,"Contained input"),COUNTIFS('Material routes'!$B$6:$B$1005,A123,'Material routes'!$C$6:$C$1005,"Transform input"))</x:f>
        <x:v>2</x:v>
      </x:c>
      <x:c r="J123" s="4" t="n">
        <x:f>COUNTIFS('Material routes'!$B$6:$B$1005,A123,'Material routes'!$C$6:$C$1005,"Output")</x:f>
        <x:v>1</x:v>
      </x:c>
      <x:c r="K123" s="4" t="n">
        <x:f>COUNTIFS('Material routes'!$B$6:$B$1005,A123,'Material routes'!$C$6:$C$1005,"Tool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Specialist workshop; tools, heat, power, tolerances and process conditions unresolved</x:v>
      </x:c>
      <x:c r="H124" s="4" t="str">
        <x:f>IF(I124=0,"Unassigned",IF(SUMIFS('Material routes'!$Q$6:$Q$1005,'Material routes'!$B$6:$B$1005,A124)&gt;0,"Unassigned","T"&amp;_xlfn.MAXIFS('Material routes'!$P$6:$P$1005,'Material routes'!$B$6:$B$1005,A124)))</x:f>
        <x:v>T2</x:v>
      </x:c>
      <x:c r="I124" s="4" t="n">
        <x:f>SUM(COUNTIFS('Material routes'!$B$6:$B$1005,A124,'Material routes'!$C$6:$C$1005,"Ingredient candidate"),COUNTIFS('Material routes'!$B$6:$B$1005,A124,'Material routes'!$C$6:$C$1005,"Consumed input"),COUNTIFS('Material routes'!$B$6:$B$1005,A124,'Material routes'!$C$6:$C$1005,"Contained input"),COUNTIFS('Material routes'!$B$6:$B$1005,A124,'Material routes'!$C$6:$C$1005,"Transform input"))</x:f>
        <x:v>1</x:v>
      </x:c>
      <x:c r="J124" s="4" t="n">
        <x:f>COUNTIFS('Material routes'!$B$6:$B$1005,A124,'Material routes'!$C$6:$C$1005,"Output")</x:f>
        <x:v>1</x:v>
      </x:c>
      <x:c r="K124" s="4" t="n">
        <x:f>COUNTIFS('Material routes'!$B$6:$B$1005,A124,'Material routes'!$C$6:$C$1005,"Tool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Specialist workshop; tools, heat, power, tolerances and process conditions unresolved</x:v>
      </x:c>
      <x:c r="H125" s="4" t="str">
        <x:f>IF(I125=0,"Unassigned",IF(SUMIFS('Material routes'!$Q$6:$Q$1005,'Material routes'!$B$6:$B$1005,A125)&gt;0,"Unassigned","T"&amp;_xlfn.MAXIFS('Material routes'!$P$6:$P$1005,'Material routes'!$B$6:$B$1005,A125)))</x:f>
        <x:v>T2</x:v>
      </x:c>
      <x:c r="I125" s="4" t="n">
        <x:f>SUM(COUNTIFS('Material routes'!$B$6:$B$1005,A125,'Material routes'!$C$6:$C$1005,"Ingredient candidate"),COUNTIFS('Material routes'!$B$6:$B$1005,A125,'Material routes'!$C$6:$C$1005,"Consumed input"),COUNTIFS('Material routes'!$B$6:$B$1005,A125,'Material routes'!$C$6:$C$1005,"Contained input"),COUNTIFS('Material routes'!$B$6:$B$1005,A125,'Material routes'!$C$6:$C$1005,"Transform input"))</x:f>
        <x:v>2</x:v>
      </x:c>
      <x:c r="J125" s="4" t="n">
        <x:f>COUNTIFS('Material routes'!$B$6:$B$1005,A125,'Material routes'!$C$6:$C$1005,"Output")</x:f>
        <x:v>1</x:v>
      </x:c>
      <x:c r="K125" s="4" t="n">
        <x:f>COUNTIFS('Material routes'!$B$6:$B$1005,A125,'Material routes'!$C$6:$C$1005,"Tool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Specialist workshop; tools, heat, power, tolerances and process conditions unresolved</x:v>
      </x:c>
      <x:c r="H126" s="4" t="str">
        <x:f>IF(I126=0,"Unassigned",IF(SUMIFS('Material routes'!$Q$6:$Q$1005,'Material routes'!$B$6:$B$1005,A126)&gt;0,"Unassigned","T"&amp;_xlfn.MAXIFS('Material routes'!$P$6:$P$1005,'Material routes'!$B$6:$B$1005,A126)))</x:f>
        <x:v>T2</x:v>
      </x:c>
      <x:c r="I126" s="4" t="n">
        <x:f>SUM(COUNTIFS('Material routes'!$B$6:$B$1005,A126,'Material routes'!$C$6:$C$1005,"Ingredient candidate"),COUNTIFS('Material routes'!$B$6:$B$1005,A126,'Material routes'!$C$6:$C$1005,"Consumed input"),COUNTIFS('Material routes'!$B$6:$B$1005,A126,'Material routes'!$C$6:$C$1005,"Contained input"),COUNTIFS('Material routes'!$B$6:$B$1005,A126,'Material routes'!$C$6:$C$1005,"Transform input"))</x:f>
        <x:v>3</x:v>
      </x:c>
      <x:c r="J126" s="4" t="n">
        <x:f>COUNTIFS('Material routes'!$B$6:$B$1005,A126,'Material routes'!$C$6:$C$1005,"Output")</x:f>
        <x:v>1</x:v>
      </x:c>
      <x:c r="K126" s="4" t="n">
        <x:f>COUNTIFS('Material routes'!$B$6:$B$1005,A126,'Material routes'!$C$6:$C$1005,"Tool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Specialist workshop; tools, heat, power, tolerances and process conditions unresolved</x:v>
      </x:c>
      <x:c r="H127" s="4" t="str">
        <x:f>IF(I127=0,"Unassigned",IF(SUMIFS('Material routes'!$Q$6:$Q$1005,'Material routes'!$B$6:$B$1005,A127)&gt;0,"Unassigned","T"&amp;_xlfn.MAXIFS('Material routes'!$P$6:$P$1005,'Material routes'!$B$6:$B$1005,A127)))</x:f>
        <x:v>T2</x:v>
      </x:c>
      <x:c r="I127" s="4" t="n">
        <x:f>SUM(COUNTIFS('Material routes'!$B$6:$B$1005,A127,'Material routes'!$C$6:$C$1005,"Ingredient candidate"),COUNTIFS('Material routes'!$B$6:$B$1005,A127,'Material routes'!$C$6:$C$1005,"Consumed input"),COUNTIFS('Material routes'!$B$6:$B$1005,A127,'Material routes'!$C$6:$C$1005,"Contained input"),COUNTIFS('Material routes'!$B$6:$B$1005,A127,'Material routes'!$C$6:$C$1005,"Transform input"))</x:f>
        <x:v>2</x:v>
      </x:c>
      <x:c r="J127" s="4" t="n">
        <x:f>COUNTIFS('Material routes'!$B$6:$B$1005,A127,'Material routes'!$C$6:$C$1005,"Output")</x:f>
        <x:v>1</x:v>
      </x:c>
      <x:c r="K127" s="4" t="n">
        <x:f>COUNTIFS('Material routes'!$B$6:$B$1005,A127,'Material routes'!$C$6:$C$1005,"Tool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Specialist workshop; tools, heat, power, tolerances and process conditions unresolved</x:v>
      </x:c>
      <x:c r="H128" s="4" t="str">
        <x:f>IF(I128=0,"Unassigned",IF(SUMIFS('Material routes'!$Q$6:$Q$1005,'Material routes'!$B$6:$B$1005,A128)&gt;0,"Unassigned","T"&amp;_xlfn.MAXIFS('Material routes'!$P$6:$P$1005,'Material routes'!$B$6:$B$1005,A128)))</x:f>
        <x:v>T2</x:v>
      </x:c>
      <x:c r="I128" s="4" t="n">
        <x:f>SUM(COUNTIFS('Material routes'!$B$6:$B$1005,A128,'Material routes'!$C$6:$C$1005,"Ingredient candidate"),COUNTIFS('Material routes'!$B$6:$B$1005,A128,'Material routes'!$C$6:$C$1005,"Consumed input"),COUNTIFS('Material routes'!$B$6:$B$1005,A128,'Material routes'!$C$6:$C$1005,"Contained input"),COUNTIFS('Material routes'!$B$6:$B$1005,A128,'Material routes'!$C$6:$C$1005,"Transform input"))</x:f>
        <x:v>2</x:v>
      </x:c>
      <x:c r="J128" s="4" t="n">
        <x:f>COUNTIFS('Material routes'!$B$6:$B$1005,A128,'Material routes'!$C$6:$C$1005,"Output")</x:f>
        <x:v>1</x:v>
      </x:c>
      <x:c r="K128" s="4" t="n">
        <x:f>COUNTIFS('Material routes'!$B$6:$B$1005,A128,'Material routes'!$C$6:$C$1005,"Tool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Specialist workshop; tools, heat, power, tolerances and process conditions unresolved</x:v>
      </x:c>
      <x:c r="H129" s="4" t="str">
        <x:f>IF(I129=0,"Unassigned",IF(SUMIFS('Material routes'!$Q$6:$Q$1005,'Material routes'!$B$6:$B$1005,A129)&gt;0,"Unassigned","T"&amp;_xlfn.MAXIFS('Material routes'!$P$6:$P$1005,'Material routes'!$B$6:$B$1005,A129)))</x:f>
        <x:v>T2</x:v>
      </x:c>
      <x:c r="I129" s="4" t="n">
        <x:f>SUM(COUNTIFS('Material routes'!$B$6:$B$1005,A129,'Material routes'!$C$6:$C$1005,"Ingredient candidate"),COUNTIFS('Material routes'!$B$6:$B$1005,A129,'Material routes'!$C$6:$C$1005,"Consumed input"),COUNTIFS('Material routes'!$B$6:$B$1005,A129,'Material routes'!$C$6:$C$1005,"Contained input"),COUNTIFS('Material routes'!$B$6:$B$1005,A129,'Material routes'!$C$6:$C$1005,"Transform input"))</x:f>
        <x:v>3</x:v>
      </x:c>
      <x:c r="J129" s="4" t="n">
        <x:f>COUNTIFS('Material routes'!$B$6:$B$1005,A129,'Material routes'!$C$6:$C$1005,"Output")</x:f>
        <x:v>1</x:v>
      </x:c>
      <x:c r="K129" s="4" t="n">
        <x:f>COUNTIFS('Material routes'!$B$6:$B$1005,A129,'Material routes'!$C$6:$C$1005,"Tool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Specialist workshop; tools, heat, power, tolerances and process conditions unresolved</x:v>
      </x:c>
      <x:c r="H130" s="4" t="str">
        <x:f>IF(I130=0,"Unassigned",IF(SUMIFS('Material routes'!$Q$6:$Q$1005,'Material routes'!$B$6:$B$1005,A130)&gt;0,"Unassigned","T"&amp;_xlfn.MAXIFS('Material routes'!$P$6:$P$1005,'Material routes'!$B$6:$B$1005,A130)))</x:f>
        <x:v>T2</x:v>
      </x:c>
      <x:c r="I130" s="4" t="n">
        <x:f>SUM(COUNTIFS('Material routes'!$B$6:$B$1005,A130,'Material routes'!$C$6:$C$1005,"Ingredient candidate"),COUNTIFS('Material routes'!$B$6:$B$1005,A130,'Material routes'!$C$6:$C$1005,"Consumed input"),COUNTIFS('Material routes'!$B$6:$B$1005,A130,'Material routes'!$C$6:$C$1005,"Contained input"),COUNTIFS('Material routes'!$B$6:$B$1005,A130,'Material routes'!$C$6:$C$1005,"Transform input"))</x:f>
        <x:v>2</x:v>
      </x:c>
      <x:c r="J130" s="4" t="n">
        <x:f>COUNTIFS('Material routes'!$B$6:$B$1005,A130,'Material routes'!$C$6:$C$1005,"Output")</x:f>
        <x:v>1</x:v>
      </x:c>
      <x:c r="K130" s="4" t="n">
        <x:f>COUNTIFS('Material routes'!$B$6:$B$1005,A130,'Material routes'!$C$6:$C$1005,"Tool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Specialist workshop; tools, heat, power, tolerances and process conditions unresolved</x:v>
      </x:c>
      <x:c r="H131" s="4" t="str">
        <x:f>IF(I131=0,"Unassigned",IF(SUMIFS('Material routes'!$Q$6:$Q$1005,'Material routes'!$B$6:$B$1005,A131)&gt;0,"Unassigned","T"&amp;_xlfn.MAXIFS('Material routes'!$P$6:$P$1005,'Material routes'!$B$6:$B$1005,A131)))</x:f>
        <x:v>T2</x:v>
      </x:c>
      <x:c r="I131" s="4" t="n">
        <x:f>SUM(COUNTIFS('Material routes'!$B$6:$B$1005,A131,'Material routes'!$C$6:$C$1005,"Ingredient candidate"),COUNTIFS('Material routes'!$B$6:$B$1005,A131,'Material routes'!$C$6:$C$1005,"Consumed input"),COUNTIFS('Material routes'!$B$6:$B$1005,A131,'Material routes'!$C$6:$C$1005,"Contained input"),COUNTIFS('Material routes'!$B$6:$B$1005,A131,'Material routes'!$C$6:$C$1005,"Transform input"))</x:f>
        <x:v>2</x:v>
      </x:c>
      <x:c r="J131" s="4" t="n">
        <x:f>COUNTIFS('Material routes'!$B$6:$B$1005,A131,'Material routes'!$C$6:$C$1005,"Output")</x:f>
        <x:v>1</x:v>
      </x:c>
      <x:c r="K131" s="4" t="n">
        <x:f>COUNTIFS('Material routes'!$B$6:$B$1005,A131,'Material routes'!$C$6:$C$1005,"Tool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Specialist workshop; tools, heat, power, tolerances and process conditions unresolved</x:v>
      </x:c>
      <x:c r="H132" s="4" t="str">
        <x:f>IF(I132=0,"Unassigned",IF(SUMIFS('Material routes'!$Q$6:$Q$1005,'Material routes'!$B$6:$B$1005,A132)&gt;0,"Unassigned","T"&amp;_xlfn.MAXIFS('Material routes'!$P$6:$P$1005,'Material routes'!$B$6:$B$1005,A132)))</x:f>
        <x:v>T2</x:v>
      </x:c>
      <x:c r="I132" s="4" t="n">
        <x:f>SUM(COUNTIFS('Material routes'!$B$6:$B$1005,A132,'Material routes'!$C$6:$C$1005,"Ingredient candidate"),COUNTIFS('Material routes'!$B$6:$B$1005,A132,'Material routes'!$C$6:$C$1005,"Consumed input"),COUNTIFS('Material routes'!$B$6:$B$1005,A132,'Material routes'!$C$6:$C$1005,"Contained input"),COUNTIFS('Material routes'!$B$6:$B$1005,A132,'Material routes'!$C$6:$C$1005,"Transform input"))</x:f>
        <x:v>3</x:v>
      </x:c>
      <x:c r="J132" s="4" t="n">
        <x:f>COUNTIFS('Material routes'!$B$6:$B$1005,A132,'Material routes'!$C$6:$C$1005,"Output")</x:f>
        <x:v>1</x:v>
      </x:c>
      <x:c r="K132" s="4" t="n">
        <x:f>COUNTIFS('Material routes'!$B$6:$B$1005,A132,'Material routes'!$C$6:$C$1005,"Tool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Specialist workshop; tools, heat, power, tolerances and process conditions unresolved</x:v>
      </x:c>
      <x:c r="H133" s="4" t="str">
        <x:f>IF(I133=0,"Unassigned",IF(SUMIFS('Material routes'!$Q$6:$Q$1005,'Material routes'!$B$6:$B$1005,A133)&gt;0,"Unassigned","T"&amp;_xlfn.MAXIFS('Material routes'!$P$6:$P$1005,'Material routes'!$B$6:$B$1005,A133)))</x:f>
        <x:v>T2</x:v>
      </x:c>
      <x:c r="I133" s="4" t="n">
        <x:f>SUM(COUNTIFS('Material routes'!$B$6:$B$1005,A133,'Material routes'!$C$6:$C$1005,"Ingredient candidate"),COUNTIFS('Material routes'!$B$6:$B$1005,A133,'Material routes'!$C$6:$C$1005,"Consumed input"),COUNTIFS('Material routes'!$B$6:$B$1005,A133,'Material routes'!$C$6:$C$1005,"Contained input"),COUNTIFS('Material routes'!$B$6:$B$1005,A133,'Material routes'!$C$6:$C$1005,"Transform input"))</x:f>
        <x:v>2</x:v>
      </x:c>
      <x:c r="J133" s="4" t="n">
        <x:f>COUNTIFS('Material routes'!$B$6:$B$1005,A133,'Material routes'!$C$6:$C$1005,"Output")</x:f>
        <x:v>1</x:v>
      </x:c>
      <x:c r="K133" s="4" t="n">
        <x:f>COUNTIFS('Material routes'!$B$6:$B$1005,A133,'Material routes'!$C$6:$C$1005,"Tool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Specialist workshop; tools, heat, power, tolerances and process conditions unresolved</x:v>
      </x:c>
      <x:c r="H134" s="4" t="str">
        <x:f>IF(I134=0,"Unassigned",IF(SUMIFS('Material routes'!$Q$6:$Q$1005,'Material routes'!$B$6:$B$1005,A134)&gt;0,"Unassigned","T"&amp;_xlfn.MAXIFS('Material routes'!$P$6:$P$1005,'Material routes'!$B$6:$B$1005,A134)))</x:f>
        <x:v>T2</x:v>
      </x:c>
      <x:c r="I134" s="4" t="n">
        <x:f>SUM(COUNTIFS('Material routes'!$B$6:$B$1005,A134,'Material routes'!$C$6:$C$1005,"Ingredient candidate"),COUNTIFS('Material routes'!$B$6:$B$1005,A134,'Material routes'!$C$6:$C$1005,"Consumed input"),COUNTIFS('Material routes'!$B$6:$B$1005,A134,'Material routes'!$C$6:$C$1005,"Contained input"),COUNTIFS('Material routes'!$B$6:$B$1005,A134,'Material routes'!$C$6:$C$1005,"Transform input"))</x:f>
        <x:v>3</x:v>
      </x:c>
      <x:c r="J134" s="4" t="n">
        <x:f>COUNTIFS('Material routes'!$B$6:$B$1005,A134,'Material routes'!$C$6:$C$1005,"Output")</x:f>
        <x:v>1</x:v>
      </x:c>
      <x:c r="K134" s="4" t="n">
        <x:f>COUNTIFS('Material routes'!$B$6:$B$1005,A134,'Material routes'!$C$6:$C$1005,"Tool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Specialist workshop; tools, heat, power, tolerances and process conditions unresolved</x:v>
      </x:c>
      <x:c r="H135" s="4" t="str">
        <x:f>IF(I135=0,"Unassigned",IF(SUMIFS('Material routes'!$Q$6:$Q$1005,'Material routes'!$B$6:$B$1005,A135)&gt;0,"Unassigned","T"&amp;_xlfn.MAXIFS('Material routes'!$P$6:$P$1005,'Material routes'!$B$6:$B$1005,A135)))</x:f>
        <x:v>T2</x:v>
      </x:c>
      <x:c r="I135" s="4" t="n">
        <x:f>SUM(COUNTIFS('Material routes'!$B$6:$B$1005,A135,'Material routes'!$C$6:$C$1005,"Ingredient candidate"),COUNTIFS('Material routes'!$B$6:$B$1005,A135,'Material routes'!$C$6:$C$1005,"Consumed input"),COUNTIFS('Material routes'!$B$6:$B$1005,A135,'Material routes'!$C$6:$C$1005,"Contained input"),COUNTIFS('Material routes'!$B$6:$B$1005,A135,'Material routes'!$C$6:$C$1005,"Transform input"))</x:f>
        <x:v>3</x:v>
      </x:c>
      <x:c r="J135" s="4" t="n">
        <x:f>COUNTIFS('Material routes'!$B$6:$B$1005,A135,'Material routes'!$C$6:$C$1005,"Output")</x:f>
        <x:v>1</x:v>
      </x:c>
      <x:c r="K135" s="4" t="n">
        <x:f>COUNTIFS('Material routes'!$B$6:$B$1005,A135,'Material routes'!$C$6:$C$1005,"Tool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Specialist workshop; tools, heat, power, tolerances and process conditions unresolved</x:v>
      </x:c>
      <x:c r="H136" s="4" t="str">
        <x:f>IF(I136=0,"Unassigned",IF(SUMIFS('Material routes'!$Q$6:$Q$1005,'Material routes'!$B$6:$B$1005,A136)&gt;0,"Unassigned","T"&amp;_xlfn.MAXIFS('Material routes'!$P$6:$P$1005,'Material routes'!$B$6:$B$1005,A136)))</x:f>
        <x:v>T2</x:v>
      </x:c>
      <x:c r="I136" s="4" t="n">
        <x:f>SUM(COUNTIFS('Material routes'!$B$6:$B$1005,A136,'Material routes'!$C$6:$C$1005,"Ingredient candidate"),COUNTIFS('Material routes'!$B$6:$B$1005,A136,'Material routes'!$C$6:$C$1005,"Consumed input"),COUNTIFS('Material routes'!$B$6:$B$1005,A136,'Material routes'!$C$6:$C$1005,"Contained input"),COUNTIFS('Material routes'!$B$6:$B$1005,A136,'Material routes'!$C$6:$C$1005,"Transform input"))</x:f>
        <x:v>2</x:v>
      </x:c>
      <x:c r="J136" s="4" t="n">
        <x:f>COUNTIFS('Material routes'!$B$6:$B$1005,A136,'Material routes'!$C$6:$C$1005,"Output")</x:f>
        <x:v>1</x:v>
      </x:c>
      <x:c r="K136" s="4" t="n">
        <x:f>COUNTIFS('Material routes'!$B$6:$B$1005,A136,'Material routes'!$C$6:$C$1005,"Tool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Specialist workshop; tools, heat, power, tolerances and process conditions unresolved</x:v>
      </x:c>
      <x:c r="H137" s="4" t="str">
        <x:f>IF(I137=0,"Unassigned",IF(SUMIFS('Material routes'!$Q$6:$Q$1005,'Material routes'!$B$6:$B$1005,A137)&gt;0,"Unassigned","T"&amp;_xlfn.MAXIFS('Material routes'!$P$6:$P$1005,'Material routes'!$B$6:$B$1005,A137)))</x:f>
        <x:v>T2</x:v>
      </x:c>
      <x:c r="I137" s="4" t="n">
        <x:f>SUM(COUNTIFS('Material routes'!$B$6:$B$1005,A137,'Material routes'!$C$6:$C$1005,"Ingredient candidate"),COUNTIFS('Material routes'!$B$6:$B$1005,A137,'Material routes'!$C$6:$C$1005,"Consumed input"),COUNTIFS('Material routes'!$B$6:$B$1005,A137,'Material routes'!$C$6:$C$1005,"Contained input"),COUNTIFS('Material routes'!$B$6:$B$1005,A137,'Material routes'!$C$6:$C$1005,"Transform input"))</x:f>
        <x:v>3</x:v>
      </x:c>
      <x:c r="J137" s="4" t="n">
        <x:f>COUNTIFS('Material routes'!$B$6:$B$1005,A137,'Material routes'!$C$6:$C$1005,"Output")</x:f>
        <x:v>1</x:v>
      </x:c>
      <x:c r="K137" s="4" t="n">
        <x:f>COUNTIFS('Material routes'!$B$6:$B$1005,A137,'Material routes'!$C$6:$C$1005,"Tool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Specialist workshop; tools, heat, power, tolerances and process conditions unresolved</x:v>
      </x:c>
      <x:c r="H138" s="4" t="str">
        <x:f>IF(I138=0,"Unassigned",IF(SUMIFS('Material routes'!$Q$6:$Q$1005,'Material routes'!$B$6:$B$1005,A138)&gt;0,"Unassigned","T"&amp;_xlfn.MAXIFS('Material routes'!$P$6:$P$1005,'Material routes'!$B$6:$B$1005,A138)))</x:f>
        <x:v>T2</x:v>
      </x:c>
      <x:c r="I138" s="4" t="n">
        <x:f>SUM(COUNTIFS('Material routes'!$B$6:$B$1005,A138,'Material routes'!$C$6:$C$1005,"Ingredient candidate"),COUNTIFS('Material routes'!$B$6:$B$1005,A138,'Material routes'!$C$6:$C$1005,"Consumed input"),COUNTIFS('Material routes'!$B$6:$B$1005,A138,'Material routes'!$C$6:$C$1005,"Contained input"),COUNTIFS('Material routes'!$B$6:$B$1005,A138,'Material routes'!$C$6:$C$1005,"Transform input"))</x:f>
        <x:v>3</x:v>
      </x:c>
      <x:c r="J138" s="4" t="n">
        <x:f>COUNTIFS('Material routes'!$B$6:$B$1005,A138,'Material routes'!$C$6:$C$1005,"Output")</x:f>
        <x:v>1</x:v>
      </x:c>
      <x:c r="K138" s="4" t="n">
        <x:f>COUNTIFS('Material routes'!$B$6:$B$1005,A138,'Material routes'!$C$6:$C$1005,"Tool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Specialist workshop; tools, heat, power, tolerances and process conditions unresolved</x:v>
      </x:c>
      <x:c r="H139" s="4" t="str">
        <x:f>IF(I139=0,"Unassigned",IF(SUMIFS('Material routes'!$Q$6:$Q$1005,'Material routes'!$B$6:$B$1005,A139)&gt;0,"Unassigned","T"&amp;_xlfn.MAXIFS('Material routes'!$P$6:$P$1005,'Material routes'!$B$6:$B$1005,A139)))</x:f>
        <x:v>T3</x:v>
      </x:c>
      <x:c r="I139" s="4" t="n">
        <x:f>SUM(COUNTIFS('Material routes'!$B$6:$B$1005,A139,'Material routes'!$C$6:$C$1005,"Ingredient candidate"),COUNTIFS('Material routes'!$B$6:$B$1005,A139,'Material routes'!$C$6:$C$1005,"Consumed input"),COUNTIFS('Material routes'!$B$6:$B$1005,A139,'Material routes'!$C$6:$C$1005,"Contained input"),COUNTIFS('Material routes'!$B$6:$B$1005,A139,'Material routes'!$C$6:$C$1005,"Transform input"))</x:f>
        <x:v>5</x:v>
      </x:c>
      <x:c r="J139" s="4" t="n">
        <x:f>COUNTIFS('Material routes'!$B$6:$B$1005,A139,'Material routes'!$C$6:$C$1005,"Output")</x:f>
        <x:v>1</x:v>
      </x:c>
      <x:c r="K139" s="4" t="n">
        <x:f>COUNTIFS('Material routes'!$B$6:$B$1005,A139,'Material routes'!$C$6:$C$1005,"Tool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Specialist workshop; tools, heat, power, tolerances and process conditions unresolved</x:v>
      </x:c>
      <x:c r="H140" s="4" t="str">
        <x:f>IF(I140=0,"Unassigned",IF(SUMIFS('Material routes'!$Q$6:$Q$1005,'Material routes'!$B$6:$B$1005,A140)&gt;0,"Unassigned","T"&amp;_xlfn.MAXIFS('Material routes'!$P$6:$P$1005,'Material routes'!$B$6:$B$1005,A140)))</x:f>
        <x:v>T3</x:v>
      </x:c>
      <x:c r="I140" s="4" t="n">
        <x:f>SUM(COUNTIFS('Material routes'!$B$6:$B$1005,A140,'Material routes'!$C$6:$C$1005,"Ingredient candidate"),COUNTIFS('Material routes'!$B$6:$B$1005,A140,'Material routes'!$C$6:$C$1005,"Consumed input"),COUNTIFS('Material routes'!$B$6:$B$1005,A140,'Material routes'!$C$6:$C$1005,"Contained input"),COUNTIFS('Material routes'!$B$6:$B$1005,A140,'Material routes'!$C$6:$C$1005,"Transform input"))</x:f>
        <x:v>4</x:v>
      </x:c>
      <x:c r="J140" s="4" t="n">
        <x:f>COUNTIFS('Material routes'!$B$6:$B$1005,A140,'Material routes'!$C$6:$C$1005,"Output")</x:f>
        <x:v>1</x:v>
      </x:c>
      <x:c r="K140" s="4" t="n">
        <x:f>COUNTIFS('Material routes'!$B$6:$B$1005,A140,'Material routes'!$C$6:$C$1005,"Tool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Specialist workshop; tools, heat, power, tolerances and process conditions unresolved</x:v>
      </x:c>
      <x:c r="H141" s="4" t="str">
        <x:f>IF(I141=0,"Unassigned",IF(SUMIFS('Material routes'!$Q$6:$Q$1005,'Material routes'!$B$6:$B$1005,A141)&gt;0,"Unassigned","T"&amp;_xlfn.MAXIFS('Material routes'!$P$6:$P$1005,'Material routes'!$B$6:$B$1005,A141)))</x:f>
        <x:v>T3</x:v>
      </x:c>
      <x:c r="I141" s="4" t="n">
        <x:f>SUM(COUNTIFS('Material routes'!$B$6:$B$1005,A141,'Material routes'!$C$6:$C$1005,"Ingredient candidate"),COUNTIFS('Material routes'!$B$6:$B$1005,A141,'Material routes'!$C$6:$C$1005,"Consumed input"),COUNTIFS('Material routes'!$B$6:$B$1005,A141,'Material routes'!$C$6:$C$1005,"Contained input"),COUNTIFS('Material routes'!$B$6:$B$1005,A141,'Material routes'!$C$6:$C$1005,"Transform input"))</x:f>
        <x:v>3</x:v>
      </x:c>
      <x:c r="J141" s="4" t="n">
        <x:f>COUNTIFS('Material routes'!$B$6:$B$1005,A141,'Material routes'!$C$6:$C$1005,"Output")</x:f>
        <x:v>1</x:v>
      </x:c>
      <x:c r="K141" s="4" t="n">
        <x:f>COUNTIFS('Material routes'!$B$6:$B$1005,A141,'Material routes'!$C$6:$C$1005,"Tool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Specialist workshop; tools, heat, power, tolerances and process conditions unresolved</x:v>
      </x:c>
      <x:c r="H142" s="4" t="str">
        <x:f>IF(I142=0,"Unassigned",IF(SUMIFS('Material routes'!$Q$6:$Q$1005,'Material routes'!$B$6:$B$1005,A142)&gt;0,"Unassigned","T"&amp;_xlfn.MAXIFS('Material routes'!$P$6:$P$1005,'Material routes'!$B$6:$B$1005,A142)))</x:f>
        <x:v>T3</x:v>
      </x:c>
      <x:c r="I142" s="4" t="n">
        <x:f>SUM(COUNTIFS('Material routes'!$B$6:$B$1005,A142,'Material routes'!$C$6:$C$1005,"Ingredient candidate"),COUNTIFS('Material routes'!$B$6:$B$1005,A142,'Material routes'!$C$6:$C$1005,"Consumed input"),COUNTIFS('Material routes'!$B$6:$B$1005,A142,'Material routes'!$C$6:$C$1005,"Contained input"),COUNTIFS('Material routes'!$B$6:$B$1005,A142,'Material routes'!$C$6:$C$1005,"Transform input"))</x:f>
        <x:v>3</x:v>
      </x:c>
      <x:c r="J142" s="4" t="n">
        <x:f>COUNTIFS('Material routes'!$B$6:$B$1005,A142,'Material routes'!$C$6:$C$1005,"Output")</x:f>
        <x:v>1</x:v>
      </x:c>
      <x:c r="K142" s="4" t="n">
        <x:f>COUNTIFS('Material routes'!$B$6:$B$1005,A142,'Material routes'!$C$6:$C$1005,"Tool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Specialist workshop; tools, heat, power, tolerances and process conditions unresolved</x:v>
      </x:c>
      <x:c r="H143" s="4" t="str">
        <x:f>IF(I143=0,"Unassigned",IF(SUMIFS('Material routes'!$Q$6:$Q$1005,'Material routes'!$B$6:$B$1005,A143)&gt;0,"Unassigned","T"&amp;_xlfn.MAXIFS('Material routes'!$P$6:$P$1005,'Material routes'!$B$6:$B$1005,A143)))</x:f>
        <x:v>T3</x:v>
      </x:c>
      <x:c r="I143" s="4" t="n">
        <x:f>SUM(COUNTIFS('Material routes'!$B$6:$B$1005,A143,'Material routes'!$C$6:$C$1005,"Ingredient candidate"),COUNTIFS('Material routes'!$B$6:$B$1005,A143,'Material routes'!$C$6:$C$1005,"Consumed input"),COUNTIFS('Material routes'!$B$6:$B$1005,A143,'Material routes'!$C$6:$C$1005,"Contained input"),COUNTIFS('Material routes'!$B$6:$B$1005,A143,'Material routes'!$C$6:$C$1005,"Transform input"))</x:f>
        <x:v>4</x:v>
      </x:c>
      <x:c r="J143" s="4" t="n">
        <x:f>COUNTIFS('Material routes'!$B$6:$B$1005,A143,'Material routes'!$C$6:$C$1005,"Output")</x:f>
        <x:v>1</x:v>
      </x:c>
      <x:c r="K143" s="4" t="n">
        <x:f>COUNTIFS('Material routes'!$B$6:$B$1005,A143,'Material routes'!$C$6:$C$1005,"Tool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Specialist workshop; tools, heat, power, tolerances and process conditions unresolved</x:v>
      </x:c>
      <x:c r="H144" s="4" t="str">
        <x:f>IF(I144=0,"Unassigned",IF(SUMIFS('Material routes'!$Q$6:$Q$1005,'Material routes'!$B$6:$B$1005,A144)&gt;0,"Unassigned","T"&amp;_xlfn.MAXIFS('Material routes'!$P$6:$P$1005,'Material routes'!$B$6:$B$1005,A144)))</x:f>
        <x:v>T3</x:v>
      </x:c>
      <x:c r="I144" s="4" t="n">
        <x:f>SUM(COUNTIFS('Material routes'!$B$6:$B$1005,A144,'Material routes'!$C$6:$C$1005,"Ingredient candidate"),COUNTIFS('Material routes'!$B$6:$B$1005,A144,'Material routes'!$C$6:$C$1005,"Consumed input"),COUNTIFS('Material routes'!$B$6:$B$1005,A144,'Material routes'!$C$6:$C$1005,"Contained input"),COUNTIFS('Material routes'!$B$6:$B$1005,A144,'Material routes'!$C$6:$C$1005,"Transform input"))</x:f>
        <x:v>3</x:v>
      </x:c>
      <x:c r="J144" s="4" t="n">
        <x:f>COUNTIFS('Material routes'!$B$6:$B$1005,A144,'Material routes'!$C$6:$C$1005,"Output")</x:f>
        <x:v>1</x:v>
      </x:c>
      <x:c r="K144" s="4" t="n">
        <x:f>COUNTIFS('Material routes'!$B$6:$B$1005,A144,'Material routes'!$C$6:$C$1005,"Tool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Specialist workshop; tools, heat, power, tolerances and process conditions unresolved</x:v>
      </x:c>
      <x:c r="H145" s="4" t="str">
        <x:f>IF(I145=0,"Unassigned",IF(SUMIFS('Material routes'!$Q$6:$Q$1005,'Material routes'!$B$6:$B$1005,A145)&gt;0,"Unassigned","T"&amp;_xlfn.MAXIFS('Material routes'!$P$6:$P$1005,'Material routes'!$B$6:$B$1005,A145)))</x:f>
        <x:v>T3</x:v>
      </x:c>
      <x:c r="I145" s="4" t="n">
        <x:f>SUM(COUNTIFS('Material routes'!$B$6:$B$1005,A145,'Material routes'!$C$6:$C$1005,"Ingredient candidate"),COUNTIFS('Material routes'!$B$6:$B$1005,A145,'Material routes'!$C$6:$C$1005,"Consumed input"),COUNTIFS('Material routes'!$B$6:$B$1005,A145,'Material routes'!$C$6:$C$1005,"Contained input"),COUNTIFS('Material routes'!$B$6:$B$1005,A145,'Material routes'!$C$6:$C$1005,"Transform input"))</x:f>
        <x:v>3</x:v>
      </x:c>
      <x:c r="J145" s="4" t="n">
        <x:f>COUNTIFS('Material routes'!$B$6:$B$1005,A145,'Material routes'!$C$6:$C$1005,"Output")</x:f>
        <x:v>1</x:v>
      </x:c>
      <x:c r="K145" s="4" t="n">
        <x:f>COUNTIFS('Material routes'!$B$6:$B$1005,A145,'Material routes'!$C$6:$C$1005,"Tool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Specialist workshop; tools, heat, power, tolerances and process conditions unresolved</x:v>
      </x:c>
      <x:c r="H146" s="4" t="str">
        <x:f>IF(I146=0,"Unassigned",IF(SUMIFS('Material routes'!$Q$6:$Q$1005,'Material routes'!$B$6:$B$1005,A146)&gt;0,"Unassigned","T"&amp;_xlfn.MAXIFS('Material routes'!$P$6:$P$1005,'Material routes'!$B$6:$B$1005,A146)))</x:f>
        <x:v>T3</x:v>
      </x:c>
      <x:c r="I146" s="4" t="n">
        <x:f>SUM(COUNTIFS('Material routes'!$B$6:$B$1005,A146,'Material routes'!$C$6:$C$1005,"Ingredient candidate"),COUNTIFS('Material routes'!$B$6:$B$1005,A146,'Material routes'!$C$6:$C$1005,"Consumed input"),COUNTIFS('Material routes'!$B$6:$B$1005,A146,'Material routes'!$C$6:$C$1005,"Contained input"),COUNTIFS('Material routes'!$B$6:$B$1005,A146,'Material routes'!$C$6:$C$1005,"Transform input"))</x:f>
        <x:v>3</x:v>
      </x:c>
      <x:c r="J146" s="4" t="n">
        <x:f>COUNTIFS('Material routes'!$B$6:$B$1005,A146,'Material routes'!$C$6:$C$1005,"Output")</x:f>
        <x:v>1</x:v>
      </x:c>
      <x:c r="K146" s="4" t="n">
        <x:f>COUNTIFS('Material routes'!$B$6:$B$1005,A146,'Material routes'!$C$6:$C$1005,"Tool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Specialist workshop; tools, heat, power, tolerances and process conditions unresolved</x:v>
      </x:c>
      <x:c r="H147" s="4" t="str">
        <x:f>IF(I147=0,"Unassigned",IF(SUMIFS('Material routes'!$Q$6:$Q$1005,'Material routes'!$B$6:$B$1005,A147)&gt;0,"Unassigned","T"&amp;_xlfn.MAXIFS('Material routes'!$P$6:$P$1005,'Material routes'!$B$6:$B$1005,A147)))</x:f>
        <x:v>T3</x:v>
      </x:c>
      <x:c r="I147" s="4" t="n">
        <x:f>SUM(COUNTIFS('Material routes'!$B$6:$B$1005,A147,'Material routes'!$C$6:$C$1005,"Ingredient candidate"),COUNTIFS('Material routes'!$B$6:$B$1005,A147,'Material routes'!$C$6:$C$1005,"Consumed input"),COUNTIFS('Material routes'!$B$6:$B$1005,A147,'Material routes'!$C$6:$C$1005,"Contained input"),COUNTIFS('Material routes'!$B$6:$B$1005,A147,'Material routes'!$C$6:$C$1005,"Transform input"))</x:f>
        <x:v>4</x:v>
      </x:c>
      <x:c r="J147" s="4" t="n">
        <x:f>COUNTIFS('Material routes'!$B$6:$B$1005,A147,'Material routes'!$C$6:$C$1005,"Output")</x:f>
        <x:v>1</x:v>
      </x:c>
      <x:c r="K147" s="4" t="n">
        <x:f>COUNTIFS('Material routes'!$B$6:$B$1005,A147,'Material routes'!$C$6:$C$1005,"Tool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Specialist workshop; tools, heat, power, tolerances and process conditions unresolved</x:v>
      </x:c>
      <x:c r="H148" s="4" t="str">
        <x:f>IF(I148=0,"Unassigned",IF(SUMIFS('Material routes'!$Q$6:$Q$1005,'Material routes'!$B$6:$B$1005,A148)&gt;0,"Unassigned","T"&amp;_xlfn.MAXIFS('Material routes'!$P$6:$P$1005,'Material routes'!$B$6:$B$1005,A148)))</x:f>
        <x:v>T3</x:v>
      </x:c>
      <x:c r="I148" s="4" t="n">
        <x:f>SUM(COUNTIFS('Material routes'!$B$6:$B$1005,A148,'Material routes'!$C$6:$C$1005,"Ingredient candidate"),COUNTIFS('Material routes'!$B$6:$B$1005,A148,'Material routes'!$C$6:$C$1005,"Consumed input"),COUNTIFS('Material routes'!$B$6:$B$1005,A148,'Material routes'!$C$6:$C$1005,"Contained input"),COUNTIFS('Material routes'!$B$6:$B$1005,A148,'Material routes'!$C$6:$C$1005,"Transform input"))</x:f>
        <x:v>4</x:v>
      </x:c>
      <x:c r="J148" s="4" t="n">
        <x:f>COUNTIFS('Material routes'!$B$6:$B$1005,A148,'Material routes'!$C$6:$C$1005,"Output")</x:f>
        <x:v>1</x:v>
      </x:c>
      <x:c r="K148" s="4" t="n">
        <x:f>COUNTIFS('Material routes'!$B$6:$B$1005,A148,'Material routes'!$C$6:$C$1005,"Tool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Specialist workshop; tools, heat, power, tolerances and process conditions unresolved</x:v>
      </x:c>
      <x:c r="H149" s="4" t="str">
        <x:f>IF(I149=0,"Unassigned",IF(SUMIFS('Material routes'!$Q$6:$Q$1005,'Material routes'!$B$6:$B$1005,A149)&gt;0,"Unassigned","T"&amp;_xlfn.MAXIFS('Material routes'!$P$6:$P$1005,'Material routes'!$B$6:$B$1005,A149)))</x:f>
        <x:v>T3</x:v>
      </x:c>
      <x:c r="I149" s="4" t="n">
        <x:f>SUM(COUNTIFS('Material routes'!$B$6:$B$1005,A149,'Material routes'!$C$6:$C$1005,"Ingredient candidate"),COUNTIFS('Material routes'!$B$6:$B$1005,A149,'Material routes'!$C$6:$C$1005,"Consumed input"),COUNTIFS('Material routes'!$B$6:$B$1005,A149,'Material routes'!$C$6:$C$1005,"Contained input"),COUNTIFS('Material routes'!$B$6:$B$1005,A149,'Material routes'!$C$6:$C$1005,"Transform input"))</x:f>
        <x:v>3</x:v>
      </x:c>
      <x:c r="J149" s="4" t="n">
        <x:f>COUNTIFS('Material routes'!$B$6:$B$1005,A149,'Material routes'!$C$6:$C$1005,"Output")</x:f>
        <x:v>1</x:v>
      </x:c>
      <x:c r="K149" s="4" t="n">
        <x:f>COUNTIFS('Material routes'!$B$6:$B$1005,A149,'Material routes'!$C$6:$C$1005,"Tool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Specialist workshop; tools, heat, power, tolerances and process conditions unresolved</x:v>
      </x:c>
      <x:c r="H150" s="4" t="str">
        <x:f>IF(I150=0,"Unassigned",IF(SUMIFS('Material routes'!$Q$6:$Q$1005,'Material routes'!$B$6:$B$1005,A150)&gt;0,"Unassigned","T"&amp;_xlfn.MAXIFS('Material routes'!$P$6:$P$1005,'Material routes'!$B$6:$B$1005,A150)))</x:f>
        <x:v>T3</x:v>
      </x:c>
      <x:c r="I150" s="4" t="n">
        <x:f>SUM(COUNTIFS('Material routes'!$B$6:$B$1005,A150,'Material routes'!$C$6:$C$1005,"Ingredient candidate"),COUNTIFS('Material routes'!$B$6:$B$1005,A150,'Material routes'!$C$6:$C$1005,"Consumed input"),COUNTIFS('Material routes'!$B$6:$B$1005,A150,'Material routes'!$C$6:$C$1005,"Contained input"),COUNTIFS('Material routes'!$B$6:$B$1005,A150,'Material routes'!$C$6:$C$1005,"Transform input"))</x:f>
        <x:v>3</x:v>
      </x:c>
      <x:c r="J150" s="4" t="n">
        <x:f>COUNTIFS('Material routes'!$B$6:$B$1005,A150,'Material routes'!$C$6:$C$1005,"Output")</x:f>
        <x:v>1</x:v>
      </x:c>
      <x:c r="K150" s="4" t="n">
        <x:f>COUNTIFS('Material routes'!$B$6:$B$1005,A150,'Material routes'!$C$6:$C$1005,"Tool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Specialist workshop; tools, heat, power, tolerances and process conditions unresolved</x:v>
      </x:c>
      <x:c r="H151" s="4" t="str">
        <x:f>IF(I151=0,"Unassigned",IF(SUMIFS('Material routes'!$Q$6:$Q$1005,'Material routes'!$B$6:$B$1005,A151)&gt;0,"Unassigned","T"&amp;_xlfn.MAXIFS('Material routes'!$P$6:$P$1005,'Material routes'!$B$6:$B$1005,A151)))</x:f>
        <x:v>T3</x:v>
      </x:c>
      <x:c r="I151" s="4" t="n">
        <x:f>SUM(COUNTIFS('Material routes'!$B$6:$B$1005,A151,'Material routes'!$C$6:$C$1005,"Ingredient candidate"),COUNTIFS('Material routes'!$B$6:$B$1005,A151,'Material routes'!$C$6:$C$1005,"Consumed input"),COUNTIFS('Material routes'!$B$6:$B$1005,A151,'Material routes'!$C$6:$C$1005,"Contained input"),COUNTIFS('Material routes'!$B$6:$B$1005,A151,'Material routes'!$C$6:$C$1005,"Transform input"))</x:f>
        <x:v>3</x:v>
      </x:c>
      <x:c r="J151" s="4" t="n">
        <x:f>COUNTIFS('Material routes'!$B$6:$B$1005,A151,'Material routes'!$C$6:$C$1005,"Output")</x:f>
        <x:v>1</x:v>
      </x:c>
      <x:c r="K151" s="4" t="n">
        <x:f>COUNTIFS('Material routes'!$B$6:$B$1005,A151,'Material routes'!$C$6:$C$1005,"Tool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Specialist workshop; tools, heat, power, tolerances and process conditions unresolved</x:v>
      </x:c>
      <x:c r="H152" s="4" t="str">
        <x:f>IF(I152=0,"Unassigned",IF(SUMIFS('Material routes'!$Q$6:$Q$1005,'Material routes'!$B$6:$B$1005,A152)&gt;0,"Unassigned","T"&amp;_xlfn.MAXIFS('Material routes'!$P$6:$P$1005,'Material routes'!$B$6:$B$1005,A152)))</x:f>
        <x:v>T3</x:v>
      </x:c>
      <x:c r="I152" s="4" t="n">
        <x:f>SUM(COUNTIFS('Material routes'!$B$6:$B$1005,A152,'Material routes'!$C$6:$C$1005,"Ingredient candidate"),COUNTIFS('Material routes'!$B$6:$B$1005,A152,'Material routes'!$C$6:$C$1005,"Consumed input"),COUNTIFS('Material routes'!$B$6:$B$1005,A152,'Material routes'!$C$6:$C$1005,"Contained input"),COUNTIFS('Material routes'!$B$6:$B$1005,A152,'Material routes'!$C$6:$C$1005,"Transform input"))</x:f>
        <x:v>4</x:v>
      </x:c>
      <x:c r="J152" s="4" t="n">
        <x:f>COUNTIFS('Material routes'!$B$6:$B$1005,A152,'Material routes'!$C$6:$C$1005,"Output")</x:f>
        <x:v>1</x:v>
      </x:c>
      <x:c r="K152" s="4" t="n">
        <x:f>COUNTIFS('Material routes'!$B$6:$B$1005,A152,'Material routes'!$C$6:$C$1005,"Tool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Specialist workshop; tools, heat, power, tolerances and process conditions unresolved</x:v>
      </x:c>
      <x:c r="H153" s="4" t="str">
        <x:f>IF(I153=0,"Unassigned",IF(SUMIFS('Material routes'!$Q$6:$Q$1005,'Material routes'!$B$6:$B$1005,A153)&gt;0,"Unassigned","T"&amp;_xlfn.MAXIFS('Material routes'!$P$6:$P$1005,'Material routes'!$B$6:$B$1005,A153)))</x:f>
        <x:v>T3</x:v>
      </x:c>
      <x:c r="I153" s="4" t="n">
        <x:f>SUM(COUNTIFS('Material routes'!$B$6:$B$1005,A153,'Material routes'!$C$6:$C$1005,"Ingredient candidate"),COUNTIFS('Material routes'!$B$6:$B$1005,A153,'Material routes'!$C$6:$C$1005,"Consumed input"),COUNTIFS('Material routes'!$B$6:$B$1005,A153,'Material routes'!$C$6:$C$1005,"Contained input"),COUNTIFS('Material routes'!$B$6:$B$1005,A153,'Material routes'!$C$6:$C$1005,"Transform input"))</x:f>
        <x:v>4</x:v>
      </x:c>
      <x:c r="J153" s="4" t="n">
        <x:f>COUNTIFS('Material routes'!$B$6:$B$1005,A153,'Material routes'!$C$6:$C$1005,"Output")</x:f>
        <x:v>1</x:v>
      </x:c>
      <x:c r="K153" s="4" t="n">
        <x:f>COUNTIFS('Material routes'!$B$6:$B$1005,A153,'Material routes'!$C$6:$C$1005,"Tool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Specialist workshop; tools, heat, power, tolerances and process conditions unresolved</x:v>
      </x:c>
      <x:c r="H154" s="4" t="str">
        <x:f>IF(I154=0,"Unassigned",IF(SUMIFS('Material routes'!$Q$6:$Q$1005,'Material routes'!$B$6:$B$1005,A154)&gt;0,"Unassigned","T"&amp;_xlfn.MAXIFS('Material routes'!$P$6:$P$1005,'Material routes'!$B$6:$B$1005,A154)))</x:f>
        <x:v>T3</x:v>
      </x:c>
      <x:c r="I154" s="4" t="n">
        <x:f>SUM(COUNTIFS('Material routes'!$B$6:$B$1005,A154,'Material routes'!$C$6:$C$1005,"Ingredient candidate"),COUNTIFS('Material routes'!$B$6:$B$1005,A154,'Material routes'!$C$6:$C$1005,"Consumed input"),COUNTIFS('Material routes'!$B$6:$B$1005,A154,'Material routes'!$C$6:$C$1005,"Contained input"),COUNTIFS('Material routes'!$B$6:$B$1005,A154,'Material routes'!$C$6:$C$1005,"Transform input"))</x:f>
        <x:v>3</x:v>
      </x:c>
      <x:c r="J154" s="4" t="n">
        <x:f>COUNTIFS('Material routes'!$B$6:$B$1005,A154,'Material routes'!$C$6:$C$1005,"Output")</x:f>
        <x:v>1</x:v>
      </x:c>
      <x:c r="K154" s="4" t="n">
        <x:f>COUNTIFS('Material routes'!$B$6:$B$1005,A154,'Material routes'!$C$6:$C$1005,"Tool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Specialist workshop; tools, heat, power, tolerances and process conditions unresolved</x:v>
      </x:c>
      <x:c r="H155" s="4" t="str">
        <x:f>IF(I155=0,"Unassigned",IF(SUMIFS('Material routes'!$Q$6:$Q$1005,'Material routes'!$B$6:$B$1005,A155)&gt;0,"Unassigned","T"&amp;_xlfn.MAXIFS('Material routes'!$P$6:$P$1005,'Material routes'!$B$6:$B$1005,A155)))</x:f>
        <x:v>T3</x:v>
      </x:c>
      <x:c r="I155" s="4" t="n">
        <x:f>SUM(COUNTIFS('Material routes'!$B$6:$B$1005,A155,'Material routes'!$C$6:$C$1005,"Ingredient candidate"),COUNTIFS('Material routes'!$B$6:$B$1005,A155,'Material routes'!$C$6:$C$1005,"Consumed input"),COUNTIFS('Material routes'!$B$6:$B$1005,A155,'Material routes'!$C$6:$C$1005,"Contained input"),COUNTIFS('Material routes'!$B$6:$B$1005,A155,'Material routes'!$C$6:$C$1005,"Transform input"))</x:f>
        <x:v>3</x:v>
      </x:c>
      <x:c r="J155" s="4" t="n">
        <x:f>COUNTIFS('Material routes'!$B$6:$B$1005,A155,'Material routes'!$C$6:$C$1005,"Output")</x:f>
        <x:v>1</x:v>
      </x:c>
      <x:c r="K155" s="4" t="n">
        <x:f>COUNTIFS('Material routes'!$B$6:$B$1005,A155,'Material routes'!$C$6:$C$1005,"Tool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Specialist workshop; tools, heat, power, tolerances and process conditions unresolved</x:v>
      </x:c>
      <x:c r="H156" s="4" t="str">
        <x:f>IF(I156=0,"Unassigned",IF(SUMIFS('Material routes'!$Q$6:$Q$1005,'Material routes'!$B$6:$B$1005,A156)&gt;0,"Unassigned","T"&amp;_xlfn.MAXIFS('Material routes'!$P$6:$P$1005,'Material routes'!$B$6:$B$1005,A156)))</x:f>
        <x:v>T3</x:v>
      </x:c>
      <x:c r="I156" s="4" t="n">
        <x:f>SUM(COUNTIFS('Material routes'!$B$6:$B$1005,A156,'Material routes'!$C$6:$C$1005,"Ingredient candidate"),COUNTIFS('Material routes'!$B$6:$B$1005,A156,'Material routes'!$C$6:$C$1005,"Consumed input"),COUNTIFS('Material routes'!$B$6:$B$1005,A156,'Material routes'!$C$6:$C$1005,"Contained input"),COUNTIFS('Material routes'!$B$6:$B$1005,A156,'Material routes'!$C$6:$C$1005,"Transform input"))</x:f>
        <x:v>3</x:v>
      </x:c>
      <x:c r="J156" s="4" t="n">
        <x:f>COUNTIFS('Material routes'!$B$6:$B$1005,A156,'Material routes'!$C$6:$C$1005,"Output")</x:f>
        <x:v>1</x:v>
      </x:c>
      <x:c r="K156" s="4" t="n">
        <x:f>COUNTIFS('Material routes'!$B$6:$B$1005,A156,'Material routes'!$C$6:$C$1005,"Tool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Specialist workshop; tools, heat, power, tolerances and process conditions unresolved</x:v>
      </x:c>
      <x:c r="H157" s="4" t="str">
        <x:f>IF(I157=0,"Unassigned",IF(SUMIFS('Material routes'!$Q$6:$Q$1005,'Material routes'!$B$6:$B$1005,A157)&gt;0,"Unassigned","T"&amp;_xlfn.MAXIFS('Material routes'!$P$6:$P$1005,'Material routes'!$B$6:$B$1005,A157)))</x:f>
        <x:v>T3</x:v>
      </x:c>
      <x:c r="I157" s="4" t="n">
        <x:f>SUM(COUNTIFS('Material routes'!$B$6:$B$1005,A157,'Material routes'!$C$6:$C$1005,"Ingredient candidate"),COUNTIFS('Material routes'!$B$6:$B$1005,A157,'Material routes'!$C$6:$C$1005,"Consumed input"),COUNTIFS('Material routes'!$B$6:$B$1005,A157,'Material routes'!$C$6:$C$1005,"Contained input"),COUNTIFS('Material routes'!$B$6:$B$1005,A157,'Material routes'!$C$6:$C$1005,"Transform input"))</x:f>
        <x:v>3</x:v>
      </x:c>
      <x:c r="J157" s="4" t="n">
        <x:f>COUNTIFS('Material routes'!$B$6:$B$1005,A157,'Material routes'!$C$6:$C$1005,"Output")</x:f>
        <x:v>1</x:v>
      </x:c>
      <x:c r="K157" s="4" t="n">
        <x:f>COUNTIFS('Material routes'!$B$6:$B$1005,A157,'Material routes'!$C$6:$C$1005,"Tool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Specialist workshop; tools, heat, power, tolerances and process conditions unresolved</x:v>
      </x:c>
      <x:c r="H158" s="4" t="str">
        <x:f>IF(I158=0,"Unassigned",IF(SUMIFS('Material routes'!$Q$6:$Q$1005,'Material routes'!$B$6:$B$1005,A158)&gt;0,"Unassigned","T"&amp;_xlfn.MAXIFS('Material routes'!$P$6:$P$1005,'Material routes'!$B$6:$B$1005,A158)))</x:f>
        <x:v>T3</x:v>
      </x:c>
      <x:c r="I158" s="4" t="n">
        <x:f>SUM(COUNTIFS('Material routes'!$B$6:$B$1005,A158,'Material routes'!$C$6:$C$1005,"Ingredient candidate"),COUNTIFS('Material routes'!$B$6:$B$1005,A158,'Material routes'!$C$6:$C$1005,"Consumed input"),COUNTIFS('Material routes'!$B$6:$B$1005,A158,'Material routes'!$C$6:$C$1005,"Contained input"),COUNTIFS('Material routes'!$B$6:$B$1005,A158,'Material routes'!$C$6:$C$1005,"Transform input"))</x:f>
        <x:v>3</x:v>
      </x:c>
      <x:c r="J158" s="4" t="n">
        <x:f>COUNTIFS('Material routes'!$B$6:$B$1005,A158,'Material routes'!$C$6:$C$1005,"Output")</x:f>
        <x:v>1</x:v>
      </x:c>
      <x:c r="K158" s="4" t="n">
        <x:f>COUNTIFS('Material routes'!$B$6:$B$1005,A158,'Material routes'!$C$6:$C$1005,"Tool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Workshop tools, energy/heat, fixtures, conditions and qualification remain unresolved</x:v>
      </x:c>
      <x:c r="H159" s="4" t="str">
        <x:f>IF(I159=0,"Unassigned",IF(SUMIFS('Material routes'!$Q$6:$Q$1005,'Material routes'!$B$6:$B$1005,A159)&gt;0,"Unassigned","T"&amp;_xlfn.MAXIFS('Material routes'!$P$6:$P$1005,'Material routes'!$B$6:$B$1005,A159)))</x:f>
        <x:v>T0</x:v>
      </x:c>
      <x:c r="I159" s="4" t="n">
        <x:f>SUM(COUNTIFS('Material routes'!$B$6:$B$1005,A159,'Material routes'!$C$6:$C$1005,"Ingredient candidate"),COUNTIFS('Material routes'!$B$6:$B$1005,A159,'Material routes'!$C$6:$C$1005,"Consumed input"),COUNTIFS('Material routes'!$B$6:$B$1005,A159,'Material routes'!$C$6:$C$1005,"Contained input"),COUNTIFS('Material routes'!$B$6:$B$1005,A159,'Material routes'!$C$6:$C$1005,"Transform input"))</x:f>
        <x:v>1</x:v>
      </x:c>
      <x:c r="J159" s="4" t="n">
        <x:f>COUNTIFS('Material routes'!$B$6:$B$1005,A159,'Material routes'!$C$6:$C$1005,"Output")</x:f>
        <x:v>1</x:v>
      </x:c>
      <x:c r="K159" s="4" t="n">
        <x:f>COUNTIFS('Material routes'!$B$6:$B$1005,A159,'Material routes'!$C$6:$C$1005,"Tool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Workshop tools, energy/heat, fixtures, conditions and qualification remain unresolved</x:v>
      </x:c>
      <x:c r="H160" s="4" t="str">
        <x:f>IF(I160=0,"Unassigned",IF(SUMIFS('Material routes'!$Q$6:$Q$1005,'Material routes'!$B$6:$B$1005,A160)&gt;0,"Unassigned","T"&amp;_xlfn.MAXIFS('Material routes'!$P$6:$P$1005,'Material routes'!$B$6:$B$1005,A160)))</x:f>
        <x:v>T1</x:v>
      </x:c>
      <x:c r="I160" s="4" t="n">
        <x:f>SUM(COUNTIFS('Material routes'!$B$6:$B$1005,A160,'Material routes'!$C$6:$C$1005,"Ingredient candidate"),COUNTIFS('Material routes'!$B$6:$B$1005,A160,'Material routes'!$C$6:$C$1005,"Consumed input"),COUNTIFS('Material routes'!$B$6:$B$1005,A160,'Material routes'!$C$6:$C$1005,"Contained input"),COUNTIFS('Material routes'!$B$6:$B$1005,A160,'Material routes'!$C$6:$C$1005,"Transform input"))</x:f>
        <x:v>2</x:v>
      </x:c>
      <x:c r="J160" s="4" t="n">
        <x:f>COUNTIFS('Material routes'!$B$6:$B$1005,A160,'Material routes'!$C$6:$C$1005,"Output")</x:f>
        <x:v>1</x:v>
      </x:c>
      <x:c r="K160" s="4" t="n">
        <x:f>COUNTIFS('Material routes'!$B$6:$B$1005,A160,'Material routes'!$C$6:$C$1005,"Tool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Workshop tools, energy/heat, fixtures, conditions and qualification remain unresolved</x:v>
      </x:c>
      <x:c r="H161" s="4" t="str">
        <x:f>IF(I161=0,"Unassigned",IF(SUMIFS('Material routes'!$Q$6:$Q$1005,'Material routes'!$B$6:$B$1005,A161)&gt;0,"Unassigned","T"&amp;_xlfn.MAXIFS('Material routes'!$P$6:$P$1005,'Material routes'!$B$6:$B$1005,A161)))</x:f>
        <x:v>T1</x:v>
      </x:c>
      <x:c r="I161" s="4" t="n">
        <x:f>SUM(COUNTIFS('Material routes'!$B$6:$B$1005,A161,'Material routes'!$C$6:$C$1005,"Ingredient candidate"),COUNTIFS('Material routes'!$B$6:$B$1005,A161,'Material routes'!$C$6:$C$1005,"Consumed input"),COUNTIFS('Material routes'!$B$6:$B$1005,A161,'Material routes'!$C$6:$C$1005,"Contained input"),COUNTIFS('Material routes'!$B$6:$B$1005,A161,'Material routes'!$C$6:$C$1005,"Transform input"))</x:f>
        <x:v>2</x:v>
      </x:c>
      <x:c r="J161" s="4" t="n">
        <x:f>COUNTIFS('Material routes'!$B$6:$B$1005,A161,'Material routes'!$C$6:$C$1005,"Output")</x:f>
        <x:v>1</x:v>
      </x:c>
      <x:c r="K161" s="4" t="n">
        <x:f>COUNTIFS('Material routes'!$B$6:$B$1005,A161,'Material routes'!$C$6:$C$1005,"Tool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Workshop tools, energy/heat, fixtures, conditions and qualification remain unresolved</x:v>
      </x:c>
      <x:c r="H162" s="4" t="str">
        <x:f>IF(I162=0,"Unassigned",IF(SUMIFS('Material routes'!$Q$6:$Q$1005,'Material routes'!$B$6:$B$1005,A162)&gt;0,"Unassigned","T"&amp;_xlfn.MAXIFS('Material routes'!$P$6:$P$1005,'Material routes'!$B$6:$B$1005,A162)))</x:f>
        <x:v>T0</x:v>
      </x:c>
      <x:c r="I162" s="4" t="n">
        <x:f>SUM(COUNTIFS('Material routes'!$B$6:$B$1005,A162,'Material routes'!$C$6:$C$1005,"Ingredient candidate"),COUNTIFS('Material routes'!$B$6:$B$1005,A162,'Material routes'!$C$6:$C$1005,"Consumed input"),COUNTIFS('Material routes'!$B$6:$B$1005,A162,'Material routes'!$C$6:$C$1005,"Contained input"),COUNTIFS('Material routes'!$B$6:$B$1005,A162,'Material routes'!$C$6:$C$1005,"Transform input"))</x:f>
        <x:v>1</x:v>
      </x:c>
      <x:c r="J162" s="4" t="n">
        <x:f>COUNTIFS('Material routes'!$B$6:$B$1005,A162,'Material routes'!$C$6:$C$1005,"Output")</x:f>
        <x:v>1</x:v>
      </x:c>
      <x:c r="K162" s="4" t="n">
        <x:f>COUNTIFS('Material routes'!$B$6:$B$1005,A162,'Material routes'!$C$6:$C$1005,"Tool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Workshop tools, energy/heat, fixtures, conditions and qualification remain unresolved</x:v>
      </x:c>
      <x:c r="H163" s="4" t="str">
        <x:f>IF(I163=0,"Unassigned",IF(SUMIFS('Material routes'!$Q$6:$Q$1005,'Material routes'!$B$6:$B$1005,A163)&gt;0,"Unassigned","T"&amp;_xlfn.MAXIFS('Material routes'!$P$6:$P$1005,'Material routes'!$B$6:$B$1005,A163)))</x:f>
        <x:v>T0</x:v>
      </x:c>
      <x:c r="I163" s="4" t="n">
        <x:f>SUM(COUNTIFS('Material routes'!$B$6:$B$1005,A163,'Material routes'!$C$6:$C$1005,"Ingredient candidate"),COUNTIFS('Material routes'!$B$6:$B$1005,A163,'Material routes'!$C$6:$C$1005,"Consumed input"),COUNTIFS('Material routes'!$B$6:$B$1005,A163,'Material routes'!$C$6:$C$1005,"Contained input"),COUNTIFS('Material routes'!$B$6:$B$1005,A163,'Material routes'!$C$6:$C$1005,"Transform input"))</x:f>
        <x:v>1</x:v>
      </x:c>
      <x:c r="J163" s="4" t="n">
        <x:f>COUNTIFS('Material routes'!$B$6:$B$1005,A163,'Material routes'!$C$6:$C$1005,"Output")</x:f>
        <x:v>1</x:v>
      </x:c>
      <x:c r="K163" s="4" t="n">
        <x:f>COUNTIFS('Material routes'!$B$6:$B$1005,A163,'Material routes'!$C$6:$C$1005,"Tool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Workshop tools, energy/heat, fixtures, conditions and qualification remain unresolved</x:v>
      </x:c>
      <x:c r="H164" s="4" t="str">
        <x:f>IF(I164=0,"Unassigned",IF(SUMIFS('Material routes'!$Q$6:$Q$1005,'Material routes'!$B$6:$B$1005,A164)&gt;0,"Unassigned","T"&amp;_xlfn.MAXIFS('Material routes'!$P$6:$P$1005,'Material routes'!$B$6:$B$1005,A164)))</x:f>
        <x:v>T0</x:v>
      </x:c>
      <x:c r="I164" s="4" t="n">
        <x:f>SUM(COUNTIFS('Material routes'!$B$6:$B$1005,A164,'Material routes'!$C$6:$C$1005,"Ingredient candidate"),COUNTIFS('Material routes'!$B$6:$B$1005,A164,'Material routes'!$C$6:$C$1005,"Consumed input"),COUNTIFS('Material routes'!$B$6:$B$1005,A164,'Material routes'!$C$6:$C$1005,"Contained input"),COUNTIFS('Material routes'!$B$6:$B$1005,A164,'Material routes'!$C$6:$C$1005,"Transform input"))</x:f>
        <x:v>1</x:v>
      </x:c>
      <x:c r="J164" s="4" t="n">
        <x:f>COUNTIFS('Material routes'!$B$6:$B$1005,A164,'Material routes'!$C$6:$C$1005,"Output")</x:f>
        <x:v>1</x:v>
      </x:c>
      <x:c r="K164" s="4" t="n">
        <x:f>COUNTIFS('Material routes'!$B$6:$B$1005,A164,'Material routes'!$C$6:$C$1005,"Tool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Workshop tools, energy/heat, fixtures, conditions and qualification remain unresolved</x:v>
      </x:c>
      <x:c r="H165" s="4" t="str">
        <x:f>IF(I165=0,"Unassigned",IF(SUMIFS('Material routes'!$Q$6:$Q$1005,'Material routes'!$B$6:$B$1005,A165)&gt;0,"Unassigned","T"&amp;_xlfn.MAXIFS('Material routes'!$P$6:$P$1005,'Material routes'!$B$6:$B$1005,A165)))</x:f>
        <x:v>T1</x:v>
      </x:c>
      <x:c r="I165" s="4" t="n">
        <x:f>SUM(COUNTIFS('Material routes'!$B$6:$B$1005,A165,'Material routes'!$C$6:$C$1005,"Ingredient candidate"),COUNTIFS('Material routes'!$B$6:$B$1005,A165,'Material routes'!$C$6:$C$1005,"Consumed input"),COUNTIFS('Material routes'!$B$6:$B$1005,A165,'Material routes'!$C$6:$C$1005,"Contained input"),COUNTIFS('Material routes'!$B$6:$B$1005,A165,'Material routes'!$C$6:$C$1005,"Transform input"))</x:f>
        <x:v>2</x:v>
      </x:c>
      <x:c r="J165" s="4" t="n">
        <x:f>COUNTIFS('Material routes'!$B$6:$B$1005,A165,'Material routes'!$C$6:$C$1005,"Output")</x:f>
        <x:v>1</x:v>
      </x:c>
      <x:c r="K165" s="4" t="n">
        <x:f>COUNTIFS('Material routes'!$B$6:$B$1005,A165,'Material routes'!$C$6:$C$1005,"Tool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Workshop tools, energy/heat, fixtures, conditions and qualification remain unresolved</x:v>
      </x:c>
      <x:c r="H166" s="4" t="str">
        <x:f>IF(I166=0,"Unassigned",IF(SUMIFS('Material routes'!$Q$6:$Q$1005,'Material routes'!$B$6:$B$1005,A166)&gt;0,"Unassigned","T"&amp;_xlfn.MAXIFS('Material routes'!$P$6:$P$1005,'Material routes'!$B$6:$B$1005,A166)))</x:f>
        <x:v>T2</x:v>
      </x:c>
      <x:c r="I166" s="4" t="n">
        <x:f>SUM(COUNTIFS('Material routes'!$B$6:$B$1005,A166,'Material routes'!$C$6:$C$1005,"Ingredient candidate"),COUNTIFS('Material routes'!$B$6:$B$1005,A166,'Material routes'!$C$6:$C$1005,"Consumed input"),COUNTIFS('Material routes'!$B$6:$B$1005,A166,'Material routes'!$C$6:$C$1005,"Contained input"),COUNTIFS('Material routes'!$B$6:$B$1005,A166,'Material routes'!$C$6:$C$1005,"Transform input"))</x:f>
        <x:v>2</x:v>
      </x:c>
      <x:c r="J166" s="4" t="n">
        <x:f>COUNTIFS('Material routes'!$B$6:$B$1005,A166,'Material routes'!$C$6:$C$1005,"Output")</x:f>
        <x:v>1</x:v>
      </x:c>
      <x:c r="K166" s="4" t="n">
        <x:f>COUNTIFS('Material routes'!$B$6:$B$1005,A166,'Material routes'!$C$6:$C$1005,"Tool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Workshop tools, energy/heat, fixtures, conditions and qualification remain unresolved</x:v>
      </x:c>
      <x:c r="H167" s="4" t="str">
        <x:f>IF(I167=0,"Unassigned",IF(SUMIFS('Material routes'!$Q$6:$Q$1005,'Material routes'!$B$6:$B$1005,A167)&gt;0,"Unassigned","T"&amp;_xlfn.MAXIFS('Material routes'!$P$6:$P$1005,'Material routes'!$B$6:$B$1005,A167)))</x:f>
        <x:v>T2</x:v>
      </x:c>
      <x:c r="I167" s="4" t="n">
        <x:f>SUM(COUNTIFS('Material routes'!$B$6:$B$1005,A167,'Material routes'!$C$6:$C$1005,"Ingredient candidate"),COUNTIFS('Material routes'!$B$6:$B$1005,A167,'Material routes'!$C$6:$C$1005,"Consumed input"),COUNTIFS('Material routes'!$B$6:$B$1005,A167,'Material routes'!$C$6:$C$1005,"Contained input"),COUNTIFS('Material routes'!$B$6:$B$1005,A167,'Material routes'!$C$6:$C$1005,"Transform input"))</x:f>
        <x:v>1</x:v>
      </x:c>
      <x:c r="J167" s="4" t="n">
        <x:f>COUNTIFS('Material routes'!$B$6:$B$1005,A167,'Material routes'!$C$6:$C$1005,"Output")</x:f>
        <x:v>1</x:v>
      </x:c>
      <x:c r="K167" s="4" t="n">
        <x:f>COUNTIFS('Material routes'!$B$6:$B$1005,A167,'Material routes'!$C$6:$C$1005,"Tool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Workshop tools, energy/heat, fixtures, conditions and qualification remain unresolved</x:v>
      </x:c>
      <x:c r="H168" s="4" t="str">
        <x:f>IF(I168=0,"Unassigned",IF(SUMIFS('Material routes'!$Q$6:$Q$1005,'Material routes'!$B$6:$B$1005,A168)&gt;0,"Unassigned","T"&amp;_xlfn.MAXIFS('Material routes'!$P$6:$P$1005,'Material routes'!$B$6:$B$1005,A168)))</x:f>
        <x:v>T2</x:v>
      </x:c>
      <x:c r="I168" s="4" t="n">
        <x:f>SUM(COUNTIFS('Material routes'!$B$6:$B$1005,A168,'Material routes'!$C$6:$C$1005,"Ingredient candidate"),COUNTIFS('Material routes'!$B$6:$B$1005,A168,'Material routes'!$C$6:$C$1005,"Consumed input"),COUNTIFS('Material routes'!$B$6:$B$1005,A168,'Material routes'!$C$6:$C$1005,"Contained input"),COUNTIFS('Material routes'!$B$6:$B$1005,A168,'Material routes'!$C$6:$C$1005,"Transform input"))</x:f>
        <x:v>2</x:v>
      </x:c>
      <x:c r="J168" s="4" t="n">
        <x:f>COUNTIFS('Material routes'!$B$6:$B$1005,A168,'Material routes'!$C$6:$C$1005,"Output")</x:f>
        <x:v>1</x:v>
      </x:c>
      <x:c r="K168" s="4" t="n">
        <x:f>COUNTIFS('Material routes'!$B$6:$B$1005,A168,'Material routes'!$C$6:$C$1005,"Tool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Workshop tools, energy/heat, fixtures, conditions and qualification remain unresolved</x:v>
      </x:c>
      <x:c r="H169" s="4" t="str">
        <x:f>IF(I169=0,"Unassigned",IF(SUMIFS('Material routes'!$Q$6:$Q$1005,'Material routes'!$B$6:$B$1005,A169)&gt;0,"Unassigned","T"&amp;_xlfn.MAXIFS('Material routes'!$P$6:$P$1005,'Material routes'!$B$6:$B$1005,A169)))</x:f>
        <x:v>T2</x:v>
      </x:c>
      <x:c r="I169" s="4" t="n">
        <x:f>SUM(COUNTIFS('Material routes'!$B$6:$B$1005,A169,'Material routes'!$C$6:$C$1005,"Ingredient candidate"),COUNTIFS('Material routes'!$B$6:$B$1005,A169,'Material routes'!$C$6:$C$1005,"Consumed input"),COUNTIFS('Material routes'!$B$6:$B$1005,A169,'Material routes'!$C$6:$C$1005,"Contained input"),COUNTIFS('Material routes'!$B$6:$B$1005,A169,'Material routes'!$C$6:$C$1005,"Transform input"))</x:f>
        <x:v>2</x:v>
      </x:c>
      <x:c r="J169" s="4" t="n">
        <x:f>COUNTIFS('Material routes'!$B$6:$B$1005,A169,'Material routes'!$C$6:$C$1005,"Output")</x:f>
        <x:v>1</x:v>
      </x:c>
      <x:c r="K169" s="4" t="n">
        <x:f>COUNTIFS('Material routes'!$B$6:$B$1005,A169,'Material routes'!$C$6:$C$1005,"Tool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Workshop tools, energy/heat, fixtures, conditions and qualification remain unresolved</x:v>
      </x:c>
      <x:c r="H170" s="4" t="str">
        <x:f>IF(I170=0,"Unassigned",IF(SUMIFS('Material routes'!$Q$6:$Q$1005,'Material routes'!$B$6:$B$1005,A170)&gt;0,"Unassigned","T"&amp;_xlfn.MAXIFS('Material routes'!$P$6:$P$1005,'Material routes'!$B$6:$B$1005,A170)))</x:f>
        <x:v>T3</x:v>
      </x:c>
      <x:c r="I170" s="4" t="n">
        <x:f>SUM(COUNTIFS('Material routes'!$B$6:$B$1005,A170,'Material routes'!$C$6:$C$1005,"Ingredient candidate"),COUNTIFS('Material routes'!$B$6:$B$1005,A170,'Material routes'!$C$6:$C$1005,"Consumed input"),COUNTIFS('Material routes'!$B$6:$B$1005,A170,'Material routes'!$C$6:$C$1005,"Contained input"),COUNTIFS('Material routes'!$B$6:$B$1005,A170,'Material routes'!$C$6:$C$1005,"Transform input"))</x:f>
        <x:v>2</x:v>
      </x:c>
      <x:c r="J170" s="4" t="n">
        <x:f>COUNTIFS('Material routes'!$B$6:$B$1005,A170,'Material routes'!$C$6:$C$1005,"Output")</x:f>
        <x:v>1</x:v>
      </x:c>
      <x:c r="K170" s="4" t="n">
        <x:f>COUNTIFS('Material routes'!$B$6:$B$1005,A170,'Material routes'!$C$6:$C$1005,"Tool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Workshop tools, energy/heat, fixtures, conditions and qualification remain unresolved</x:v>
      </x:c>
      <x:c r="H171" s="4" t="str">
        <x:f>IF(I171=0,"Unassigned",IF(SUMIFS('Material routes'!$Q$6:$Q$1005,'Material routes'!$B$6:$B$1005,A171)&gt;0,"Unassigned","T"&amp;_xlfn.MAXIFS('Material routes'!$P$6:$P$1005,'Material routes'!$B$6:$B$1005,A171)))</x:f>
        <x:v>T3</x:v>
      </x:c>
      <x:c r="I171" s="4" t="n">
        <x:f>SUM(COUNTIFS('Material routes'!$B$6:$B$1005,A171,'Material routes'!$C$6:$C$1005,"Ingredient candidate"),COUNTIFS('Material routes'!$B$6:$B$1005,A171,'Material routes'!$C$6:$C$1005,"Consumed input"),COUNTIFS('Material routes'!$B$6:$B$1005,A171,'Material routes'!$C$6:$C$1005,"Contained input"),COUNTIFS('Material routes'!$B$6:$B$1005,A171,'Material routes'!$C$6:$C$1005,"Transform input"))</x:f>
        <x:v>3</x:v>
      </x:c>
      <x:c r="J171" s="4" t="n">
        <x:f>COUNTIFS('Material routes'!$B$6:$B$1005,A171,'Material routes'!$C$6:$C$1005,"Output")</x:f>
        <x:v>1</x:v>
      </x:c>
      <x:c r="K171" s="4" t="n">
        <x:f>COUNTIFS('Material routes'!$B$6:$B$1005,A171,'Material routes'!$C$6:$C$1005,"Tool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Workshop tools, energy/heat, fixtures, conditions and qualification remain unresolved</x:v>
      </x:c>
      <x:c r="H172" s="4" t="str">
        <x:f>IF(I172=0,"Unassigned",IF(SUMIFS('Material routes'!$Q$6:$Q$1005,'Material routes'!$B$6:$B$1005,A172)&gt;0,"Unassigned","T"&amp;_xlfn.MAXIFS('Material routes'!$P$6:$P$1005,'Material routes'!$B$6:$B$1005,A172)))</x:f>
        <x:v>T2</x:v>
      </x:c>
      <x:c r="I172" s="4" t="n">
        <x:f>SUM(COUNTIFS('Material routes'!$B$6:$B$1005,A172,'Material routes'!$C$6:$C$1005,"Ingredient candidate"),COUNTIFS('Material routes'!$B$6:$B$1005,A172,'Material routes'!$C$6:$C$1005,"Consumed input"),COUNTIFS('Material routes'!$B$6:$B$1005,A172,'Material routes'!$C$6:$C$1005,"Contained input"),COUNTIFS('Material routes'!$B$6:$B$1005,A172,'Material routes'!$C$6:$C$1005,"Transform input"))</x:f>
        <x:v>2</x:v>
      </x:c>
      <x:c r="J172" s="4" t="n">
        <x:f>COUNTIFS('Material routes'!$B$6:$B$1005,A172,'Material routes'!$C$6:$C$1005,"Output")</x:f>
        <x:v>1</x:v>
      </x:c>
      <x:c r="K172" s="4" t="n">
        <x:f>COUNTIFS('Material routes'!$B$6:$B$1005,A172,'Material routes'!$C$6:$C$1005,"Tool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Workshop tools, energy/heat, fixtures, conditions and qualification remain unresolved</x:v>
      </x:c>
      <x:c r="H173" s="4" t="str">
        <x:f>IF(I173=0,"Unassigned",IF(SUMIFS('Material routes'!$Q$6:$Q$1005,'Material routes'!$B$6:$B$1005,A173)&gt;0,"Unassigned","T"&amp;_xlfn.MAXIFS('Material routes'!$P$6:$P$1005,'Material routes'!$B$6:$B$1005,A173)))</x:f>
        <x:v>T2</x:v>
      </x:c>
      <x:c r="I173" s="4" t="n">
        <x:f>SUM(COUNTIFS('Material routes'!$B$6:$B$1005,A173,'Material routes'!$C$6:$C$1005,"Ingredient candidate"),COUNTIFS('Material routes'!$B$6:$B$1005,A173,'Material routes'!$C$6:$C$1005,"Consumed input"),COUNTIFS('Material routes'!$B$6:$B$1005,A173,'Material routes'!$C$6:$C$1005,"Contained input"),COUNTIFS('Material routes'!$B$6:$B$1005,A173,'Material routes'!$C$6:$C$1005,"Transform input"))</x:f>
        <x:v>2</x:v>
      </x:c>
      <x:c r="J173" s="4" t="n">
        <x:f>COUNTIFS('Material routes'!$B$6:$B$1005,A173,'Material routes'!$C$6:$C$1005,"Output")</x:f>
        <x:v>1</x:v>
      </x:c>
      <x:c r="K173" s="4" t="n">
        <x:f>COUNTIFS('Material routes'!$B$6:$B$1005,A173,'Material routes'!$C$6:$C$1005,"Tool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Workshop tools, energy/heat, fixtures, conditions and qualification remain unresolved</x:v>
      </x:c>
      <x:c r="H174" s="4" t="str">
        <x:f>IF(I174=0,"Unassigned",IF(SUMIFS('Material routes'!$Q$6:$Q$1005,'Material routes'!$B$6:$B$1005,A174)&gt;0,"Unassigned","T"&amp;_xlfn.MAXIFS('Material routes'!$P$6:$P$1005,'Material routes'!$B$6:$B$1005,A174)))</x:f>
        <x:v>T2</x:v>
      </x:c>
      <x:c r="I174" s="4" t="n">
        <x:f>SUM(COUNTIFS('Material routes'!$B$6:$B$1005,A174,'Material routes'!$C$6:$C$1005,"Ingredient candidate"),COUNTIFS('Material routes'!$B$6:$B$1005,A174,'Material routes'!$C$6:$C$1005,"Consumed input"),COUNTIFS('Material routes'!$B$6:$B$1005,A174,'Material routes'!$C$6:$C$1005,"Contained input"),COUNTIFS('Material routes'!$B$6:$B$1005,A174,'Material routes'!$C$6:$C$1005,"Transform input"))</x:f>
        <x:v>1</x:v>
      </x:c>
      <x:c r="J174" s="4" t="n">
        <x:f>COUNTIFS('Material routes'!$B$6:$B$1005,A174,'Material routes'!$C$6:$C$1005,"Output")</x:f>
        <x:v>1</x:v>
      </x:c>
      <x:c r="K174" s="4" t="n">
        <x:f>COUNTIFS('Material routes'!$B$6:$B$1005,A174,'Material routes'!$C$6:$C$1005,"Tool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Workshop tools, energy/heat, fixtures, conditions and qualification remain unresolved</x:v>
      </x:c>
      <x:c r="H175" s="4" t="str">
        <x:f>IF(I175=0,"Unassigned",IF(SUMIFS('Material routes'!$Q$6:$Q$1005,'Material routes'!$B$6:$B$1005,A175)&gt;0,"Unassigned","T"&amp;_xlfn.MAXIFS('Material routes'!$P$6:$P$1005,'Material routes'!$B$6:$B$1005,A175)))</x:f>
        <x:v>T1</x:v>
      </x:c>
      <x:c r="I175" s="4" t="n">
        <x:f>SUM(COUNTIFS('Material routes'!$B$6:$B$1005,A175,'Material routes'!$C$6:$C$1005,"Ingredient candidate"),COUNTIFS('Material routes'!$B$6:$B$1005,A175,'Material routes'!$C$6:$C$1005,"Consumed input"),COUNTIFS('Material routes'!$B$6:$B$1005,A175,'Material routes'!$C$6:$C$1005,"Contained input"),COUNTIFS('Material routes'!$B$6:$B$1005,A175,'Material routes'!$C$6:$C$1005,"Transform input"))</x:f>
        <x:v>2</x:v>
      </x:c>
      <x:c r="J175" s="4" t="n">
        <x:f>COUNTIFS('Material routes'!$B$6:$B$1005,A175,'Material routes'!$C$6:$C$1005,"Output")</x:f>
        <x:v>1</x:v>
      </x:c>
      <x:c r="K175" s="4" t="n">
        <x:f>COUNTIFS('Material routes'!$B$6:$B$1005,A175,'Material routes'!$C$6:$C$1005,"Tool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Workshop tools, energy/heat, fixtures, conditions and qualification remain unresolved</x:v>
      </x:c>
      <x:c r="H176" s="4" t="str">
        <x:f>IF(I176=0,"Unassigned",IF(SUMIFS('Material routes'!$Q$6:$Q$1005,'Material routes'!$B$6:$B$1005,A176)&gt;0,"Unassigned","T"&amp;_xlfn.MAXIFS('Material routes'!$P$6:$P$1005,'Material routes'!$B$6:$B$1005,A176)))</x:f>
        <x:v>T2</x:v>
      </x:c>
      <x:c r="I176" s="4" t="n">
        <x:f>SUM(COUNTIFS('Material routes'!$B$6:$B$1005,A176,'Material routes'!$C$6:$C$1005,"Ingredient candidate"),COUNTIFS('Material routes'!$B$6:$B$1005,A176,'Material routes'!$C$6:$C$1005,"Consumed input"),COUNTIFS('Material routes'!$B$6:$B$1005,A176,'Material routes'!$C$6:$C$1005,"Contained input"),COUNTIFS('Material routes'!$B$6:$B$1005,A176,'Material routes'!$C$6:$C$1005,"Transform input"))</x:f>
        <x:v>3</x:v>
      </x:c>
      <x:c r="J176" s="4" t="n">
        <x:f>COUNTIFS('Material routes'!$B$6:$B$1005,A176,'Material routes'!$C$6:$C$1005,"Output")</x:f>
        <x:v>1</x:v>
      </x:c>
      <x:c r="K176" s="4" t="n">
        <x:f>COUNTIFS('Material routes'!$B$6:$B$1005,A176,'Material routes'!$C$6:$C$1005,"Tool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Workshop tools, energy/heat, fixtures, conditions and qualification remain unresolved</x:v>
      </x:c>
      <x:c r="H177" s="4" t="str">
        <x:f>IF(I177=0,"Unassigned",IF(SUMIFS('Material routes'!$Q$6:$Q$1005,'Material routes'!$B$6:$B$1005,A177)&gt;0,"Unassigned","T"&amp;_xlfn.MAXIFS('Material routes'!$P$6:$P$1005,'Material routes'!$B$6:$B$1005,A177)))</x:f>
        <x:v>T2</x:v>
      </x:c>
      <x:c r="I177" s="4" t="n">
        <x:f>SUM(COUNTIFS('Material routes'!$B$6:$B$1005,A177,'Material routes'!$C$6:$C$1005,"Ingredient candidate"),COUNTIFS('Material routes'!$B$6:$B$1005,A177,'Material routes'!$C$6:$C$1005,"Consumed input"),COUNTIFS('Material routes'!$B$6:$B$1005,A177,'Material routes'!$C$6:$C$1005,"Contained input"),COUNTIFS('Material routes'!$B$6:$B$1005,A177,'Material routes'!$C$6:$C$1005,"Transform input"))</x:f>
        <x:v>3</x:v>
      </x:c>
      <x:c r="J177" s="4" t="n">
        <x:f>COUNTIFS('Material routes'!$B$6:$B$1005,A177,'Material routes'!$C$6:$C$1005,"Output")</x:f>
        <x:v>1</x:v>
      </x:c>
      <x:c r="K177" s="4" t="n">
        <x:f>COUNTIFS('Material routes'!$B$6:$B$1005,A177,'Material routes'!$C$6:$C$1005,"Tool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Workshop tools, energy/heat, fixtures, conditions and qualification remain unresolved</x:v>
      </x:c>
      <x:c r="H178" s="4" t="str">
        <x:f>IF(I178=0,"Unassigned",IF(SUMIFS('Material routes'!$Q$6:$Q$1005,'Material routes'!$B$6:$B$1005,A178)&gt;0,"Unassigned","T"&amp;_xlfn.MAXIFS('Material routes'!$P$6:$P$1005,'Material routes'!$B$6:$B$1005,A178)))</x:f>
        <x:v>T1</x:v>
      </x:c>
      <x:c r="I178" s="4" t="n">
        <x:f>SUM(COUNTIFS('Material routes'!$B$6:$B$1005,A178,'Material routes'!$C$6:$C$1005,"Ingredient candidate"),COUNTIFS('Material routes'!$B$6:$B$1005,A178,'Material routes'!$C$6:$C$1005,"Consumed input"),COUNTIFS('Material routes'!$B$6:$B$1005,A178,'Material routes'!$C$6:$C$1005,"Contained input"),COUNTIFS('Material routes'!$B$6:$B$1005,A178,'Material routes'!$C$6:$C$1005,"Transform input"))</x:f>
        <x:v>2</x:v>
      </x:c>
      <x:c r="J178" s="4" t="n">
        <x:f>COUNTIFS('Material routes'!$B$6:$B$1005,A178,'Material routes'!$C$6:$C$1005,"Output")</x:f>
        <x:v>1</x:v>
      </x:c>
      <x:c r="K178" s="4" t="n">
        <x:f>COUNTIFS('Material routes'!$B$6:$B$1005,A178,'Material routes'!$C$6:$C$1005,"Tool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Workshop tools, energy/heat, fixtures, conditions and qualification remain unresolved</x:v>
      </x:c>
      <x:c r="H179" s="4" t="str">
        <x:f>IF(I179=0,"Unassigned",IF(SUMIFS('Material routes'!$Q$6:$Q$1005,'Material routes'!$B$6:$B$1005,A179)&gt;0,"Unassigned","T"&amp;_xlfn.MAXIFS('Material routes'!$P$6:$P$1005,'Material routes'!$B$6:$B$1005,A179)))</x:f>
        <x:v>T2</x:v>
      </x:c>
      <x:c r="I179" s="4" t="n">
        <x:f>SUM(COUNTIFS('Material routes'!$B$6:$B$1005,A179,'Material routes'!$C$6:$C$1005,"Ingredient candidate"),COUNTIFS('Material routes'!$B$6:$B$1005,A179,'Material routes'!$C$6:$C$1005,"Consumed input"),COUNTIFS('Material routes'!$B$6:$B$1005,A179,'Material routes'!$C$6:$C$1005,"Contained input"),COUNTIFS('Material routes'!$B$6:$B$1005,A179,'Material routes'!$C$6:$C$1005,"Transform input"))</x:f>
        <x:v>2</x:v>
      </x:c>
      <x:c r="J179" s="4" t="n">
        <x:f>COUNTIFS('Material routes'!$B$6:$B$1005,A179,'Material routes'!$C$6:$C$1005,"Output")</x:f>
        <x:v>1</x:v>
      </x:c>
      <x:c r="K179" s="4" t="n">
        <x:f>COUNTIFS('Material routes'!$B$6:$B$1005,A179,'Material routes'!$C$6:$C$1005,"Tool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Workshop tools, energy/heat, fixtures, conditions and qualification remain unresolved</x:v>
      </x:c>
      <x:c r="H180" s="4" t="str">
        <x:f>IF(I180=0,"Unassigned",IF(SUMIFS('Material routes'!$Q$6:$Q$1005,'Material routes'!$B$6:$B$1005,A180)&gt;0,"Unassigned","T"&amp;_xlfn.MAXIFS('Material routes'!$P$6:$P$1005,'Material routes'!$B$6:$B$1005,A180)))</x:f>
        <x:v>T2</x:v>
      </x:c>
      <x:c r="I180" s="4" t="n">
        <x:f>SUM(COUNTIFS('Material routes'!$B$6:$B$1005,A180,'Material routes'!$C$6:$C$1005,"Ingredient candidate"),COUNTIFS('Material routes'!$B$6:$B$1005,A180,'Material routes'!$C$6:$C$1005,"Consumed input"),COUNTIFS('Material routes'!$B$6:$B$1005,A180,'Material routes'!$C$6:$C$1005,"Contained input"),COUNTIFS('Material routes'!$B$6:$B$1005,A180,'Material routes'!$C$6:$C$1005,"Transform input"))</x:f>
        <x:v>2</x:v>
      </x:c>
      <x:c r="J180" s="4" t="n">
        <x:f>COUNTIFS('Material routes'!$B$6:$B$1005,A180,'Material routes'!$C$6:$C$1005,"Output")</x:f>
        <x:v>1</x:v>
      </x:c>
      <x:c r="K180" s="4" t="n">
        <x:f>COUNTIFS('Material routes'!$B$6:$B$1005,A180,'Material routes'!$C$6:$C$1005,"Tool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Workshop tools, energy/heat, fixtures, conditions and qualification remain unresolved</x:v>
      </x:c>
      <x:c r="H181" s="4" t="str">
        <x:f>IF(I181=0,"Unassigned",IF(SUMIFS('Material routes'!$Q$6:$Q$1005,'Material routes'!$B$6:$B$1005,A181)&gt;0,"Unassigned","T"&amp;_xlfn.MAXIFS('Material routes'!$P$6:$P$1005,'Material routes'!$B$6:$B$1005,A181)))</x:f>
        <x:v>T2</x:v>
      </x:c>
      <x:c r="I181" s="4" t="n">
        <x:f>SUM(COUNTIFS('Material routes'!$B$6:$B$1005,A181,'Material routes'!$C$6:$C$1005,"Ingredient candidate"),COUNTIFS('Material routes'!$B$6:$B$1005,A181,'Material routes'!$C$6:$C$1005,"Consumed input"),COUNTIFS('Material routes'!$B$6:$B$1005,A181,'Material routes'!$C$6:$C$1005,"Contained input"),COUNTIFS('Material routes'!$B$6:$B$1005,A181,'Material routes'!$C$6:$C$1005,"Transform input"))</x:f>
        <x:v>2</x:v>
      </x:c>
      <x:c r="J181" s="4" t="n">
        <x:f>COUNTIFS('Material routes'!$B$6:$B$1005,A181,'Material routes'!$C$6:$C$1005,"Output")</x:f>
        <x:v>1</x:v>
      </x:c>
      <x:c r="K181" s="4" t="n">
        <x:f>COUNTIFS('Material routes'!$B$6:$B$1005,A181,'Material routes'!$C$6:$C$1005,"Tool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Workshop tools, energy/heat, fixtures, conditions and qualification remain unresolved</x:v>
      </x:c>
      <x:c r="H182" s="4" t="str">
        <x:f>IF(I182=0,"Unassigned",IF(SUMIFS('Material routes'!$Q$6:$Q$1005,'Material routes'!$B$6:$B$1005,A182)&gt;0,"Unassigned","T"&amp;_xlfn.MAXIFS('Material routes'!$P$6:$P$1005,'Material routes'!$B$6:$B$1005,A182)))</x:f>
        <x:v>T2</x:v>
      </x:c>
      <x:c r="I182" s="4" t="n">
        <x:f>SUM(COUNTIFS('Material routes'!$B$6:$B$1005,A182,'Material routes'!$C$6:$C$1005,"Ingredient candidate"),COUNTIFS('Material routes'!$B$6:$B$1005,A182,'Material routes'!$C$6:$C$1005,"Consumed input"),COUNTIFS('Material routes'!$B$6:$B$1005,A182,'Material routes'!$C$6:$C$1005,"Contained input"),COUNTIFS('Material routes'!$B$6:$B$1005,A182,'Material routes'!$C$6:$C$1005,"Transform input"))</x:f>
        <x:v>2</x:v>
      </x:c>
      <x:c r="J182" s="4" t="n">
        <x:f>COUNTIFS('Material routes'!$B$6:$B$1005,A182,'Material routes'!$C$6:$C$1005,"Output")</x:f>
        <x:v>1</x:v>
      </x:c>
      <x:c r="K182" s="4" t="n">
        <x:f>COUNTIFS('Material routes'!$B$6:$B$1005,A182,'Material routes'!$C$6:$C$1005,"Tool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Workshop tools, energy/heat, fixtures, conditions and qualification remain unresolved</x:v>
      </x:c>
      <x:c r="H183" s="4" t="str">
        <x:f>IF(I183=0,"Unassigned",IF(SUMIFS('Material routes'!$Q$6:$Q$1005,'Material routes'!$B$6:$B$1005,A183)&gt;0,"Unassigned","T"&amp;_xlfn.MAXIFS('Material routes'!$P$6:$P$1005,'Material routes'!$B$6:$B$1005,A183)))</x:f>
        <x:v>T2</x:v>
      </x:c>
      <x:c r="I183" s="4" t="n">
        <x:f>SUM(COUNTIFS('Material routes'!$B$6:$B$1005,A183,'Material routes'!$C$6:$C$1005,"Ingredient candidate"),COUNTIFS('Material routes'!$B$6:$B$1005,A183,'Material routes'!$C$6:$C$1005,"Consumed input"),COUNTIFS('Material routes'!$B$6:$B$1005,A183,'Material routes'!$C$6:$C$1005,"Contained input"),COUNTIFS('Material routes'!$B$6:$B$1005,A183,'Material routes'!$C$6:$C$1005,"Transform input"))</x:f>
        <x:v>2</x:v>
      </x:c>
      <x:c r="J183" s="4" t="n">
        <x:f>COUNTIFS('Material routes'!$B$6:$B$1005,A183,'Material routes'!$C$6:$C$1005,"Output")</x:f>
        <x:v>1</x:v>
      </x:c>
      <x:c r="K183" s="4" t="n">
        <x:f>COUNTIFS('Material routes'!$B$6:$B$1005,A183,'Material routes'!$C$6:$C$1005,"Tool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Workshop tools, energy/heat, fixtures, conditions and qualification remain unresolved</x:v>
      </x:c>
      <x:c r="H184" s="4" t="str">
        <x:f>IF(I184=0,"Unassigned",IF(SUMIFS('Material routes'!$Q$6:$Q$1005,'Material routes'!$B$6:$B$1005,A184)&gt;0,"Unassigned","T"&amp;_xlfn.MAXIFS('Material routes'!$P$6:$P$1005,'Material routes'!$B$6:$B$1005,A184)))</x:f>
        <x:v>T2</x:v>
      </x:c>
      <x:c r="I184" s="4" t="n">
        <x:f>SUM(COUNTIFS('Material routes'!$B$6:$B$1005,A184,'Material routes'!$C$6:$C$1005,"Ingredient candidate"),COUNTIFS('Material routes'!$B$6:$B$1005,A184,'Material routes'!$C$6:$C$1005,"Consumed input"),COUNTIFS('Material routes'!$B$6:$B$1005,A184,'Material routes'!$C$6:$C$1005,"Contained input"),COUNTIFS('Material routes'!$B$6:$B$1005,A184,'Material routes'!$C$6:$C$1005,"Transform input"))</x:f>
        <x:v>2</x:v>
      </x:c>
      <x:c r="J184" s="4" t="n">
        <x:f>COUNTIFS('Material routes'!$B$6:$B$1005,A184,'Material routes'!$C$6:$C$1005,"Output")</x:f>
        <x:v>1</x:v>
      </x:c>
      <x:c r="K184" s="4" t="n">
        <x:f>COUNTIFS('Material routes'!$B$6:$B$1005,A184,'Material routes'!$C$6:$C$1005,"Tool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Workshop tools, energy/heat, fixtures, conditions and qualification remain unresolved</x:v>
      </x:c>
      <x:c r="H185" s="4" t="str">
        <x:f>IF(I185=0,"Unassigned",IF(SUMIFS('Material routes'!$Q$6:$Q$1005,'Material routes'!$B$6:$B$1005,A185)&gt;0,"Unassigned","T"&amp;_xlfn.MAXIFS('Material routes'!$P$6:$P$1005,'Material routes'!$B$6:$B$1005,A185)))</x:f>
        <x:v>T2</x:v>
      </x:c>
      <x:c r="I185" s="4" t="n">
        <x:f>SUM(COUNTIFS('Material routes'!$B$6:$B$1005,A185,'Material routes'!$C$6:$C$1005,"Ingredient candidate"),COUNTIFS('Material routes'!$B$6:$B$1005,A185,'Material routes'!$C$6:$C$1005,"Consumed input"),COUNTIFS('Material routes'!$B$6:$B$1005,A185,'Material routes'!$C$6:$C$1005,"Contained input"),COUNTIFS('Material routes'!$B$6:$B$1005,A185,'Material routes'!$C$6:$C$1005,"Transform input"))</x:f>
        <x:v>2</x:v>
      </x:c>
      <x:c r="J185" s="4" t="n">
        <x:f>COUNTIFS('Material routes'!$B$6:$B$1005,A185,'Material routes'!$C$6:$C$1005,"Output")</x:f>
        <x:v>1</x:v>
      </x:c>
      <x:c r="K185" s="4" t="n">
        <x:f>COUNTIFS('Material routes'!$B$6:$B$1005,A185,'Material routes'!$C$6:$C$1005,"Tool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Workshop tools, energy/heat, fixtures, conditions and qualification remain unresolved</x:v>
      </x:c>
      <x:c r="H186" s="4" t="str">
        <x:f>IF(I186=0,"Unassigned",IF(SUMIFS('Material routes'!$Q$6:$Q$1005,'Material routes'!$B$6:$B$1005,A186)&gt;0,"Unassigned","T"&amp;_xlfn.MAXIFS('Material routes'!$P$6:$P$1005,'Material routes'!$B$6:$B$1005,A186)))</x:f>
        <x:v>T2</x:v>
      </x:c>
      <x:c r="I186" s="4" t="n">
        <x:f>SUM(COUNTIFS('Material routes'!$B$6:$B$1005,A186,'Material routes'!$C$6:$C$1005,"Ingredient candidate"),COUNTIFS('Material routes'!$B$6:$B$1005,A186,'Material routes'!$C$6:$C$1005,"Consumed input"),COUNTIFS('Material routes'!$B$6:$B$1005,A186,'Material routes'!$C$6:$C$1005,"Contained input"),COUNTIFS('Material routes'!$B$6:$B$1005,A186,'Material routes'!$C$6:$C$1005,"Transform input"))</x:f>
        <x:v>2</x:v>
      </x:c>
      <x:c r="J186" s="4" t="n">
        <x:f>COUNTIFS('Material routes'!$B$6:$B$1005,A186,'Material routes'!$C$6:$C$1005,"Output")</x:f>
        <x:v>1</x:v>
      </x:c>
      <x:c r="K186" s="4" t="n">
        <x:f>COUNTIFS('Material routes'!$B$6:$B$1005,A186,'Material routes'!$C$6:$C$1005,"Tool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Workshop tools, energy/heat, fixtures, conditions and qualification remain unresolved</x:v>
      </x:c>
      <x:c r="H187" s="4" t="str">
        <x:f>IF(I187=0,"Unassigned",IF(SUMIFS('Material routes'!$Q$6:$Q$1005,'Material routes'!$B$6:$B$1005,A187)&gt;0,"Unassigned","T"&amp;_xlfn.MAXIFS('Material routes'!$P$6:$P$1005,'Material routes'!$B$6:$B$1005,A187)))</x:f>
        <x:v>T2</x:v>
      </x:c>
      <x:c r="I187" s="4" t="n">
        <x:f>SUM(COUNTIFS('Material routes'!$B$6:$B$1005,A187,'Material routes'!$C$6:$C$1005,"Ingredient candidate"),COUNTIFS('Material routes'!$B$6:$B$1005,A187,'Material routes'!$C$6:$C$1005,"Consumed input"),COUNTIFS('Material routes'!$B$6:$B$1005,A187,'Material routes'!$C$6:$C$1005,"Contained input"),COUNTIFS('Material routes'!$B$6:$B$1005,A187,'Material routes'!$C$6:$C$1005,"Transform input"))</x:f>
        <x:v>2</x:v>
      </x:c>
      <x:c r="J187" s="4" t="n">
        <x:f>COUNTIFS('Material routes'!$B$6:$B$1005,A187,'Material routes'!$C$6:$C$1005,"Output")</x:f>
        <x:v>1</x:v>
      </x:c>
      <x:c r="K187" s="4" t="n">
        <x:f>COUNTIFS('Material routes'!$B$6:$B$1005,A187,'Material routes'!$C$6:$C$1005,"Tool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Workshop tools, energy/heat, fixtures, conditions and qualification remain unresolved</x:v>
      </x:c>
      <x:c r="H188" s="4" t="str">
        <x:f>IF(I188=0,"Unassigned",IF(SUMIFS('Material routes'!$Q$6:$Q$1005,'Material routes'!$B$6:$B$1005,A188)&gt;0,"Unassigned","T"&amp;_xlfn.MAXIFS('Material routes'!$P$6:$P$1005,'Material routes'!$B$6:$B$1005,A188)))</x:f>
        <x:v>T3</x:v>
      </x:c>
      <x:c r="I188" s="4" t="n">
        <x:f>SUM(COUNTIFS('Material routes'!$B$6:$B$1005,A188,'Material routes'!$C$6:$C$1005,"Ingredient candidate"),COUNTIFS('Material routes'!$B$6:$B$1005,A188,'Material routes'!$C$6:$C$1005,"Consumed input"),COUNTIFS('Material routes'!$B$6:$B$1005,A188,'Material routes'!$C$6:$C$1005,"Contained input"),COUNTIFS('Material routes'!$B$6:$B$1005,A188,'Material routes'!$C$6:$C$1005,"Transform input"))</x:f>
        <x:v>3</x:v>
      </x:c>
      <x:c r="J188" s="4" t="n">
        <x:f>COUNTIFS('Material routes'!$B$6:$B$1005,A188,'Material routes'!$C$6:$C$1005,"Output")</x:f>
        <x:v>1</x:v>
      </x:c>
      <x:c r="K188" s="4" t="n">
        <x:f>COUNTIFS('Material routes'!$B$6:$B$1005,A188,'Material routes'!$C$6:$C$1005,"Tool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Workshop tools, energy/heat, fixtures, conditions and qualification remain unresolved</x:v>
      </x:c>
      <x:c r="H189" s="4" t="str">
        <x:f>IF(I189=0,"Unassigned",IF(SUMIFS('Material routes'!$Q$6:$Q$1005,'Material routes'!$B$6:$B$1005,A189)&gt;0,"Unassigned","T"&amp;_xlfn.MAXIFS('Material routes'!$P$6:$P$1005,'Material routes'!$B$6:$B$1005,A189)))</x:f>
        <x:v>T2</x:v>
      </x:c>
      <x:c r="I189" s="4" t="n">
        <x:f>SUM(COUNTIFS('Material routes'!$B$6:$B$1005,A189,'Material routes'!$C$6:$C$1005,"Ingredient candidate"),COUNTIFS('Material routes'!$B$6:$B$1005,A189,'Material routes'!$C$6:$C$1005,"Consumed input"),COUNTIFS('Material routes'!$B$6:$B$1005,A189,'Material routes'!$C$6:$C$1005,"Contained input"),COUNTIFS('Material routes'!$B$6:$B$1005,A189,'Material routes'!$C$6:$C$1005,"Transform input"))</x:f>
        <x:v>2</x:v>
      </x:c>
      <x:c r="J189" s="4" t="n">
        <x:f>COUNTIFS('Material routes'!$B$6:$B$1005,A189,'Material routes'!$C$6:$C$1005,"Output")</x:f>
        <x:v>1</x:v>
      </x:c>
      <x:c r="K189" s="4" t="n">
        <x:f>COUNTIFS('Material routes'!$B$6:$B$1005,A189,'Material routes'!$C$6:$C$1005,"Tool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Workshop tools, energy/heat, fixtures, conditions and qualification remain unresolved</x:v>
      </x:c>
      <x:c r="H190" s="4" t="str">
        <x:f>IF(I190=0,"Unassigned",IF(SUMIFS('Material routes'!$Q$6:$Q$1005,'Material routes'!$B$6:$B$1005,A190)&gt;0,"Unassigned","T"&amp;_xlfn.MAXIFS('Material routes'!$P$6:$P$1005,'Material routes'!$B$6:$B$1005,A190)))</x:f>
        <x:v>T2</x:v>
      </x:c>
      <x:c r="I190" s="4" t="n">
        <x:f>SUM(COUNTIFS('Material routes'!$B$6:$B$1005,A190,'Material routes'!$C$6:$C$1005,"Ingredient candidate"),COUNTIFS('Material routes'!$B$6:$B$1005,A190,'Material routes'!$C$6:$C$1005,"Consumed input"),COUNTIFS('Material routes'!$B$6:$B$1005,A190,'Material routes'!$C$6:$C$1005,"Contained input"),COUNTIFS('Material routes'!$B$6:$B$1005,A190,'Material routes'!$C$6:$C$1005,"Transform input"))</x:f>
        <x:v>1</x:v>
      </x:c>
      <x:c r="J190" s="4" t="n">
        <x:f>COUNTIFS('Material routes'!$B$6:$B$1005,A190,'Material routes'!$C$6:$C$1005,"Output")</x:f>
        <x:v>1</x:v>
      </x:c>
      <x:c r="K190" s="4" t="n">
        <x:f>COUNTIFS('Material routes'!$B$6:$B$1005,A190,'Material routes'!$C$6:$C$1005,"Tool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Workshop tools, energy/heat, fixtures, conditions and qualification remain unresolved</x:v>
      </x:c>
      <x:c r="H191" s="4" t="str">
        <x:f>IF(I191=0,"Unassigned",IF(SUMIFS('Material routes'!$Q$6:$Q$1005,'Material routes'!$B$6:$B$1005,A191)&gt;0,"Unassigned","T"&amp;_xlfn.MAXIFS('Material routes'!$P$6:$P$1005,'Material routes'!$B$6:$B$1005,A191)))</x:f>
        <x:v>T2</x:v>
      </x:c>
      <x:c r="I191" s="4" t="n">
        <x:f>SUM(COUNTIFS('Material routes'!$B$6:$B$1005,A191,'Material routes'!$C$6:$C$1005,"Ingredient candidate"),COUNTIFS('Material routes'!$B$6:$B$1005,A191,'Material routes'!$C$6:$C$1005,"Consumed input"),COUNTIFS('Material routes'!$B$6:$B$1005,A191,'Material routes'!$C$6:$C$1005,"Contained input"),COUNTIFS('Material routes'!$B$6:$B$1005,A191,'Material routes'!$C$6:$C$1005,"Transform input"))</x:f>
        <x:v>2</x:v>
      </x:c>
      <x:c r="J191" s="4" t="n">
        <x:f>COUNTIFS('Material routes'!$B$6:$B$1005,A191,'Material routes'!$C$6:$C$1005,"Output")</x:f>
        <x:v>1</x:v>
      </x:c>
      <x:c r="K191" s="4" t="n">
        <x:f>COUNTIFS('Material routes'!$B$6:$B$1005,A191,'Material routes'!$C$6:$C$1005,"Tool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Workshop tools, energy/heat, fixtures, conditions and qualification remain unresolved</x:v>
      </x:c>
      <x:c r="H192" s="4" t="str">
        <x:f>IF(I192=0,"Unassigned",IF(SUMIFS('Material routes'!$Q$6:$Q$1005,'Material routes'!$B$6:$B$1005,A192)&gt;0,"Unassigned","T"&amp;_xlfn.MAXIFS('Material routes'!$P$6:$P$1005,'Material routes'!$B$6:$B$1005,A192)))</x:f>
        <x:v>T1</x:v>
      </x:c>
      <x:c r="I192" s="4" t="n">
        <x:f>SUM(COUNTIFS('Material routes'!$B$6:$B$1005,A192,'Material routes'!$C$6:$C$1005,"Ingredient candidate"),COUNTIFS('Material routes'!$B$6:$B$1005,A192,'Material routes'!$C$6:$C$1005,"Consumed input"),COUNTIFS('Material routes'!$B$6:$B$1005,A192,'Material routes'!$C$6:$C$1005,"Contained input"),COUNTIFS('Material routes'!$B$6:$B$1005,A192,'Material routes'!$C$6:$C$1005,"Transform input"))</x:f>
        <x:v>2</x:v>
      </x:c>
      <x:c r="J192" s="4" t="n">
        <x:f>COUNTIFS('Material routes'!$B$6:$B$1005,A192,'Material routes'!$C$6:$C$1005,"Output")</x:f>
        <x:v>1</x:v>
      </x:c>
      <x:c r="K192" s="4" t="n">
        <x:f>COUNTIFS('Material routes'!$B$6:$B$1005,A192,'Material routes'!$C$6:$C$1005,"Tool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Workshop tools, energy/heat, fixtures, conditions and qualification remain unresolved</x:v>
      </x:c>
      <x:c r="H193" s="4" t="str">
        <x:f>IF(I193=0,"Unassigned",IF(SUMIFS('Material routes'!$Q$6:$Q$1005,'Material routes'!$B$6:$B$1005,A193)&gt;0,"Unassigned","T"&amp;_xlfn.MAXIFS('Material routes'!$P$6:$P$1005,'Material routes'!$B$6:$B$1005,A193)))</x:f>
        <x:v>T1</x:v>
      </x:c>
      <x:c r="I193" s="4" t="n">
        <x:f>SUM(COUNTIFS('Material routes'!$B$6:$B$1005,A193,'Material routes'!$C$6:$C$1005,"Ingredient candidate"),COUNTIFS('Material routes'!$B$6:$B$1005,A193,'Material routes'!$C$6:$C$1005,"Consumed input"),COUNTIFS('Material routes'!$B$6:$B$1005,A193,'Material routes'!$C$6:$C$1005,"Contained input"),COUNTIFS('Material routes'!$B$6:$B$1005,A193,'Material routes'!$C$6:$C$1005,"Transform input"))</x:f>
        <x:v>2</x:v>
      </x:c>
      <x:c r="J193" s="4" t="n">
        <x:f>COUNTIFS('Material routes'!$B$6:$B$1005,A193,'Material routes'!$C$6:$C$1005,"Output")</x:f>
        <x:v>1</x:v>
      </x:c>
      <x:c r="K193" s="4" t="n">
        <x:f>COUNTIFS('Material routes'!$B$6:$B$1005,A193,'Material routes'!$C$6:$C$1005,"Tool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Workshop tools, energy/heat, fixtures, conditions and qualification remain unresolved</x:v>
      </x:c>
      <x:c r="H194" s="4" t="str">
        <x:f>IF(I194=0,"Unassigned",IF(SUMIFS('Material routes'!$Q$6:$Q$1005,'Material routes'!$B$6:$B$1005,A194)&gt;0,"Unassigned","T"&amp;_xlfn.MAXIFS('Material routes'!$P$6:$P$1005,'Material routes'!$B$6:$B$1005,A194)))</x:f>
        <x:v>T1</x:v>
      </x:c>
      <x:c r="I194" s="4" t="n">
        <x:f>SUM(COUNTIFS('Material routes'!$B$6:$B$1005,A194,'Material routes'!$C$6:$C$1005,"Ingredient candidate"),COUNTIFS('Material routes'!$B$6:$B$1005,A194,'Material routes'!$C$6:$C$1005,"Consumed input"),COUNTIFS('Material routes'!$B$6:$B$1005,A194,'Material routes'!$C$6:$C$1005,"Contained input"),COUNTIFS('Material routes'!$B$6:$B$1005,A194,'Material routes'!$C$6:$C$1005,"Transform input"))</x:f>
        <x:v>3</x:v>
      </x:c>
      <x:c r="J194" s="4" t="n">
        <x:f>COUNTIFS('Material routes'!$B$6:$B$1005,A194,'Material routes'!$C$6:$C$1005,"Output")</x:f>
        <x:v>1</x:v>
      </x:c>
      <x:c r="K194" s="4" t="n">
        <x:f>COUNTIFS('Material routes'!$B$6:$B$1005,A194,'Material routes'!$C$6:$C$1005,"Tool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Workshop tools, energy/heat, fixtures, conditions and qualification remain unresolved</x:v>
      </x:c>
      <x:c r="H195" s="4" t="str">
        <x:f>IF(I195=0,"Unassigned",IF(SUMIFS('Material routes'!$Q$6:$Q$1005,'Material routes'!$B$6:$B$1005,A195)&gt;0,"Unassigned","T"&amp;_xlfn.MAXIFS('Material routes'!$P$6:$P$1005,'Material routes'!$B$6:$B$1005,A195)))</x:f>
        <x:v>T3</x:v>
      </x:c>
      <x:c r="I195" s="4" t="n">
        <x:f>SUM(COUNTIFS('Material routes'!$B$6:$B$1005,A195,'Material routes'!$C$6:$C$1005,"Ingredient candidate"),COUNTIFS('Material routes'!$B$6:$B$1005,A195,'Material routes'!$C$6:$C$1005,"Consumed input"),COUNTIFS('Material routes'!$B$6:$B$1005,A195,'Material routes'!$C$6:$C$1005,"Contained input"),COUNTIFS('Material routes'!$B$6:$B$1005,A195,'Material routes'!$C$6:$C$1005,"Transform input"))</x:f>
        <x:v>3</x:v>
      </x:c>
      <x:c r="J195" s="4" t="n">
        <x:f>COUNTIFS('Material routes'!$B$6:$B$1005,A195,'Material routes'!$C$6:$C$1005,"Output")</x:f>
        <x:v>1</x:v>
      </x:c>
      <x:c r="K195" s="4" t="n">
        <x:f>COUNTIFS('Material routes'!$B$6:$B$1005,A195,'Material routes'!$C$6:$C$1005,"Tool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Workshop tools, energy/heat, fixtures, conditions and qualification remain unresolved</x:v>
      </x:c>
      <x:c r="H196" s="4" t="str">
        <x:f>IF(I196=0,"Unassigned",IF(SUMIFS('Material routes'!$Q$6:$Q$1005,'Material routes'!$B$6:$B$1005,A196)&gt;0,"Unassigned","T"&amp;_xlfn.MAXIFS('Material routes'!$P$6:$P$1005,'Material routes'!$B$6:$B$1005,A196)))</x:f>
        <x:v>T2</x:v>
      </x:c>
      <x:c r="I196" s="4" t="n">
        <x:f>SUM(COUNTIFS('Material routes'!$B$6:$B$1005,A196,'Material routes'!$C$6:$C$1005,"Ingredient candidate"),COUNTIFS('Material routes'!$B$6:$B$1005,A196,'Material routes'!$C$6:$C$1005,"Consumed input"),COUNTIFS('Material routes'!$B$6:$B$1005,A196,'Material routes'!$C$6:$C$1005,"Contained input"),COUNTIFS('Material routes'!$B$6:$B$1005,A196,'Material routes'!$C$6:$C$1005,"Transform input"))</x:f>
        <x:v>2</x:v>
      </x:c>
      <x:c r="J196" s="4" t="n">
        <x:f>COUNTIFS('Material routes'!$B$6:$B$1005,A196,'Material routes'!$C$6:$C$1005,"Output")</x:f>
        <x:v>1</x:v>
      </x:c>
      <x:c r="K196" s="4" t="n">
        <x:f>COUNTIFS('Material routes'!$B$6:$B$1005,A196,'Material routes'!$C$6:$C$1005,"Tool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Workshop tools, energy/heat, fixtures, conditions and qualification remain unresolved</x:v>
      </x:c>
      <x:c r="H197" s="4" t="str">
        <x:f>IF(I197=0,"Unassigned",IF(SUMIFS('Material routes'!$Q$6:$Q$1005,'Material routes'!$B$6:$B$1005,A197)&gt;0,"Unassigned","T"&amp;_xlfn.MAXIFS('Material routes'!$P$6:$P$1005,'Material routes'!$B$6:$B$1005,A197)))</x:f>
        <x:v>T3</x:v>
      </x:c>
      <x:c r="I197" s="4" t="n">
        <x:f>SUM(COUNTIFS('Material routes'!$B$6:$B$1005,A197,'Material routes'!$C$6:$C$1005,"Ingredient candidate"),COUNTIFS('Material routes'!$B$6:$B$1005,A197,'Material routes'!$C$6:$C$1005,"Consumed input"),COUNTIFS('Material routes'!$B$6:$B$1005,A197,'Material routes'!$C$6:$C$1005,"Contained input"),COUNTIFS('Material routes'!$B$6:$B$1005,A197,'Material routes'!$C$6:$C$1005,"Transform input"))</x:f>
        <x:v>4</x:v>
      </x:c>
      <x:c r="J197" s="4" t="n">
        <x:f>COUNTIFS('Material routes'!$B$6:$B$1005,A197,'Material routes'!$C$6:$C$1005,"Output")</x:f>
        <x:v>1</x:v>
      </x:c>
      <x:c r="K197" s="4" t="n">
        <x:f>COUNTIFS('Material routes'!$B$6:$B$1005,A197,'Material routes'!$C$6:$C$1005,"Tool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Workshop tools, energy/heat, fixtures, conditions and qualification remain unresolved</x:v>
      </x:c>
      <x:c r="H198" s="4" t="str">
        <x:f>IF(I198=0,"Unassigned",IF(SUMIFS('Material routes'!$Q$6:$Q$1005,'Material routes'!$B$6:$B$1005,A198)&gt;0,"Unassigned","T"&amp;_xlfn.MAXIFS('Material routes'!$P$6:$P$1005,'Material routes'!$B$6:$B$1005,A198)))</x:f>
        <x:v>T3</x:v>
      </x:c>
      <x:c r="I198" s="4" t="n">
        <x:f>SUM(COUNTIFS('Material routes'!$B$6:$B$1005,A198,'Material routes'!$C$6:$C$1005,"Ingredient candidate"),COUNTIFS('Material routes'!$B$6:$B$1005,A198,'Material routes'!$C$6:$C$1005,"Consumed input"),COUNTIFS('Material routes'!$B$6:$B$1005,A198,'Material routes'!$C$6:$C$1005,"Contained input"),COUNTIFS('Material routes'!$B$6:$B$1005,A198,'Material routes'!$C$6:$C$1005,"Transform input"))</x:f>
        <x:v>4</x:v>
      </x:c>
      <x:c r="J198" s="4" t="n">
        <x:f>COUNTIFS('Material routes'!$B$6:$B$1005,A198,'Material routes'!$C$6:$C$1005,"Output")</x:f>
        <x:v>1</x:v>
      </x:c>
      <x:c r="K198" s="4" t="n">
        <x:f>COUNTIFS('Material routes'!$B$6:$B$1005,A198,'Material routes'!$C$6:$C$1005,"Tool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Workshop tools, energy/heat, fixtures, conditions and qualification remain unresolved</x:v>
      </x:c>
      <x:c r="H199" s="4" t="str">
        <x:f>IF(I199=0,"Unassigned",IF(SUMIFS('Material routes'!$Q$6:$Q$1005,'Material routes'!$B$6:$B$1005,A199)&gt;0,"Unassigned","T"&amp;_xlfn.MAXIFS('Material routes'!$P$6:$P$1005,'Material routes'!$B$6:$B$1005,A199)))</x:f>
        <x:v>T2</x:v>
      </x:c>
      <x:c r="I199" s="4" t="n">
        <x:f>SUM(COUNTIFS('Material routes'!$B$6:$B$1005,A199,'Material routes'!$C$6:$C$1005,"Ingredient candidate"),COUNTIFS('Material routes'!$B$6:$B$1005,A199,'Material routes'!$C$6:$C$1005,"Consumed input"),COUNTIFS('Material routes'!$B$6:$B$1005,A199,'Material routes'!$C$6:$C$1005,"Contained input"),COUNTIFS('Material routes'!$B$6:$B$1005,A199,'Material routes'!$C$6:$C$1005,"Transform input"))</x:f>
        <x:v>1</x:v>
      </x:c>
      <x:c r="J199" s="4" t="n">
        <x:f>COUNTIFS('Material routes'!$B$6:$B$1005,A199,'Material routes'!$C$6:$C$1005,"Output")</x:f>
        <x:v>1</x:v>
      </x:c>
      <x:c r="K199" s="4" t="n">
        <x:f>COUNTIFS('Material routes'!$B$6:$B$1005,A199,'Material routes'!$C$6:$C$1005,"Tool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Workshop tools, energy/heat, fixtures, conditions and qualification remain unresolved</x:v>
      </x:c>
      <x:c r="H200" s="4" t="str">
        <x:f>IF(I200=0,"Unassigned",IF(SUMIFS('Material routes'!$Q$6:$Q$1005,'Material routes'!$B$6:$B$1005,A200)&gt;0,"Unassigned","T"&amp;_xlfn.MAXIFS('Material routes'!$P$6:$P$1005,'Material routes'!$B$6:$B$1005,A200)))</x:f>
        <x:v>T2</x:v>
      </x:c>
      <x:c r="I200" s="4" t="n">
        <x:f>SUM(COUNTIFS('Material routes'!$B$6:$B$1005,A200,'Material routes'!$C$6:$C$1005,"Ingredient candidate"),COUNTIFS('Material routes'!$B$6:$B$1005,A200,'Material routes'!$C$6:$C$1005,"Consumed input"),COUNTIFS('Material routes'!$B$6:$B$1005,A200,'Material routes'!$C$6:$C$1005,"Contained input"),COUNTIFS('Material routes'!$B$6:$B$1005,A200,'Material routes'!$C$6:$C$1005,"Transform input"))</x:f>
        <x:v>1</x:v>
      </x:c>
      <x:c r="J200" s="4" t="n">
        <x:f>COUNTIFS('Material routes'!$B$6:$B$1005,A200,'Material routes'!$C$6:$C$1005,"Output")</x:f>
        <x:v>1</x:v>
      </x:c>
      <x:c r="K200" s="4" t="n">
        <x:f>COUNTIFS('Material routes'!$B$6:$B$1005,A200,'Material routes'!$C$6:$C$1005,"Tool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Workshop tools, energy/heat, fixtures, conditions and qualification remain unresolved</x:v>
      </x:c>
      <x:c r="H201" s="4" t="str">
        <x:f>IF(I201=0,"Unassigned",IF(SUMIFS('Material routes'!$Q$6:$Q$1005,'Material routes'!$B$6:$B$1005,A201)&gt;0,"Unassigned","T"&amp;_xlfn.MAXIFS('Material routes'!$P$6:$P$1005,'Material routes'!$B$6:$B$1005,A201)))</x:f>
        <x:v>T2</x:v>
      </x:c>
      <x:c r="I201" s="4" t="n">
        <x:f>SUM(COUNTIFS('Material routes'!$B$6:$B$1005,A201,'Material routes'!$C$6:$C$1005,"Ingredient candidate"),COUNTIFS('Material routes'!$B$6:$B$1005,A201,'Material routes'!$C$6:$C$1005,"Consumed input"),COUNTIFS('Material routes'!$B$6:$B$1005,A201,'Material routes'!$C$6:$C$1005,"Contained input"),COUNTIFS('Material routes'!$B$6:$B$1005,A201,'Material routes'!$C$6:$C$1005,"Transform input"))</x:f>
        <x:v>1</x:v>
      </x:c>
      <x:c r="J201" s="4" t="n">
        <x:f>COUNTIFS('Material routes'!$B$6:$B$1005,A201,'Material routes'!$C$6:$C$1005,"Output")</x:f>
        <x:v>1</x:v>
      </x:c>
      <x:c r="K201" s="4" t="n">
        <x:f>COUNTIFS('Material routes'!$B$6:$B$1005,A201,'Material routes'!$C$6:$C$1005,"Tool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Workshop tools, energy/heat, fixtures, conditions and qualification remain unresolved</x:v>
      </x:c>
      <x:c r="H202" s="4" t="str">
        <x:f>IF(I202=0,"Unassigned",IF(SUMIFS('Material routes'!$Q$6:$Q$1005,'Material routes'!$B$6:$B$1005,A202)&gt;0,"Unassigned","T"&amp;_xlfn.MAXIFS('Material routes'!$P$6:$P$1005,'Material routes'!$B$6:$B$1005,A202)))</x:f>
        <x:v>T2</x:v>
      </x:c>
      <x:c r="I202" s="4" t="n">
        <x:f>SUM(COUNTIFS('Material routes'!$B$6:$B$1005,A202,'Material routes'!$C$6:$C$1005,"Ingredient candidate"),COUNTIFS('Material routes'!$B$6:$B$1005,A202,'Material routes'!$C$6:$C$1005,"Consumed input"),COUNTIFS('Material routes'!$B$6:$B$1005,A202,'Material routes'!$C$6:$C$1005,"Contained input"),COUNTIFS('Material routes'!$B$6:$B$1005,A202,'Material routes'!$C$6:$C$1005,"Transform input"))</x:f>
        <x:v>1</x:v>
      </x:c>
      <x:c r="J202" s="4" t="n">
        <x:f>COUNTIFS('Material routes'!$B$6:$B$1005,A202,'Material routes'!$C$6:$C$1005,"Output")</x:f>
        <x:v>1</x:v>
      </x:c>
      <x:c r="K202" s="4" t="n">
        <x:f>COUNTIFS('Material routes'!$B$6:$B$1005,A202,'Material routes'!$C$6:$C$1005,"Tool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Workshop tools, energy/heat, fixtures, conditions and qualification remain unresolved</x:v>
      </x:c>
      <x:c r="H203" s="4" t="str">
        <x:f>IF(I203=0,"Unassigned",IF(SUMIFS('Material routes'!$Q$6:$Q$1005,'Material routes'!$B$6:$B$1005,A203)&gt;0,"Unassigned","T"&amp;_xlfn.MAXIFS('Material routes'!$P$6:$P$1005,'Material routes'!$B$6:$B$1005,A203)))</x:f>
        <x:v>T2</x:v>
      </x:c>
      <x:c r="I203" s="4" t="n">
        <x:f>SUM(COUNTIFS('Material routes'!$B$6:$B$1005,A203,'Material routes'!$C$6:$C$1005,"Ingredient candidate"),COUNTIFS('Material routes'!$B$6:$B$1005,A203,'Material routes'!$C$6:$C$1005,"Consumed input"),COUNTIFS('Material routes'!$B$6:$B$1005,A203,'Material routes'!$C$6:$C$1005,"Contained input"),COUNTIFS('Material routes'!$B$6:$B$1005,A203,'Material routes'!$C$6:$C$1005,"Transform input"))</x:f>
        <x:v>1</x:v>
      </x:c>
      <x:c r="J203" s="4" t="n">
        <x:f>COUNTIFS('Material routes'!$B$6:$B$1005,A203,'Material routes'!$C$6:$C$1005,"Output")</x:f>
        <x:v>1</x:v>
      </x:c>
      <x:c r="K203" s="4" t="n">
        <x:f>COUNTIFS('Material routes'!$B$6:$B$1005,A203,'Material routes'!$C$6:$C$1005,"Tool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Workshop tools, energy/heat, fixtures, conditions and qualification remain unresolved</x:v>
      </x:c>
      <x:c r="H204" s="4" t="str">
        <x:f>IF(I204=0,"Unassigned",IF(SUMIFS('Material routes'!$Q$6:$Q$1005,'Material routes'!$B$6:$B$1005,A204)&gt;0,"Unassigned","T"&amp;_xlfn.MAXIFS('Material routes'!$P$6:$P$1005,'Material routes'!$B$6:$B$1005,A204)))</x:f>
        <x:v>T2</x:v>
      </x:c>
      <x:c r="I204" s="4" t="n">
        <x:f>SUM(COUNTIFS('Material routes'!$B$6:$B$1005,A204,'Material routes'!$C$6:$C$1005,"Ingredient candidate"),COUNTIFS('Material routes'!$B$6:$B$1005,A204,'Material routes'!$C$6:$C$1005,"Consumed input"),COUNTIFS('Material routes'!$B$6:$B$1005,A204,'Material routes'!$C$6:$C$1005,"Contained input"),COUNTIFS('Material routes'!$B$6:$B$1005,A204,'Material routes'!$C$6:$C$1005,"Transform input"))</x:f>
        <x:v>1</x:v>
      </x:c>
      <x:c r="J204" s="4" t="n">
        <x:f>COUNTIFS('Material routes'!$B$6:$B$1005,A204,'Material routes'!$C$6:$C$1005,"Output")</x:f>
        <x:v>1</x:v>
      </x:c>
      <x:c r="K204" s="4" t="n">
        <x:f>COUNTIFS('Material routes'!$B$6:$B$1005,A204,'Material routes'!$C$6:$C$1005,"Tool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Workshop tools, energy/heat, fixtures, conditions and qualification remain unresolved</x:v>
      </x:c>
      <x:c r="H205" s="4" t="str">
        <x:f>IF(I205=0,"Unassigned",IF(SUMIFS('Material routes'!$Q$6:$Q$1005,'Material routes'!$B$6:$B$1005,A205)&gt;0,"Unassigned","T"&amp;_xlfn.MAXIFS('Material routes'!$P$6:$P$1005,'Material routes'!$B$6:$B$1005,A205)))</x:f>
        <x:v>T2</x:v>
      </x:c>
      <x:c r="I205" s="4" t="n">
        <x:f>SUM(COUNTIFS('Material routes'!$B$6:$B$1005,A205,'Material routes'!$C$6:$C$1005,"Ingredient candidate"),COUNTIFS('Material routes'!$B$6:$B$1005,A205,'Material routes'!$C$6:$C$1005,"Consumed input"),COUNTIFS('Material routes'!$B$6:$B$1005,A205,'Material routes'!$C$6:$C$1005,"Contained input"),COUNTIFS('Material routes'!$B$6:$B$1005,A205,'Material routes'!$C$6:$C$1005,"Transform input"))</x:f>
        <x:v>1</x:v>
      </x:c>
      <x:c r="J205" s="4" t="n">
        <x:f>COUNTIFS('Material routes'!$B$6:$B$1005,A205,'Material routes'!$C$6:$C$1005,"Output")</x:f>
        <x:v>1</x:v>
      </x:c>
      <x:c r="K205" s="4" t="n">
        <x:f>COUNTIFS('Material routes'!$B$6:$B$1005,A205,'Material routes'!$C$6:$C$1005,"Tool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Workshop tools, energy/heat, fixtures, conditions and qualification remain unresolved</x:v>
      </x:c>
      <x:c r="H206" s="4" t="str">
        <x:f>IF(I206=0,"Unassigned",IF(SUMIFS('Material routes'!$Q$6:$Q$1005,'Material routes'!$B$6:$B$1005,A206)&gt;0,"Unassigned","T"&amp;_xlfn.MAXIFS('Material routes'!$P$6:$P$1005,'Material routes'!$B$6:$B$1005,A206)))</x:f>
        <x:v>T2</x:v>
      </x:c>
      <x:c r="I206" s="4" t="n">
        <x:f>SUM(COUNTIFS('Material routes'!$B$6:$B$1005,A206,'Material routes'!$C$6:$C$1005,"Ingredient candidate"),COUNTIFS('Material routes'!$B$6:$B$1005,A206,'Material routes'!$C$6:$C$1005,"Consumed input"),COUNTIFS('Material routes'!$B$6:$B$1005,A206,'Material routes'!$C$6:$C$1005,"Contained input"),COUNTIFS('Material routes'!$B$6:$B$1005,A206,'Material routes'!$C$6:$C$1005,"Transform input"))</x:f>
        <x:v>1</x:v>
      </x:c>
      <x:c r="J206" s="4" t="n">
        <x:f>COUNTIFS('Material routes'!$B$6:$B$1005,A206,'Material routes'!$C$6:$C$1005,"Output")</x:f>
        <x:v>1</x:v>
      </x:c>
      <x:c r="K206" s="4" t="n">
        <x:f>COUNTIFS('Material routes'!$B$6:$B$1005,A206,'Material routes'!$C$6:$C$1005,"Tool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Workshop tools, energy/heat, fixtures, conditions and qualification remain unresolved</x:v>
      </x:c>
      <x:c r="H207" s="4" t="str">
        <x:f>IF(I207=0,"Unassigned",IF(SUMIFS('Material routes'!$Q$6:$Q$1005,'Material routes'!$B$6:$B$1005,A207)&gt;0,"Unassigned","T"&amp;_xlfn.MAXIFS('Material routes'!$P$6:$P$1005,'Material routes'!$B$6:$B$1005,A207)))</x:f>
        <x:v>T2</x:v>
      </x:c>
      <x:c r="I207" s="4" t="n">
        <x:f>SUM(COUNTIFS('Material routes'!$B$6:$B$1005,A207,'Material routes'!$C$6:$C$1005,"Ingredient candidate"),COUNTIFS('Material routes'!$B$6:$B$1005,A207,'Material routes'!$C$6:$C$1005,"Consumed input"),COUNTIFS('Material routes'!$B$6:$B$1005,A207,'Material routes'!$C$6:$C$1005,"Contained input"),COUNTIFS('Material routes'!$B$6:$B$1005,A207,'Material routes'!$C$6:$C$1005,"Transform input"))</x:f>
        <x:v>1</x:v>
      </x:c>
      <x:c r="J207" s="4" t="n">
        <x:f>COUNTIFS('Material routes'!$B$6:$B$1005,A207,'Material routes'!$C$6:$C$1005,"Output")</x:f>
        <x:v>1</x:v>
      </x:c>
      <x:c r="K207" s="4" t="n">
        <x:f>COUNTIFS('Material routes'!$B$6:$B$1005,A207,'Material routes'!$C$6:$C$1005,"Tool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Workshop tools, energy/heat, fixtures, conditions and qualification remain unresolved</x:v>
      </x:c>
      <x:c r="H208" s="4" t="str">
        <x:f>IF(I208=0,"Unassigned",IF(SUMIFS('Material routes'!$Q$6:$Q$1005,'Material routes'!$B$6:$B$1005,A208)&gt;0,"Unassigned","T"&amp;_xlfn.MAXIFS('Material routes'!$P$6:$P$1005,'Material routes'!$B$6:$B$1005,A208)))</x:f>
        <x:v>T2</x:v>
      </x:c>
      <x:c r="I208" s="4" t="n">
        <x:f>SUM(COUNTIFS('Material routes'!$B$6:$B$1005,A208,'Material routes'!$C$6:$C$1005,"Ingredient candidate"),COUNTIFS('Material routes'!$B$6:$B$1005,A208,'Material routes'!$C$6:$C$1005,"Consumed input"),COUNTIFS('Material routes'!$B$6:$B$1005,A208,'Material routes'!$C$6:$C$1005,"Contained input"),COUNTIFS('Material routes'!$B$6:$B$1005,A208,'Material routes'!$C$6:$C$1005,"Transform input"))</x:f>
        <x:v>1</x:v>
      </x:c>
      <x:c r="J208" s="4" t="n">
        <x:f>COUNTIFS('Material routes'!$B$6:$B$1005,A208,'Material routes'!$C$6:$C$1005,"Output")</x:f>
        <x:v>1</x:v>
      </x:c>
      <x:c r="K208" s="4" t="n">
        <x:f>COUNTIFS('Material routes'!$B$6:$B$1005,A208,'Material routes'!$C$6:$C$1005,"Tool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Workshop tools, energy/heat, fixtures, conditions and qualification remain unresolved</x:v>
      </x:c>
      <x:c r="H209" s="4" t="str">
        <x:f>IF(I209=0,"Unassigned",IF(SUMIFS('Material routes'!$Q$6:$Q$1005,'Material routes'!$B$6:$B$1005,A209)&gt;0,"Unassigned","T"&amp;_xlfn.MAXIFS('Material routes'!$P$6:$P$1005,'Material routes'!$B$6:$B$1005,A209)))</x:f>
        <x:v>T2</x:v>
      </x:c>
      <x:c r="I209" s="4" t="n">
        <x:f>SUM(COUNTIFS('Material routes'!$B$6:$B$1005,A209,'Material routes'!$C$6:$C$1005,"Ingredient candidate"),COUNTIFS('Material routes'!$B$6:$B$1005,A209,'Material routes'!$C$6:$C$1005,"Consumed input"),COUNTIFS('Material routes'!$B$6:$B$1005,A209,'Material routes'!$C$6:$C$1005,"Contained input"),COUNTIFS('Material routes'!$B$6:$B$1005,A209,'Material routes'!$C$6:$C$1005,"Transform input"))</x:f>
        <x:v>2</x:v>
      </x:c>
      <x:c r="J209" s="4" t="n">
        <x:f>COUNTIFS('Material routes'!$B$6:$B$1005,A209,'Material routes'!$C$6:$C$1005,"Output")</x:f>
        <x:v>1</x:v>
      </x:c>
      <x:c r="K209" s="4" t="n">
        <x:f>COUNTIFS('Material routes'!$B$6:$B$1005,A209,'Material routes'!$C$6:$C$1005,"Tool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Workshop tools, energy/heat, fixtures, conditions and qualification remain unresolved</x:v>
      </x:c>
      <x:c r="H210" s="4" t="str">
        <x:f>IF(I210=0,"Unassigned",IF(SUMIFS('Material routes'!$Q$6:$Q$1005,'Material routes'!$B$6:$B$1005,A210)&gt;0,"Unassigned","T"&amp;_xlfn.MAXIFS('Material routes'!$P$6:$P$1005,'Material routes'!$B$6:$B$1005,A210)))</x:f>
        <x:v>T2</x:v>
      </x:c>
      <x:c r="I210" s="4" t="n">
        <x:f>SUM(COUNTIFS('Material routes'!$B$6:$B$1005,A210,'Material routes'!$C$6:$C$1005,"Ingredient candidate"),COUNTIFS('Material routes'!$B$6:$B$1005,A210,'Material routes'!$C$6:$C$1005,"Consumed input"),COUNTIFS('Material routes'!$B$6:$B$1005,A210,'Material routes'!$C$6:$C$1005,"Contained input"),COUNTIFS('Material routes'!$B$6:$B$1005,A210,'Material routes'!$C$6:$C$1005,"Transform input"))</x:f>
        <x:v>2</x:v>
      </x:c>
      <x:c r="J210" s="4" t="n">
        <x:f>COUNTIFS('Material routes'!$B$6:$B$1005,A210,'Material routes'!$C$6:$C$1005,"Output")</x:f>
        <x:v>1</x:v>
      </x:c>
      <x:c r="K210" s="4" t="n">
        <x:f>COUNTIFS('Material routes'!$B$6:$B$1005,A210,'Material routes'!$C$6:$C$1005,"Tool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Workshop tools, energy/heat, fixtures, conditions and qualification remain unresolved</x:v>
      </x:c>
      <x:c r="H211" s="4" t="str">
        <x:f>IF(I211=0,"Unassigned",IF(SUMIFS('Material routes'!$Q$6:$Q$1005,'Material routes'!$B$6:$B$1005,A211)&gt;0,"Unassigned","T"&amp;_xlfn.MAXIFS('Material routes'!$P$6:$P$1005,'Material routes'!$B$6:$B$1005,A211)))</x:f>
        <x:v>T3</x:v>
      </x:c>
      <x:c r="I211" s="4" t="n">
        <x:f>SUM(COUNTIFS('Material routes'!$B$6:$B$1005,A211,'Material routes'!$C$6:$C$1005,"Ingredient candidate"),COUNTIFS('Material routes'!$B$6:$B$1005,A211,'Material routes'!$C$6:$C$1005,"Consumed input"),COUNTIFS('Material routes'!$B$6:$B$1005,A211,'Material routes'!$C$6:$C$1005,"Contained input"),COUNTIFS('Material routes'!$B$6:$B$1005,A211,'Material routes'!$C$6:$C$1005,"Transform input"))</x:f>
        <x:v>3</x:v>
      </x:c>
      <x:c r="J211" s="4" t="n">
        <x:f>COUNTIFS('Material routes'!$B$6:$B$1005,A211,'Material routes'!$C$6:$C$1005,"Output")</x:f>
        <x:v>1</x:v>
      </x:c>
      <x:c r="K211" s="4" t="n">
        <x:f>COUNTIFS('Material routes'!$B$6:$B$1005,A211,'Material routes'!$C$6:$C$1005,"Tool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Workshop tools, energy/heat, fixtures, conditions and qualification remain unresolved</x:v>
      </x:c>
      <x:c r="H212" s="4" t="str">
        <x:f>IF(I212=0,"Unassigned",IF(SUMIFS('Material routes'!$Q$6:$Q$1005,'Material routes'!$B$6:$B$1005,A212)&gt;0,"Unassigned","T"&amp;_xlfn.MAXIFS('Material routes'!$P$6:$P$1005,'Material routes'!$B$6:$B$1005,A212)))</x:f>
        <x:v>T2</x:v>
      </x:c>
      <x:c r="I212" s="4" t="n">
        <x:f>SUM(COUNTIFS('Material routes'!$B$6:$B$1005,A212,'Material routes'!$C$6:$C$1005,"Ingredient candidate"),COUNTIFS('Material routes'!$B$6:$B$1005,A212,'Material routes'!$C$6:$C$1005,"Consumed input"),COUNTIFS('Material routes'!$B$6:$B$1005,A212,'Material routes'!$C$6:$C$1005,"Contained input"),COUNTIFS('Material routes'!$B$6:$B$1005,A212,'Material routes'!$C$6:$C$1005,"Transform input"))</x:f>
        <x:v>2</x:v>
      </x:c>
      <x:c r="J212" s="4" t="n">
        <x:f>COUNTIFS('Material routes'!$B$6:$B$1005,A212,'Material routes'!$C$6:$C$1005,"Output")</x:f>
        <x:v>1</x:v>
      </x:c>
      <x:c r="K212" s="4" t="n">
        <x:f>COUNTIFS('Material routes'!$B$6:$B$1005,A212,'Material routes'!$C$6:$C$1005,"Tool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Workshop tools, energy/heat, fixtures, conditions and qualification remain unresolved</x:v>
      </x:c>
      <x:c r="H213" s="4" t="str">
        <x:f>IF(I213=0,"Unassigned",IF(SUMIFS('Material routes'!$Q$6:$Q$1005,'Material routes'!$B$6:$B$1005,A213)&gt;0,"Unassigned","T"&amp;_xlfn.MAXIFS('Material routes'!$P$6:$P$1005,'Material routes'!$B$6:$B$1005,A213)))</x:f>
        <x:v>T2</x:v>
      </x:c>
      <x:c r="I213" s="4" t="n">
        <x:f>SUM(COUNTIFS('Material routes'!$B$6:$B$1005,A213,'Material routes'!$C$6:$C$1005,"Ingredient candidate"),COUNTIFS('Material routes'!$B$6:$B$1005,A213,'Material routes'!$C$6:$C$1005,"Consumed input"),COUNTIFS('Material routes'!$B$6:$B$1005,A213,'Material routes'!$C$6:$C$1005,"Contained input"),COUNTIFS('Material routes'!$B$6:$B$1005,A213,'Material routes'!$C$6:$C$1005,"Transform input"))</x:f>
        <x:v>2</x:v>
      </x:c>
      <x:c r="J213" s="4" t="n">
        <x:f>COUNTIFS('Material routes'!$B$6:$B$1005,A213,'Material routes'!$C$6:$C$1005,"Output")</x:f>
        <x:v>1</x:v>
      </x:c>
      <x:c r="K213" s="4" t="n">
        <x:f>COUNTIFS('Material routes'!$B$6:$B$1005,A213,'Material routes'!$C$6:$C$1005,"Tool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Workshop tools, energy/heat, fixtures, conditions and qualification remain unresolved</x:v>
      </x:c>
      <x:c r="H214" s="4" t="str">
        <x:f>IF(I214=0,"Unassigned",IF(SUMIFS('Material routes'!$Q$6:$Q$1005,'Material routes'!$B$6:$B$1005,A214)&gt;0,"Unassigned","T"&amp;_xlfn.MAXIFS('Material routes'!$P$6:$P$1005,'Material routes'!$B$6:$B$1005,A214)))</x:f>
        <x:v>T2</x:v>
      </x:c>
      <x:c r="I214" s="4" t="n">
        <x:f>SUM(COUNTIFS('Material routes'!$B$6:$B$1005,A214,'Material routes'!$C$6:$C$1005,"Ingredient candidate"),COUNTIFS('Material routes'!$B$6:$B$1005,A214,'Material routes'!$C$6:$C$1005,"Consumed input"),COUNTIFS('Material routes'!$B$6:$B$1005,A214,'Material routes'!$C$6:$C$1005,"Contained input"),COUNTIFS('Material routes'!$B$6:$B$1005,A214,'Material routes'!$C$6:$C$1005,"Transform input"))</x:f>
        <x:v>2</x:v>
      </x:c>
      <x:c r="J214" s="4" t="n">
        <x:f>COUNTIFS('Material routes'!$B$6:$B$1005,A214,'Material routes'!$C$6:$C$1005,"Output")</x:f>
        <x:v>1</x:v>
      </x:c>
      <x:c r="K214" s="4" t="n">
        <x:f>COUNTIFS('Material routes'!$B$6:$B$1005,A214,'Material routes'!$C$6:$C$1005,"Tool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Workshop tools, energy/heat, fixtures, conditions and qualification remain unresolved</x:v>
      </x:c>
      <x:c r="H215" s="4" t="str">
        <x:f>IF(I215=0,"Unassigned",IF(SUMIFS('Material routes'!$Q$6:$Q$1005,'Material routes'!$B$6:$B$1005,A215)&gt;0,"Unassigned","T"&amp;_xlfn.MAXIFS('Material routes'!$P$6:$P$1005,'Material routes'!$B$6:$B$1005,A215)))</x:f>
        <x:v>T3</x:v>
      </x:c>
      <x:c r="I215" s="4" t="n">
        <x:f>SUM(COUNTIFS('Material routes'!$B$6:$B$1005,A215,'Material routes'!$C$6:$C$1005,"Ingredient candidate"),COUNTIFS('Material routes'!$B$6:$B$1005,A215,'Material routes'!$C$6:$C$1005,"Consumed input"),COUNTIFS('Material routes'!$B$6:$B$1005,A215,'Material routes'!$C$6:$C$1005,"Contained input"),COUNTIFS('Material routes'!$B$6:$B$1005,A215,'Material routes'!$C$6:$C$1005,"Transform input"))</x:f>
        <x:v>3</x:v>
      </x:c>
      <x:c r="J215" s="4" t="n">
        <x:f>COUNTIFS('Material routes'!$B$6:$B$1005,A215,'Material routes'!$C$6:$C$1005,"Output")</x:f>
        <x:v>1</x:v>
      </x:c>
      <x:c r="K215" s="4" t="n">
        <x:f>COUNTIFS('Material routes'!$B$6:$B$1005,A215,'Material routes'!$C$6:$C$1005,"Tool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Workshop tools, energy/heat, fixtures, conditions and qualification remain unresolved</x:v>
      </x:c>
      <x:c r="H216" s="4" t="str">
        <x:f>IF(I216=0,"Unassigned",IF(SUMIFS('Material routes'!$Q$6:$Q$1005,'Material routes'!$B$6:$B$1005,A216)&gt;0,"Unassigned","T"&amp;_xlfn.MAXIFS('Material routes'!$P$6:$P$1005,'Material routes'!$B$6:$B$1005,A216)))</x:f>
        <x:v>T3</x:v>
      </x:c>
      <x:c r="I216" s="4" t="n">
        <x:f>SUM(COUNTIFS('Material routes'!$B$6:$B$1005,A216,'Material routes'!$C$6:$C$1005,"Ingredient candidate"),COUNTIFS('Material routes'!$B$6:$B$1005,A216,'Material routes'!$C$6:$C$1005,"Consumed input"),COUNTIFS('Material routes'!$B$6:$B$1005,A216,'Material routes'!$C$6:$C$1005,"Contained input"),COUNTIFS('Material routes'!$B$6:$B$1005,A216,'Material routes'!$C$6:$C$1005,"Transform input"))</x:f>
        <x:v>3</x:v>
      </x:c>
      <x:c r="J216" s="4" t="n">
        <x:f>COUNTIFS('Material routes'!$B$6:$B$1005,A216,'Material routes'!$C$6:$C$1005,"Output")</x:f>
        <x:v>1</x:v>
      </x:c>
      <x:c r="K216" s="4" t="n">
        <x:f>COUNTIFS('Material routes'!$B$6:$B$1005,A216,'Material routes'!$C$6:$C$1005,"Tool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Workshop tools, energy/heat, fixtures, conditions and qualification remain unresolved</x:v>
      </x:c>
      <x:c r="H217" s="4" t="str">
        <x:f>IF(I217=0,"Unassigned",IF(SUMIFS('Material routes'!$Q$6:$Q$1005,'Material routes'!$B$6:$B$1005,A217)&gt;0,"Unassigned","T"&amp;_xlfn.MAXIFS('Material routes'!$P$6:$P$1005,'Material routes'!$B$6:$B$1005,A217)))</x:f>
        <x:v>T2</x:v>
      </x:c>
      <x:c r="I217" s="4" t="n">
        <x:f>SUM(COUNTIFS('Material routes'!$B$6:$B$1005,A217,'Material routes'!$C$6:$C$1005,"Ingredient candidate"),COUNTIFS('Material routes'!$B$6:$B$1005,A217,'Material routes'!$C$6:$C$1005,"Consumed input"),COUNTIFS('Material routes'!$B$6:$B$1005,A217,'Material routes'!$C$6:$C$1005,"Contained input"),COUNTIFS('Material routes'!$B$6:$B$1005,A217,'Material routes'!$C$6:$C$1005,"Transform input"))</x:f>
        <x:v>3</x:v>
      </x:c>
      <x:c r="J217" s="4" t="n">
        <x:f>COUNTIFS('Material routes'!$B$6:$B$1005,A217,'Material routes'!$C$6:$C$1005,"Output")</x:f>
        <x:v>1</x:v>
      </x:c>
      <x:c r="K217" s="4" t="n">
        <x:f>COUNTIFS('Material routes'!$B$6:$B$1005,A217,'Material routes'!$C$6:$C$1005,"Tool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Workshop tools, energy/heat, fixtures, conditions and qualification remain unresolved</x:v>
      </x:c>
      <x:c r="H218" s="4" t="str">
        <x:f>IF(I218=0,"Unassigned",IF(SUMIFS('Material routes'!$Q$6:$Q$1005,'Material routes'!$B$6:$B$1005,A218)&gt;0,"Unassigned","T"&amp;_xlfn.MAXIFS('Material routes'!$P$6:$P$1005,'Material routes'!$B$6:$B$1005,A218)))</x:f>
        <x:v>T2</x:v>
      </x:c>
      <x:c r="I218" s="4" t="n">
        <x:f>SUM(COUNTIFS('Material routes'!$B$6:$B$1005,A218,'Material routes'!$C$6:$C$1005,"Ingredient candidate"),COUNTIFS('Material routes'!$B$6:$B$1005,A218,'Material routes'!$C$6:$C$1005,"Consumed input"),COUNTIFS('Material routes'!$B$6:$B$1005,A218,'Material routes'!$C$6:$C$1005,"Contained input"),COUNTIFS('Material routes'!$B$6:$B$1005,A218,'Material routes'!$C$6:$C$1005,"Transform input"))</x:f>
        <x:v>2</x:v>
      </x:c>
      <x:c r="J218" s="4" t="n">
        <x:f>COUNTIFS('Material routes'!$B$6:$B$1005,A218,'Material routes'!$C$6:$C$1005,"Output")</x:f>
        <x:v>1</x:v>
      </x:c>
      <x:c r="K218" s="4" t="n">
        <x:f>COUNTIFS('Material routes'!$B$6:$B$1005,A218,'Material routes'!$C$6:$C$1005,"Tool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Workshop tools, energy/heat, fixtures, conditions and qualification remain unresolved</x:v>
      </x:c>
      <x:c r="H219" s="4" t="str">
        <x:f>IF(I219=0,"Unassigned",IF(SUMIFS('Material routes'!$Q$6:$Q$1005,'Material routes'!$B$6:$B$1005,A219)&gt;0,"Unassigned","T"&amp;_xlfn.MAXIFS('Material routes'!$P$6:$P$1005,'Material routes'!$B$6:$B$1005,A219)))</x:f>
        <x:v>T2</x:v>
      </x:c>
      <x:c r="I219" s="4" t="n">
        <x:f>SUM(COUNTIFS('Material routes'!$B$6:$B$1005,A219,'Material routes'!$C$6:$C$1005,"Ingredient candidate"),COUNTIFS('Material routes'!$B$6:$B$1005,A219,'Material routes'!$C$6:$C$1005,"Consumed input"),COUNTIFS('Material routes'!$B$6:$B$1005,A219,'Material routes'!$C$6:$C$1005,"Contained input"),COUNTIFS('Material routes'!$B$6:$B$1005,A219,'Material routes'!$C$6:$C$1005,"Transform input"))</x:f>
        <x:v>2</x:v>
      </x:c>
      <x:c r="J219" s="4" t="n">
        <x:f>COUNTIFS('Material routes'!$B$6:$B$1005,A219,'Material routes'!$C$6:$C$1005,"Output")</x:f>
        <x:v>1</x:v>
      </x:c>
      <x:c r="K219" s="4" t="n">
        <x:f>COUNTIFS('Material routes'!$B$6:$B$1005,A219,'Material routes'!$C$6:$C$1005,"Tool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Workshop tools, energy/heat, fixtures, conditions and qualification remain unresolved</x:v>
      </x:c>
      <x:c r="H220" s="4" t="str">
        <x:f>IF(I220=0,"Unassigned",IF(SUMIFS('Material routes'!$Q$6:$Q$1005,'Material routes'!$B$6:$B$1005,A220)&gt;0,"Unassigned","T"&amp;_xlfn.MAXIFS('Material routes'!$P$6:$P$1005,'Material routes'!$B$6:$B$1005,A220)))</x:f>
        <x:v>T2</x:v>
      </x:c>
      <x:c r="I220" s="4" t="n">
        <x:f>SUM(COUNTIFS('Material routes'!$B$6:$B$1005,A220,'Material routes'!$C$6:$C$1005,"Ingredient candidate"),COUNTIFS('Material routes'!$B$6:$B$1005,A220,'Material routes'!$C$6:$C$1005,"Consumed input"),COUNTIFS('Material routes'!$B$6:$B$1005,A220,'Material routes'!$C$6:$C$1005,"Contained input"),COUNTIFS('Material routes'!$B$6:$B$1005,A220,'Material routes'!$C$6:$C$1005,"Transform input"))</x:f>
        <x:v>2</x:v>
      </x:c>
      <x:c r="J220" s="4" t="n">
        <x:f>COUNTIFS('Material routes'!$B$6:$B$1005,A220,'Material routes'!$C$6:$C$1005,"Output")</x:f>
        <x:v>1</x:v>
      </x:c>
      <x:c r="K220" s="4" t="n">
        <x:f>COUNTIFS('Material routes'!$B$6:$B$1005,A220,'Material routes'!$C$6:$C$1005,"Tool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Workshop tools, energy/heat, fixtures, conditions and qualification remain unresolved</x:v>
      </x:c>
      <x:c r="H221" s="4" t="str">
        <x:f>IF(I221=0,"Unassigned",IF(SUMIFS('Material routes'!$Q$6:$Q$1005,'Material routes'!$B$6:$B$1005,A221)&gt;0,"Unassigned","T"&amp;_xlfn.MAXIFS('Material routes'!$P$6:$P$1005,'Material routes'!$B$6:$B$1005,A221)))</x:f>
        <x:v>T3</x:v>
      </x:c>
      <x:c r="I221" s="4" t="n">
        <x:f>SUM(COUNTIFS('Material routes'!$B$6:$B$1005,A221,'Material routes'!$C$6:$C$1005,"Ingredient candidate"),COUNTIFS('Material routes'!$B$6:$B$1005,A221,'Material routes'!$C$6:$C$1005,"Consumed input"),COUNTIFS('Material routes'!$B$6:$B$1005,A221,'Material routes'!$C$6:$C$1005,"Contained input"),COUNTIFS('Material routes'!$B$6:$B$1005,A221,'Material routes'!$C$6:$C$1005,"Transform input"))</x:f>
        <x:v>3</x:v>
      </x:c>
      <x:c r="J221" s="4" t="n">
        <x:f>COUNTIFS('Material routes'!$B$6:$B$1005,A221,'Material routes'!$C$6:$C$1005,"Output")</x:f>
        <x:v>1</x:v>
      </x:c>
      <x:c r="K221" s="4" t="n">
        <x:f>COUNTIFS('Material routes'!$B$6:$B$1005,A221,'Material routes'!$C$6:$C$1005,"Tool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Workshop tools, energy/heat, fixtures, conditions and qualification remain unresolved</x:v>
      </x:c>
      <x:c r="H222" s="4" t="str">
        <x:f>IF(I222=0,"Unassigned",IF(SUMIFS('Material routes'!$Q$6:$Q$1005,'Material routes'!$B$6:$B$1005,A222)&gt;0,"Unassigned","T"&amp;_xlfn.MAXIFS('Material routes'!$P$6:$P$1005,'Material routes'!$B$6:$B$1005,A222)))</x:f>
        <x:v>T2</x:v>
      </x:c>
      <x:c r="I222" s="4" t="n">
        <x:f>SUM(COUNTIFS('Material routes'!$B$6:$B$1005,A222,'Material routes'!$C$6:$C$1005,"Ingredient candidate"),COUNTIFS('Material routes'!$B$6:$B$1005,A222,'Material routes'!$C$6:$C$1005,"Consumed input"),COUNTIFS('Material routes'!$B$6:$B$1005,A222,'Material routes'!$C$6:$C$1005,"Contained input"),COUNTIFS('Material routes'!$B$6:$B$1005,A222,'Material routes'!$C$6:$C$1005,"Transform input"))</x:f>
        <x:v>2</x:v>
      </x:c>
      <x:c r="J222" s="4" t="n">
        <x:f>COUNTIFS('Material routes'!$B$6:$B$1005,A222,'Material routes'!$C$6:$C$1005,"Output")</x:f>
        <x:v>1</x:v>
      </x:c>
      <x:c r="K222" s="4" t="n">
        <x:f>COUNTIFS('Material routes'!$B$6:$B$1005,A222,'Material routes'!$C$6:$C$1005,"Tool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Workshop tools, energy/heat, fixtures, conditions and qualification remain unresolved</x:v>
      </x:c>
      <x:c r="H223" s="4" t="str">
        <x:f>IF(I223=0,"Unassigned",IF(SUMIFS('Material routes'!$Q$6:$Q$1005,'Material routes'!$B$6:$B$1005,A223)&gt;0,"Unassigned","T"&amp;_xlfn.MAXIFS('Material routes'!$P$6:$P$1005,'Material routes'!$B$6:$B$1005,A223)))</x:f>
        <x:v>T3</x:v>
      </x:c>
      <x:c r="I223" s="4" t="n">
        <x:f>SUM(COUNTIFS('Material routes'!$B$6:$B$1005,A223,'Material routes'!$C$6:$C$1005,"Ingredient candidate"),COUNTIFS('Material routes'!$B$6:$B$1005,A223,'Material routes'!$C$6:$C$1005,"Consumed input"),COUNTIFS('Material routes'!$B$6:$B$1005,A223,'Material routes'!$C$6:$C$1005,"Contained input"),COUNTIFS('Material routes'!$B$6:$B$1005,A223,'Material routes'!$C$6:$C$1005,"Transform input"))</x:f>
        <x:v>4</x:v>
      </x:c>
      <x:c r="J223" s="4" t="n">
        <x:f>COUNTIFS('Material routes'!$B$6:$B$1005,A223,'Material routes'!$C$6:$C$1005,"Output")</x:f>
        <x:v>1</x:v>
      </x:c>
      <x:c r="K223" s="4" t="n">
        <x:f>COUNTIFS('Material routes'!$B$6:$B$1005,A223,'Material routes'!$C$6:$C$1005,"Tool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Workshop tools, energy/heat, fixtures, conditions and qualification remain unresolved</x:v>
      </x:c>
      <x:c r="H224" s="4" t="str">
        <x:f>IF(I224=0,"Unassigned",IF(SUMIFS('Material routes'!$Q$6:$Q$1005,'Material routes'!$B$6:$B$1005,A224)&gt;0,"Unassigned","T"&amp;_xlfn.MAXIFS('Material routes'!$P$6:$P$1005,'Material routes'!$B$6:$B$1005,A224)))</x:f>
        <x:v>T2</x:v>
      </x:c>
      <x:c r="I224" s="4" t="n">
        <x:f>SUM(COUNTIFS('Material routes'!$B$6:$B$1005,A224,'Material routes'!$C$6:$C$1005,"Ingredient candidate"),COUNTIFS('Material routes'!$B$6:$B$1005,A224,'Material routes'!$C$6:$C$1005,"Consumed input"),COUNTIFS('Material routes'!$B$6:$B$1005,A224,'Material routes'!$C$6:$C$1005,"Contained input"),COUNTIFS('Material routes'!$B$6:$B$1005,A224,'Material routes'!$C$6:$C$1005,"Transform input"))</x:f>
        <x:v>2</x:v>
      </x:c>
      <x:c r="J224" s="4" t="n">
        <x:f>COUNTIFS('Material routes'!$B$6:$B$1005,A224,'Material routes'!$C$6:$C$1005,"Output")</x:f>
        <x:v>1</x:v>
      </x:c>
      <x:c r="K224" s="4" t="n">
        <x:f>COUNTIFS('Material routes'!$B$6:$B$1005,A224,'Material routes'!$C$6:$C$1005,"Tool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Workshop tools, energy/heat, fixtures, conditions and qualification remain unresolved</x:v>
      </x:c>
      <x:c r="H225" s="4" t="str">
        <x:f>IF(I225=0,"Unassigned",IF(SUMIFS('Material routes'!$Q$6:$Q$1005,'Material routes'!$B$6:$B$1005,A225)&gt;0,"Unassigned","T"&amp;_xlfn.MAXIFS('Material routes'!$P$6:$P$1005,'Material routes'!$B$6:$B$1005,A225)))</x:f>
        <x:v>T3</x:v>
      </x:c>
      <x:c r="I225" s="4" t="n">
        <x:f>SUM(COUNTIFS('Material routes'!$B$6:$B$1005,A225,'Material routes'!$C$6:$C$1005,"Ingredient candidate"),COUNTIFS('Material routes'!$B$6:$B$1005,A225,'Material routes'!$C$6:$C$1005,"Consumed input"),COUNTIFS('Material routes'!$B$6:$B$1005,A225,'Material routes'!$C$6:$C$1005,"Contained input"),COUNTIFS('Material routes'!$B$6:$B$1005,A225,'Material routes'!$C$6:$C$1005,"Transform input"))</x:f>
        <x:v>3</x:v>
      </x:c>
      <x:c r="J225" s="4" t="n">
        <x:f>COUNTIFS('Material routes'!$B$6:$B$1005,A225,'Material routes'!$C$6:$C$1005,"Output")</x:f>
        <x:v>1</x:v>
      </x:c>
      <x:c r="K225" s="4" t="n">
        <x:f>COUNTIFS('Material routes'!$B$6:$B$1005,A225,'Material routes'!$C$6:$C$1005,"Tool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Workshop tools, energy/heat, fixtures, conditions and qualification remain unresolved</x:v>
      </x:c>
      <x:c r="H226" s="4" t="str">
        <x:f>IF(I226=0,"Unassigned",IF(SUMIFS('Material routes'!$Q$6:$Q$1005,'Material routes'!$B$6:$B$1005,A226)&gt;0,"Unassigned","T"&amp;_xlfn.MAXIFS('Material routes'!$P$6:$P$1005,'Material routes'!$B$6:$B$1005,A226)))</x:f>
        <x:v>T3</x:v>
      </x:c>
      <x:c r="I226" s="4" t="n">
        <x:f>SUM(COUNTIFS('Material routes'!$B$6:$B$1005,A226,'Material routes'!$C$6:$C$1005,"Ingredient candidate"),COUNTIFS('Material routes'!$B$6:$B$1005,A226,'Material routes'!$C$6:$C$1005,"Consumed input"),COUNTIFS('Material routes'!$B$6:$B$1005,A226,'Material routes'!$C$6:$C$1005,"Contained input"),COUNTIFS('Material routes'!$B$6:$B$1005,A226,'Material routes'!$C$6:$C$1005,"Transform input"))</x:f>
        <x:v>3</x:v>
      </x:c>
      <x:c r="J226" s="4" t="n">
        <x:f>COUNTIFS('Material routes'!$B$6:$B$1005,A226,'Material routes'!$C$6:$C$1005,"Output")</x:f>
        <x:v>1</x:v>
      </x:c>
      <x:c r="K226" s="4" t="n">
        <x:f>COUNTIFS('Material routes'!$B$6:$B$1005,A226,'Material routes'!$C$6:$C$1005,"Tool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Workshop tools, energy/heat, fixtures, conditions and qualification remain unresolved</x:v>
      </x:c>
      <x:c r="H227" s="4" t="str">
        <x:f>IF(I227=0,"Unassigned",IF(SUMIFS('Material routes'!$Q$6:$Q$1005,'Material routes'!$B$6:$B$1005,A227)&gt;0,"Unassigned","T"&amp;_xlfn.MAXIFS('Material routes'!$P$6:$P$1005,'Material routes'!$B$6:$B$1005,A227)))</x:f>
        <x:v>T0</x:v>
      </x:c>
      <x:c r="I227" s="4" t="n">
        <x:f>SUM(COUNTIFS('Material routes'!$B$6:$B$1005,A227,'Material routes'!$C$6:$C$1005,"Ingredient candidate"),COUNTIFS('Material routes'!$B$6:$B$1005,A227,'Material routes'!$C$6:$C$1005,"Consumed input"),COUNTIFS('Material routes'!$B$6:$B$1005,A227,'Material routes'!$C$6:$C$1005,"Contained input"),COUNTIFS('Material routes'!$B$6:$B$1005,A227,'Material routes'!$C$6:$C$1005,"Transform input"))</x:f>
        <x:v>1</x:v>
      </x:c>
      <x:c r="J227" s="4" t="n">
        <x:f>COUNTIFS('Material routes'!$B$6:$B$1005,A227,'Material routes'!$C$6:$C$1005,"Output")</x:f>
        <x:v>1</x:v>
      </x:c>
      <x:c r="K227" s="4" t="n">
        <x:f>COUNTIFS('Material routes'!$B$6:$B$1005,A227,'Material routes'!$C$6:$C$1005,"Tool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Workshop tools, energy/heat, fixtures, conditions and qualification remain unresolved</x:v>
      </x:c>
      <x:c r="H228" s="4" t="str">
        <x:f>IF(I228=0,"Unassigned",IF(SUMIFS('Material routes'!$Q$6:$Q$1005,'Material routes'!$B$6:$B$1005,A228)&gt;0,"Unassigned","T"&amp;_xlfn.MAXIFS('Material routes'!$P$6:$P$1005,'Material routes'!$B$6:$B$1005,A228)))</x:f>
        <x:v>T0</x:v>
      </x:c>
      <x:c r="I228" s="4" t="n">
        <x:f>SUM(COUNTIFS('Material routes'!$B$6:$B$1005,A228,'Material routes'!$C$6:$C$1005,"Ingredient candidate"),COUNTIFS('Material routes'!$B$6:$B$1005,A228,'Material routes'!$C$6:$C$1005,"Consumed input"),COUNTIFS('Material routes'!$B$6:$B$1005,A228,'Material routes'!$C$6:$C$1005,"Contained input"),COUNTIFS('Material routes'!$B$6:$B$1005,A228,'Material routes'!$C$6:$C$1005,"Transform input"))</x:f>
        <x:v>1</x:v>
      </x:c>
      <x:c r="J228" s="4" t="n">
        <x:f>COUNTIFS('Material routes'!$B$6:$B$1005,A228,'Material routes'!$C$6:$C$1005,"Output")</x:f>
        <x:v>1</x:v>
      </x:c>
      <x:c r="K228" s="4" t="n">
        <x:f>COUNTIFS('Material routes'!$B$6:$B$1005,A228,'Material routes'!$C$6:$C$1005,"Tool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Workshop tools, energy/heat, fixtures, conditions and qualification remain unresolved</x:v>
      </x:c>
      <x:c r="H229" s="4" t="str">
        <x:f>IF(I229=0,"Unassigned",IF(SUMIFS('Material routes'!$Q$6:$Q$1005,'Material routes'!$B$6:$B$1005,A229)&gt;0,"Unassigned","T"&amp;_xlfn.MAXIFS('Material routes'!$P$6:$P$1005,'Material routes'!$B$6:$B$1005,A229)))</x:f>
        <x:v>T2</x:v>
      </x:c>
      <x:c r="I229" s="4" t="n">
        <x:f>SUM(COUNTIFS('Material routes'!$B$6:$B$1005,A229,'Material routes'!$C$6:$C$1005,"Ingredient candidate"),COUNTIFS('Material routes'!$B$6:$B$1005,A229,'Material routes'!$C$6:$C$1005,"Consumed input"),COUNTIFS('Material routes'!$B$6:$B$1005,A229,'Material routes'!$C$6:$C$1005,"Contained input"),COUNTIFS('Material routes'!$B$6:$B$1005,A229,'Material routes'!$C$6:$C$1005,"Transform input"))</x:f>
        <x:v>3</x:v>
      </x:c>
      <x:c r="J229" s="4" t="n">
        <x:f>COUNTIFS('Material routes'!$B$6:$B$1005,A229,'Material routes'!$C$6:$C$1005,"Output")</x:f>
        <x:v>1</x:v>
      </x:c>
      <x:c r="K229" s="4" t="n">
        <x:f>COUNTIFS('Material routes'!$B$6:$B$1005,A229,'Material routes'!$C$6:$C$1005,"Tool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Workshop tools, energy/heat, fixtures, conditions and qualification remain unresolved</x:v>
      </x:c>
      <x:c r="H230" s="4" t="str">
        <x:f>IF(I230=0,"Unassigned",IF(SUMIFS('Material routes'!$Q$6:$Q$1005,'Material routes'!$B$6:$B$1005,A230)&gt;0,"Unassigned","T"&amp;_xlfn.MAXIFS('Material routes'!$P$6:$P$1005,'Material routes'!$B$6:$B$1005,A230)))</x:f>
        <x:v>T1</x:v>
      </x:c>
      <x:c r="I230" s="4" t="n">
        <x:f>SUM(COUNTIFS('Material routes'!$B$6:$B$1005,A230,'Material routes'!$C$6:$C$1005,"Ingredient candidate"),COUNTIFS('Material routes'!$B$6:$B$1005,A230,'Material routes'!$C$6:$C$1005,"Consumed input"),COUNTIFS('Material routes'!$B$6:$B$1005,A230,'Material routes'!$C$6:$C$1005,"Contained input"),COUNTIFS('Material routes'!$B$6:$B$1005,A230,'Material routes'!$C$6:$C$1005,"Transform input"))</x:f>
        <x:v>2</x:v>
      </x:c>
      <x:c r="J230" s="4" t="n">
        <x:f>COUNTIFS('Material routes'!$B$6:$B$1005,A230,'Material routes'!$C$6:$C$1005,"Output")</x:f>
        <x:v>1</x:v>
      </x:c>
      <x:c r="K230" s="4" t="n">
        <x:f>COUNTIFS('Material routes'!$B$6:$B$1005,A230,'Material routes'!$C$6:$C$1005,"Tool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Workshop tools, energy/heat, fixtures, conditions and qualification remain unresolved</x:v>
      </x:c>
      <x:c r="H231" s="4" t="str">
        <x:f>IF(I231=0,"Unassigned",IF(SUMIFS('Material routes'!$Q$6:$Q$1005,'Material routes'!$B$6:$B$1005,A231)&gt;0,"Unassigned","T"&amp;_xlfn.MAXIFS('Material routes'!$P$6:$P$1005,'Material routes'!$B$6:$B$1005,A231)))</x:f>
        <x:v>T1</x:v>
      </x:c>
      <x:c r="I231" s="4" t="n">
        <x:f>SUM(COUNTIFS('Material routes'!$B$6:$B$1005,A231,'Material routes'!$C$6:$C$1005,"Ingredient candidate"),COUNTIFS('Material routes'!$B$6:$B$1005,A231,'Material routes'!$C$6:$C$1005,"Consumed input"),COUNTIFS('Material routes'!$B$6:$B$1005,A231,'Material routes'!$C$6:$C$1005,"Contained input"),COUNTIFS('Material routes'!$B$6:$B$1005,A231,'Material routes'!$C$6:$C$1005,"Transform input"))</x:f>
        <x:v>3</x:v>
      </x:c>
      <x:c r="J231" s="4" t="n">
        <x:f>COUNTIFS('Material routes'!$B$6:$B$1005,A231,'Material routes'!$C$6:$C$1005,"Output")</x:f>
        <x:v>1</x:v>
      </x:c>
      <x:c r="K231" s="4" t="n">
        <x:f>COUNTIFS('Material routes'!$B$6:$B$1005,A231,'Material routes'!$C$6:$C$1005,"Tool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Workshop tools, energy/heat, fixtures, conditions and qualification remain unresolved</x:v>
      </x:c>
      <x:c r="H232" s="4" t="str">
        <x:f>IF(I232=0,"Unassigned",IF(SUMIFS('Material routes'!$Q$6:$Q$1005,'Material routes'!$B$6:$B$1005,A232)&gt;0,"Unassigned","T"&amp;_xlfn.MAXIFS('Material routes'!$P$6:$P$1005,'Material routes'!$B$6:$B$1005,A232)))</x:f>
        <x:v>T0</x:v>
      </x:c>
      <x:c r="I232" s="4" t="n">
        <x:f>SUM(COUNTIFS('Material routes'!$B$6:$B$1005,A232,'Material routes'!$C$6:$C$1005,"Ingredient candidate"),COUNTIFS('Material routes'!$B$6:$B$1005,A232,'Material routes'!$C$6:$C$1005,"Consumed input"),COUNTIFS('Material routes'!$B$6:$B$1005,A232,'Material routes'!$C$6:$C$1005,"Contained input"),COUNTIFS('Material routes'!$B$6:$B$1005,A232,'Material routes'!$C$6:$C$1005,"Transform input"))</x:f>
        <x:v>2</x:v>
      </x:c>
      <x:c r="J232" s="4" t="n">
        <x:f>COUNTIFS('Material routes'!$B$6:$B$1005,A232,'Material routes'!$C$6:$C$1005,"Output")</x:f>
        <x:v>1</x:v>
      </x:c>
      <x:c r="K232" s="4" t="n">
        <x:f>COUNTIFS('Material routes'!$B$6:$B$1005,A232,'Material routes'!$C$6:$C$1005,"Tool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b25a20be45654d97"/>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T1</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T1</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T1</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T2</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Needs tier review</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T2</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Needs tier review</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T1</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T1</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T1</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Needs tier review</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T1</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row r="174" ht="115" customHeight="1">
      <x:c r="A174" s="4" t="str">
        <x:f>IFERROR(INDEX('Material routes'!$E$6:$E$1005,MATCH(U174,'Material routes'!$A$6:$A$1005,0)),"MISSING ID")</x:f>
        <x:v>Steel stock</x:v>
      </x:c>
      <x:c r="B174" s="4" t="str">
        <x:f>IFERROR(INDEX('Material routes'!$F$6:$F$1005,MATCH(U174,'Material routes'!$A$6:$A$1005,0)),"MISSING ID")</x:f>
        <x:v>T2</x:v>
      </x:c>
      <x:c r="C174" s="4" t="str">
        <x:f>IFERROR(INDEX('Material routes'!$H$6:$H$1005,MATCH(U174,'Material routes'!$A$6:$A$1005,0)),"MISSING ID")</x:f>
        <x:v>Processed material</x:v>
      </x:c>
      <x:c r="D174" s="4" t="str">
        <x:f>IFERROR(INDEX('Material routes'!$G$6:$G$1005,MATCH(U174,'Material routes'!$A$6:$A$1005,0)),"MISSING ID")</x:f>
        <x:v>Resources</x:v>
      </x:c>
      <x:c r="E174" s="4" t="str">
        <x:f>IFERROR(INDEX('Material routes'!$C$6:$C$1005,MATCH(U174,'Material routes'!$A$6:$A$1005,0)),"MISSING ID")</x:f>
        <x:v>Ingredient candidate</x:v>
      </x:c>
      <x:c r="F174" s="4" t="str">
        <x:f>IFERROR(INDEX('Material routes'!$E$6:$E$1005,MATCH(V174,'Material routes'!$A$6:$A$1005,0)),"MISSING ID")</x:f>
        <x:v>Heat-treated steel gear blanks</x:v>
      </x:c>
      <x:c r="G174" s="4" t="str">
        <x:f>IFERROR(INDEX('Material routes'!$F$6:$F$1005,MATCH(V174,'Material routes'!$A$6:$A$1005,0)),"MISSING ID")</x:f>
        <x:v>T3</x:v>
      </x:c>
      <x:c r="H174" s="4" t="str">
        <x:f>IFERROR(INDEX('Material routes'!$H$6:$H$1005,MATCH(V174,'Material routes'!$A$6:$A$1005,0)),"MISSING ID")</x:f>
        <x:v>Crafting component</x:v>
      </x:c>
      <x:c r="I174" s="4" t="str">
        <x:f>IFERROR(INDEX('Material routes'!$G$6:$G$1005,MATCH(V174,'Material routes'!$A$6:$A$1005,0)),"MISSING ID")</x:f>
        <x:v>Crafting components</x:v>
      </x:c>
      <x:c r="J174" s="4" t="str">
        <x:f>IFERROR(INDEX('Material routes'!$B$6:$B$1005,MATCH(U174,'Material routes'!$A$6:$A$1005,0)),"MISSING ID")</x:f>
        <x:v>design.t3.gear_blank</x:v>
      </x:c>
      <x:c r="K174" s="4" t="str">
        <x:f>IFERROR(INDEX('Crafting recipes'!$C$6:$C$1005,MATCH(J174,'Crafting recipes'!$A$6:$A$1005,0)),"MISSING ID")</x:f>
        <x:v>Material refinement</x:v>
      </x:c>
      <x:c r="L174" s="4" t="str">
        <x:f>IFERROR(INDEX('Material routes'!$K$6:$K$1005,MATCH(U174,'Material routes'!$A$6:$A$1005,0)),"MISSING ID")</x:f>
        <x:v>Proposal</x:v>
      </x:c>
      <x:c r="M174" s="4" t="str">
        <x:f>IFERROR(INDEX('Material routes'!$M$6:$M$1005,MATCH(U174,'Material routes'!$A$6:$A$1005,0)),"MISSING ID")</x:f>
        <x:v>Partial proposal</x:v>
      </x:c>
      <x:c r="N174" s="4" t="str">
        <x:f>IF(IFERROR(INDEX('Material routes'!$I$6:$I$1005,MATCH(U174,'Material routes'!$A$6:$A$1005,0)),"MISSING ID")=0,"",IFERROR(INDEX('Material routes'!$I$6:$I$1005,MATCH(U174,'Material routes'!$A$6:$A$1005,0)),"MISSING ID"))</x:f>
      </x:c>
      <x:c r="O174" s="4" t="str">
        <x:f>IFERROR(INDEX('Material routes'!$J$6:$J$1005,MATCH(U174,'Material routes'!$A$6:$A$1005,0)),"MISSING ID")</x:f>
        <x:v>Unspecified</x:v>
      </x:c>
      <x:c r="P174" s="4" t="str">
        <x:f>IF(IFERROR(INDEX('Material routes'!$I$6:$I$1005,MATCH(V174,'Material routes'!$A$6:$A$1005,0)),"MISSING ID")=0,"",IFERROR(INDEX('Material routes'!$I$6:$I$1005,MATCH(V174,'Material routes'!$A$6:$A$1005,0)),"MISSING ID"))</x:f>
      </x:c>
      <x:c r="Q174" s="4" t="str">
        <x:f>IFERROR(INDEX('Material routes'!$J$6:$J$1005,MATCH(V174,'Material routes'!$A$6:$A$1005,0)),"MISSING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routes'!$D$6:$D$1005,MATCH(U174,'Material routes'!$A$6:$A$1005,0)),"MISSING ID")</x:f>
        <x:v>author.metallurgy.steel_stock</x:v>
      </x:c>
      <x:c r="T174" s="4" t="str">
        <x:f>IFERROR(INDEX('Material routes'!$D$6:$D$1005,MATCH(V174,'Material routes'!$A$6:$A$1005,0)),"MISSING ID")</x:f>
        <x:v>proposal.t3.gear_blank</x:v>
      </x:c>
      <x:c r="U174" s="4" t="str">
        <x:v>design.t3.gear_blank.in.1</x:v>
      </x:c>
      <x:c r="V174" s="4" t="str">
        <x:v>design.t3.gear_blank.out</x:v>
      </x:c>
    </x:row>
    <x:row r="175" ht="115" customHeight="1">
      <x:c r="A175" s="4" t="str">
        <x:f>IFERROR(INDEX('Material routes'!$E$6:$E$1005,MATCH(U175,'Material routes'!$A$6:$A$1005,0)),"MISSING ID")</x:f>
        <x:v>Prepared manganese alloying stock</x:v>
      </x:c>
      <x:c r="B175" s="4" t="str">
        <x:f>IFERROR(INDEX('Material routes'!$F$6:$F$1005,MATCH(U175,'Material routes'!$A$6:$A$1005,0)),"MISSING ID")</x:f>
        <x:v>T2</x:v>
      </x:c>
      <x:c r="C175" s="4" t="str">
        <x:f>IFERROR(INDEX('Material routes'!$H$6:$H$1005,MATCH(U175,'Material routes'!$A$6:$A$1005,0)),"MISSING ID")</x:f>
        <x:v>Processed material</x:v>
      </x:c>
      <x:c r="D175" s="4" t="str">
        <x:f>IFERROR(INDEX('Material routes'!$G$6:$G$1005,MATCH(U175,'Material routes'!$A$6:$A$1005,0)),"MISSING ID")</x:f>
        <x:v>Resources</x:v>
      </x:c>
      <x:c r="E175" s="4" t="str">
        <x:f>IFERROR(INDEX('Material routes'!$C$6:$C$1005,MATCH(U175,'Material routes'!$A$6:$A$1005,0)),"MISSING ID")</x:f>
        <x:v>Ingredient candidate</x:v>
      </x:c>
      <x:c r="F175" s="4" t="str">
        <x:f>IFERROR(INDEX('Material routes'!$E$6:$E$1005,MATCH(V175,'Material routes'!$A$6:$A$1005,0)),"MISSING ID")</x:f>
        <x:v>Heat-treated steel gear blanks</x:v>
      </x:c>
      <x:c r="G175" s="4" t="str">
        <x:f>IFERROR(INDEX('Material routes'!$F$6:$F$1005,MATCH(V175,'Material routes'!$A$6:$A$1005,0)),"MISSING ID")</x:f>
        <x:v>T3</x:v>
      </x:c>
      <x:c r="H175" s="4" t="str">
        <x:f>IFERROR(INDEX('Material routes'!$H$6:$H$1005,MATCH(V175,'Material routes'!$A$6:$A$1005,0)),"MISSING ID")</x:f>
        <x:v>Crafting component</x:v>
      </x:c>
      <x:c r="I175" s="4" t="str">
        <x:f>IFERROR(INDEX('Material routes'!$G$6:$G$1005,MATCH(V175,'Material routes'!$A$6:$A$1005,0)),"MISSING ID")</x:f>
        <x:v>Crafting components</x:v>
      </x:c>
      <x:c r="J175" s="4" t="str">
        <x:f>IFERROR(INDEX('Material routes'!$B$6:$B$1005,MATCH(U175,'Material routes'!$A$6:$A$1005,0)),"MISSING ID")</x:f>
        <x:v>design.t3.gear_blank</x:v>
      </x:c>
      <x:c r="K175" s="4" t="str">
        <x:f>IFERROR(INDEX('Crafting recipes'!$C$6:$C$1005,MATCH(J175,'Crafting recipes'!$A$6:$A$1005,0)),"MISSING ID")</x:f>
        <x:v>Material refinement</x:v>
      </x:c>
      <x:c r="L175" s="4" t="str">
        <x:f>IFERROR(INDEX('Material routes'!$K$6:$K$1005,MATCH(U175,'Material routes'!$A$6:$A$1005,0)),"MISSING ID")</x:f>
        <x:v>Proposal</x:v>
      </x:c>
      <x:c r="M175" s="4" t="str">
        <x:f>IFERROR(INDEX('Material routes'!$M$6:$M$1005,MATCH(U175,'Material routes'!$A$6:$A$1005,0)),"MISSING ID")</x:f>
        <x:v>Partial proposal</x:v>
      </x:c>
      <x:c r="N175" s="4" t="str">
        <x:f>IF(IFERROR(INDEX('Material routes'!$I$6:$I$1005,MATCH(U175,'Material routes'!$A$6:$A$1005,0)),"MISSING ID")=0,"",IFERROR(INDEX('Material routes'!$I$6:$I$1005,MATCH(U175,'Material routes'!$A$6:$A$1005,0)),"MISSING ID"))</x:f>
      </x:c>
      <x:c r="O175" s="4" t="str">
        <x:f>IFERROR(INDEX('Material routes'!$J$6:$J$1005,MATCH(U175,'Material routes'!$A$6:$A$1005,0)),"MISSING ID")</x:f>
        <x:v>Unspecified</x:v>
      </x:c>
      <x:c r="P175" s="4" t="str">
        <x:f>IF(IFERROR(INDEX('Material routes'!$I$6:$I$1005,MATCH(V175,'Material routes'!$A$6:$A$1005,0)),"MISSING ID")=0,"",IFERROR(INDEX('Material routes'!$I$6:$I$1005,MATCH(V175,'Material routes'!$A$6:$A$1005,0)),"MISSING ID"))</x:f>
      </x:c>
      <x:c r="Q175" s="4" t="str">
        <x:f>IFERROR(INDEX('Material routes'!$J$6:$J$1005,MATCH(V175,'Material routes'!$A$6:$A$1005,0)),"MISSING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routes'!$D$6:$D$1005,MATCH(U175,'Material routes'!$A$6:$A$1005,0)),"MISSING ID")</x:f>
        <x:v>proposal.branch.alloy_addition</x:v>
      </x:c>
      <x:c r="T175" s="4" t="str">
        <x:f>IFERROR(INDEX('Material routes'!$D$6:$D$1005,MATCH(V175,'Material routes'!$A$6:$A$1005,0)),"MISSING ID")</x:f>
        <x:v>proposal.t3.gear_blank</x:v>
      </x:c>
      <x:c r="U175" s="4" t="str">
        <x:v>design.t3.gear_blank.in.2</x:v>
      </x:c>
      <x:c r="V175" s="4" t="str">
        <x:v>design.t3.gear_blank.out</x:v>
      </x:c>
    </x:row>
    <x:row r="176" ht="115" customHeight="1">
      <x:c r="A176" s="4" t="str">
        <x:f>IFERROR(INDEX('Material routes'!$E$6:$E$1005,MATCH(U176,'Material routes'!$A$6:$A$1005,0)),"MISSING ID")</x:f>
        <x:v>Prepared bronze bearing stock</x:v>
      </x:c>
      <x:c r="B176" s="4" t="str">
        <x:f>IFERROR(INDEX('Material routes'!$F$6:$F$1005,MATCH(U176,'Material routes'!$A$6:$A$1005,0)),"MISSING ID")</x:f>
        <x:v>T2</x:v>
      </x:c>
      <x:c r="C176" s="4" t="str">
        <x:f>IFERROR(INDEX('Material routes'!$H$6:$H$1005,MATCH(U176,'Material routes'!$A$6:$A$1005,0)),"MISSING ID")</x:f>
        <x:v>Processed material</x:v>
      </x:c>
      <x:c r="D176" s="4" t="str">
        <x:f>IFERROR(INDEX('Material routes'!$G$6:$G$1005,MATCH(U176,'Material routes'!$A$6:$A$1005,0)),"MISSING ID")</x:f>
        <x:v>Resources</x:v>
      </x:c>
      <x:c r="E176" s="4" t="str">
        <x:f>IFERROR(INDEX('Material routes'!$C$6:$C$1005,MATCH(U176,'Material routes'!$A$6:$A$1005,0)),"MISSING ID")</x:f>
        <x:v>Ingredient candidate</x:v>
      </x:c>
      <x:c r="F176" s="4" t="str">
        <x:f>IFERROR(INDEX('Material routes'!$E$6:$E$1005,MATCH(V176,'Material routes'!$A$6:$A$1005,0)),"MISSING ID")</x:f>
        <x:v>Lapped bronze bearing blanks</x:v>
      </x:c>
      <x:c r="G176" s="4" t="str">
        <x:f>IFERROR(INDEX('Material routes'!$F$6:$F$1005,MATCH(V176,'Material routes'!$A$6:$A$1005,0)),"MISSING ID")</x:f>
        <x:v>T3</x:v>
      </x:c>
      <x:c r="H176" s="4" t="str">
        <x:f>IFERROR(INDEX('Material routes'!$H$6:$H$1005,MATCH(V176,'Material routes'!$A$6:$A$1005,0)),"MISSING ID")</x:f>
        <x:v>Crafting component</x:v>
      </x:c>
      <x:c r="I176" s="4" t="str">
        <x:f>IFERROR(INDEX('Material routes'!$G$6:$G$1005,MATCH(V176,'Material routes'!$A$6:$A$1005,0)),"MISSING ID")</x:f>
        <x:v>Crafting components</x:v>
      </x:c>
      <x:c r="J176" s="4" t="str">
        <x:f>IFERROR(INDEX('Material routes'!$B$6:$B$1005,MATCH(U176,'Material routes'!$A$6:$A$1005,0)),"MISSING ID")</x:f>
        <x:v>design.t3.bearing_blank</x:v>
      </x:c>
      <x:c r="K176" s="4" t="str">
        <x:f>IFERROR(INDEX('Crafting recipes'!$C$6:$C$1005,MATCH(J176,'Crafting recipes'!$A$6:$A$1005,0)),"MISSING ID")</x:f>
        <x:v>Material refinement</x:v>
      </x:c>
      <x:c r="L176" s="4" t="str">
        <x:f>IFERROR(INDEX('Material routes'!$K$6:$K$1005,MATCH(U176,'Material routes'!$A$6:$A$1005,0)),"MISSING ID")</x:f>
        <x:v>Proposal</x:v>
      </x:c>
      <x:c r="M176" s="4" t="str">
        <x:f>IFERROR(INDEX('Material routes'!$M$6:$M$1005,MATCH(U176,'Material routes'!$A$6:$A$1005,0)),"MISSING ID")</x:f>
        <x:v>Partial proposal</x:v>
      </x:c>
      <x:c r="N176" s="4" t="str">
        <x:f>IF(IFERROR(INDEX('Material routes'!$I$6:$I$1005,MATCH(U176,'Material routes'!$A$6:$A$1005,0)),"MISSING ID")=0,"",IFERROR(INDEX('Material routes'!$I$6:$I$1005,MATCH(U176,'Material routes'!$A$6:$A$1005,0)),"MISSING ID"))</x:f>
      </x:c>
      <x:c r="O176" s="4" t="str">
        <x:f>IFERROR(INDEX('Material routes'!$J$6:$J$1005,MATCH(U176,'Material routes'!$A$6:$A$1005,0)),"MISSING ID")</x:f>
        <x:v>Unspecified</x:v>
      </x:c>
      <x:c r="P176" s="4" t="str">
        <x:f>IF(IFERROR(INDEX('Material routes'!$I$6:$I$1005,MATCH(V176,'Material routes'!$A$6:$A$1005,0)),"MISSING ID")=0,"",IFERROR(INDEX('Material routes'!$I$6:$I$1005,MATCH(V176,'Material routes'!$A$6:$A$1005,0)),"MISSING ID"))</x:f>
      </x:c>
      <x:c r="Q176" s="4" t="str">
        <x:f>IFERROR(INDEX('Material routes'!$J$6:$J$1005,MATCH(V176,'Material routes'!$A$6:$A$1005,0)),"MISSING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routes'!$D$6:$D$1005,MATCH(U176,'Material routes'!$A$6:$A$1005,0)),"MISSING ID")</x:f>
        <x:v>proposal.branch.bearing_bronze</x:v>
      </x:c>
      <x:c r="T176" s="4" t="str">
        <x:f>IFERROR(INDEX('Material routes'!$D$6:$D$1005,MATCH(V176,'Material routes'!$A$6:$A$1005,0)),"MISSING ID")</x:f>
        <x:v>proposal.t3.bearing_blank</x:v>
      </x:c>
      <x:c r="U176" s="4" t="str">
        <x:v>design.t3.bearing_blank.in.1</x:v>
      </x:c>
      <x:c r="V176" s="4" t="str">
        <x:v>design.t3.bearing_blank.out</x:v>
      </x:c>
    </x:row>
    <x:row r="177" ht="115" customHeight="1">
      <x:c r="A177" s="4" t="str">
        <x:f>IFERROR(INDEX('Material routes'!$E$6:$E$1005,MATCH(U177,'Material routes'!$A$6:$A$1005,0)),"MISSING ID")</x:f>
        <x:v>Graded abrasive grit</x:v>
      </x:c>
      <x:c r="B177" s="4" t="str">
        <x:f>IFERROR(INDEX('Material routes'!$F$6:$F$1005,MATCH(U177,'Material routes'!$A$6:$A$1005,0)),"MISSING ID")</x:f>
        <x:v>T1</x:v>
      </x:c>
      <x:c r="C177" s="4" t="str">
        <x:f>IFERROR(INDEX('Material routes'!$H$6:$H$1005,MATCH(U177,'Material routes'!$A$6:$A$1005,0)),"MISSING ID")</x:f>
        <x:v>Processed material</x:v>
      </x:c>
      <x:c r="D177" s="4" t="str">
        <x:f>IFERROR(INDEX('Material routes'!$G$6:$G$1005,MATCH(U177,'Material routes'!$A$6:$A$1005,0)),"MISSING ID")</x:f>
        <x:v>Resources</x:v>
      </x:c>
      <x:c r="E177" s="4" t="str">
        <x:f>IFERROR(INDEX('Material routes'!$C$6:$C$1005,MATCH(U177,'Material routes'!$A$6:$A$1005,0)),"MISSING ID")</x:f>
        <x:v>Ingredient candidate</x:v>
      </x:c>
      <x:c r="F177" s="4" t="str">
        <x:f>IFERROR(INDEX('Material routes'!$E$6:$E$1005,MATCH(V177,'Material routes'!$A$6:$A$1005,0)),"MISSING ID")</x:f>
        <x:v>Lapped bronze bearing blanks</x:v>
      </x:c>
      <x:c r="G177" s="4" t="str">
        <x:f>IFERROR(INDEX('Material routes'!$F$6:$F$1005,MATCH(V177,'Material routes'!$A$6:$A$1005,0)),"MISSING ID")</x:f>
        <x:v>T3</x:v>
      </x:c>
      <x:c r="H177" s="4" t="str">
        <x:f>IFERROR(INDEX('Material routes'!$H$6:$H$1005,MATCH(V177,'Material routes'!$A$6:$A$1005,0)),"MISSING ID")</x:f>
        <x:v>Crafting component</x:v>
      </x:c>
      <x:c r="I177" s="4" t="str">
        <x:f>IFERROR(INDEX('Material routes'!$G$6:$G$1005,MATCH(V177,'Material routes'!$A$6:$A$1005,0)),"MISSING ID")</x:f>
        <x:v>Crafting components</x:v>
      </x:c>
      <x:c r="J177" s="4" t="str">
        <x:f>IFERROR(INDEX('Material routes'!$B$6:$B$1005,MATCH(U177,'Material routes'!$A$6:$A$1005,0)),"MISSING ID")</x:f>
        <x:v>design.t3.bearing_blank</x:v>
      </x:c>
      <x:c r="K177" s="4" t="str">
        <x:f>IFERROR(INDEX('Crafting recipes'!$C$6:$C$1005,MATCH(J177,'Crafting recipes'!$A$6:$A$1005,0)),"MISSING ID")</x:f>
        <x:v>Material refinement</x:v>
      </x:c>
      <x:c r="L177" s="4" t="str">
        <x:f>IFERROR(INDEX('Material routes'!$K$6:$K$1005,MATCH(U177,'Material routes'!$A$6:$A$1005,0)),"MISSING ID")</x:f>
        <x:v>Proposal</x:v>
      </x:c>
      <x:c r="M177" s="4" t="str">
        <x:f>IFERROR(INDEX('Material routes'!$M$6:$M$1005,MATCH(U177,'Material routes'!$A$6:$A$1005,0)),"MISSING ID")</x:f>
        <x:v>Partial proposal</x:v>
      </x:c>
      <x:c r="N177" s="4" t="str">
        <x:f>IF(IFERROR(INDEX('Material routes'!$I$6:$I$1005,MATCH(U177,'Material routes'!$A$6:$A$1005,0)),"MISSING ID")=0,"",IFERROR(INDEX('Material routes'!$I$6:$I$1005,MATCH(U177,'Material routes'!$A$6:$A$1005,0)),"MISSING ID"))</x:f>
      </x:c>
      <x:c r="O177" s="4" t="str">
        <x:f>IFERROR(INDEX('Material routes'!$J$6:$J$1005,MATCH(U177,'Material routes'!$A$6:$A$1005,0)),"MISSING ID")</x:f>
        <x:v>Unspecified</x:v>
      </x:c>
      <x:c r="P177" s="4" t="str">
        <x:f>IF(IFERROR(INDEX('Material routes'!$I$6:$I$1005,MATCH(V177,'Material routes'!$A$6:$A$1005,0)),"MISSING ID")=0,"",IFERROR(INDEX('Material routes'!$I$6:$I$1005,MATCH(V177,'Material routes'!$A$6:$A$1005,0)),"MISSING ID"))</x:f>
      </x:c>
      <x:c r="Q177" s="4" t="str">
        <x:f>IFERROR(INDEX('Material routes'!$J$6:$J$1005,MATCH(V177,'Material routes'!$A$6:$A$1005,0)),"MISSING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routes'!$D$6:$D$1005,MATCH(U177,'Material routes'!$A$6:$A$1005,0)),"MISSING ID")</x:f>
        <x:v>proposal.natural.abrasive</x:v>
      </x:c>
      <x:c r="T177" s="4" t="str">
        <x:f>IFERROR(INDEX('Material routes'!$D$6:$D$1005,MATCH(V177,'Material routes'!$A$6:$A$1005,0)),"MISSING ID")</x:f>
        <x:v>proposal.t3.bearing_blank</x:v>
      </x:c>
      <x:c r="U177" s="4" t="str">
        <x:v>design.t3.bearing_blank.in.2</x:v>
      </x:c>
      <x:c r="V177" s="4" t="str">
        <x:v>design.t3.bearing_blank.out</x:v>
      </x:c>
    </x:row>
    <x:row r="178" ht="115" customHeight="1">
      <x:c r="A178" s="4" t="str">
        <x:f>IFERROR(INDEX('Material routes'!$E$6:$E$1005,MATCH(U178,'Material routes'!$A$6:$A$1005,0)),"MISSING ID")</x:f>
        <x:v>Steel stock</x:v>
      </x:c>
      <x:c r="B178" s="4" t="str">
        <x:f>IFERROR(INDEX('Material routes'!$F$6:$F$1005,MATCH(U178,'Material routes'!$A$6:$A$1005,0)),"MISSING ID")</x:f>
        <x:v>T2</x:v>
      </x:c>
      <x:c r="C178" s="4" t="str">
        <x:f>IFERROR(INDEX('Material routes'!$H$6:$H$1005,MATCH(U178,'Material routes'!$A$6:$A$1005,0)),"MISSING ID")</x:f>
        <x:v>Processed material</x:v>
      </x:c>
      <x:c r="D178" s="4" t="str">
        <x:f>IFERROR(INDEX('Material routes'!$G$6:$G$1005,MATCH(U178,'Material routes'!$A$6:$A$1005,0)),"MISSING ID")</x:f>
        <x:v>Resources</x:v>
      </x:c>
      <x:c r="E178" s="4" t="str">
        <x:f>IFERROR(INDEX('Material routes'!$C$6:$C$1005,MATCH(U178,'Material routes'!$A$6:$A$1005,0)),"MISSING ID")</x:f>
        <x:v>Ingredient candidate</x:v>
      </x:c>
      <x:c r="F178" s="4" t="str">
        <x:f>IFERROR(INDEX('Material routes'!$E$6:$E$1005,MATCH(V178,'Material routes'!$A$6:$A$1005,0)),"MISSING ID")</x:f>
        <x:v>Drawn steel tube stock</x:v>
      </x:c>
      <x:c r="G178" s="4" t="str">
        <x:f>IFERROR(INDEX('Material routes'!$F$6:$F$1005,MATCH(V178,'Material routes'!$A$6:$A$1005,0)),"MISSING ID")</x:f>
        <x:v>T3</x:v>
      </x:c>
      <x:c r="H178" s="4" t="str">
        <x:f>IFERROR(INDEX('Material routes'!$H$6:$H$1005,MATCH(V178,'Material routes'!$A$6:$A$1005,0)),"MISSING ID")</x:f>
        <x:v>Processed material</x:v>
      </x:c>
      <x:c r="I178" s="4" t="str">
        <x:f>IFERROR(INDEX('Material routes'!$G$6:$G$1005,MATCH(V178,'Material routes'!$A$6:$A$1005,0)),"MISSING ID")</x:f>
        <x:v>Resources</x:v>
      </x:c>
      <x:c r="J178" s="4" t="str">
        <x:f>IFERROR(INDEX('Material routes'!$B$6:$B$1005,MATCH(U178,'Material routes'!$A$6:$A$1005,0)),"MISSING ID")</x:f>
        <x:v>design.t3.precision_tube</x:v>
      </x:c>
      <x:c r="K178" s="4" t="str">
        <x:f>IFERROR(INDEX('Crafting recipes'!$C$6:$C$1005,MATCH(J178,'Crafting recipes'!$A$6:$A$1005,0)),"MISSING ID")</x:f>
        <x:v>Material refinement</x:v>
      </x:c>
      <x:c r="L178" s="4" t="str">
        <x:f>IFERROR(INDEX('Material routes'!$K$6:$K$1005,MATCH(U178,'Material routes'!$A$6:$A$1005,0)),"MISSING ID")</x:f>
        <x:v>Proposal</x:v>
      </x:c>
      <x:c r="M178" s="4" t="str">
        <x:f>IFERROR(INDEX('Material routes'!$M$6:$M$1005,MATCH(U178,'Material routes'!$A$6:$A$1005,0)),"MISSING ID")</x:f>
        <x:v>Partial proposal</x:v>
      </x:c>
      <x:c r="N178" s="4" t="str">
        <x:f>IF(IFERROR(INDEX('Material routes'!$I$6:$I$1005,MATCH(U178,'Material routes'!$A$6:$A$1005,0)),"MISSING ID")=0,"",IFERROR(INDEX('Material routes'!$I$6:$I$1005,MATCH(U178,'Material routes'!$A$6:$A$1005,0)),"MISSING ID"))</x:f>
      </x:c>
      <x:c r="O178" s="4" t="str">
        <x:f>IFERROR(INDEX('Material routes'!$J$6:$J$1005,MATCH(U178,'Material routes'!$A$6:$A$1005,0)),"MISSING ID")</x:f>
        <x:v>Unspecified</x:v>
      </x:c>
      <x:c r="P178" s="4" t="str">
        <x:f>IF(IFERROR(INDEX('Material routes'!$I$6:$I$1005,MATCH(V178,'Material routes'!$A$6:$A$1005,0)),"MISSING ID")=0,"",IFERROR(INDEX('Material routes'!$I$6:$I$1005,MATCH(V178,'Material routes'!$A$6:$A$1005,0)),"MISSING ID"))</x:f>
      </x:c>
      <x:c r="Q178" s="4" t="str">
        <x:f>IFERROR(INDEX('Material routes'!$J$6:$J$1005,MATCH(V178,'Material routes'!$A$6:$A$1005,0)),"MISSING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routes'!$D$6:$D$1005,MATCH(U178,'Material routes'!$A$6:$A$1005,0)),"MISSING ID")</x:f>
        <x:v>author.metallurgy.steel_stock</x:v>
      </x:c>
      <x:c r="T178" s="4" t="str">
        <x:f>IFERROR(INDEX('Material routes'!$D$6:$D$1005,MATCH(V178,'Material routes'!$A$6:$A$1005,0)),"MISSING ID")</x:f>
        <x:v>proposal.t3.precision_tube</x:v>
      </x:c>
      <x:c r="U178" s="4" t="str">
        <x:v>design.t3.precision_tube.in.1</x:v>
      </x:c>
      <x:c r="V178" s="4" t="str">
        <x:v>design.t3.precision_tube.out</x:v>
      </x:c>
    </x:row>
    <x:row r="179" ht="115" customHeight="1">
      <x:c r="A179" s="4" t="str">
        <x:f>IFERROR(INDEX('Material routes'!$E$6:$E$1005,MATCH(U179,'Material routes'!$A$6:$A$1005,0)),"MISSING ID")</x:f>
        <x:v>Fine mechanism oil</x:v>
      </x:c>
      <x:c r="B179" s="4" t="str">
        <x:f>IFERROR(INDEX('Material routes'!$F$6:$F$1005,MATCH(U179,'Material routes'!$A$6:$A$1005,0)),"MISSING ID")</x:f>
        <x:v>T2</x:v>
      </x:c>
      <x:c r="C179" s="4" t="str">
        <x:f>IFERROR(INDEX('Material routes'!$H$6:$H$1005,MATCH(U179,'Material routes'!$A$6:$A$1005,0)),"MISSING ID")</x:f>
        <x:v>Chemical material</x:v>
      </x:c>
      <x:c r="D179" s="4" t="str">
        <x:f>IFERROR(INDEX('Material routes'!$G$6:$G$1005,MATCH(U179,'Material routes'!$A$6:$A$1005,0)),"MISSING ID")</x:f>
        <x:v>Resources</x:v>
      </x:c>
      <x:c r="E179" s="4" t="str">
        <x:f>IFERROR(INDEX('Material routes'!$C$6:$C$1005,MATCH(U179,'Material routes'!$A$6:$A$1005,0)),"MISSING ID")</x:f>
        <x:v>Ingredient candidate</x:v>
      </x:c>
      <x:c r="F179" s="4" t="str">
        <x:f>IFERROR(INDEX('Material routes'!$E$6:$E$1005,MATCH(V179,'Material routes'!$A$6:$A$1005,0)),"MISSING ID")</x:f>
        <x:v>Drawn steel tube stock</x:v>
      </x:c>
      <x:c r="G179" s="4" t="str">
        <x:f>IFERROR(INDEX('Material routes'!$F$6:$F$1005,MATCH(V179,'Material routes'!$A$6:$A$1005,0)),"MISSING ID")</x:f>
        <x:v>T3</x:v>
      </x:c>
      <x:c r="H179" s="4" t="str">
        <x:f>IFERROR(INDEX('Material routes'!$H$6:$H$1005,MATCH(V179,'Material routes'!$A$6:$A$1005,0)),"MISSING ID")</x:f>
        <x:v>Processed material</x:v>
      </x:c>
      <x:c r="I179" s="4" t="str">
        <x:f>IFERROR(INDEX('Material routes'!$G$6:$G$1005,MATCH(V179,'Material routes'!$A$6:$A$1005,0)),"MISSING ID")</x:f>
        <x:v>Resources</x:v>
      </x:c>
      <x:c r="J179" s="4" t="str">
        <x:f>IFERROR(INDEX('Material routes'!$B$6:$B$1005,MATCH(U179,'Material routes'!$A$6:$A$1005,0)),"MISSING ID")</x:f>
        <x:v>design.t3.precision_tube</x:v>
      </x:c>
      <x:c r="K179" s="4" t="str">
        <x:f>IFERROR(INDEX('Crafting recipes'!$C$6:$C$1005,MATCH(J179,'Crafting recipes'!$A$6:$A$1005,0)),"MISSING ID")</x:f>
        <x:v>Material refinement</x:v>
      </x:c>
      <x:c r="L179" s="4" t="str">
        <x:f>IFERROR(INDEX('Material routes'!$K$6:$K$1005,MATCH(U179,'Material routes'!$A$6:$A$1005,0)),"MISSING ID")</x:f>
        <x:v>Proposal</x:v>
      </x:c>
      <x:c r="M179" s="4" t="str">
        <x:f>IFERROR(INDEX('Material routes'!$M$6:$M$1005,MATCH(U179,'Material routes'!$A$6:$A$1005,0)),"MISSING ID")</x:f>
        <x:v>Partial proposal</x:v>
      </x:c>
      <x:c r="N179" s="4" t="str">
        <x:f>IF(IFERROR(INDEX('Material routes'!$I$6:$I$1005,MATCH(U179,'Material routes'!$A$6:$A$1005,0)),"MISSING ID")=0,"",IFERROR(INDEX('Material routes'!$I$6:$I$1005,MATCH(U179,'Material routes'!$A$6:$A$1005,0)),"MISSING ID"))</x:f>
      </x:c>
      <x:c r="O179" s="4" t="str">
        <x:f>IFERROR(INDEX('Material routes'!$J$6:$J$1005,MATCH(U179,'Material routes'!$A$6:$A$1005,0)),"MISSING ID")</x:f>
        <x:v>Unspecified</x:v>
      </x:c>
      <x:c r="P179" s="4" t="str">
        <x:f>IF(IFERROR(INDEX('Material routes'!$I$6:$I$1005,MATCH(V179,'Material routes'!$A$6:$A$1005,0)),"MISSING ID")=0,"",IFERROR(INDEX('Material routes'!$I$6:$I$1005,MATCH(V179,'Material routes'!$A$6:$A$1005,0)),"MISSING ID"))</x:f>
      </x:c>
      <x:c r="Q179" s="4" t="str">
        <x:f>IFERROR(INDEX('Material routes'!$J$6:$J$1005,MATCH(V179,'Material routes'!$A$6:$A$1005,0)),"MISSING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routes'!$D$6:$D$1005,MATCH(U179,'Material routes'!$A$6:$A$1005,0)),"MISSING ID")</x:f>
        <x:v>proposal.lubricant.precision_oil</x:v>
      </x:c>
      <x:c r="T179" s="4" t="str">
        <x:f>IFERROR(INDEX('Material routes'!$D$6:$D$1005,MATCH(V179,'Material routes'!$A$6:$A$1005,0)),"MISSING ID")</x:f>
        <x:v>proposal.t3.precision_tube</x:v>
      </x:c>
      <x:c r="U179" s="4" t="str">
        <x:v>design.t3.precision_tube.in.2</x:v>
      </x:c>
      <x:c r="V179" s="4" t="str">
        <x:v>design.t3.precision_tube.out</x:v>
      </x:c>
    </x:row>
    <x:row r="180" ht="115" customHeight="1">
      <x:c r="A180" s="4" t="str">
        <x:f>IFERROR(INDEX('Material routes'!$E$6:$E$1005,MATCH(U180,'Material routes'!$A$6:$A$1005,0)),"MISSING ID")</x:f>
        <x:v>Drawn copper stock</x:v>
      </x:c>
      <x:c r="B180" s="4" t="str">
        <x:f>IFERROR(INDEX('Material routes'!$F$6:$F$1005,MATCH(U180,'Material routes'!$A$6:$A$1005,0)),"MISSING ID")</x:f>
        <x:v>T2</x:v>
      </x:c>
      <x:c r="C180" s="4" t="str">
        <x:f>IFERROR(INDEX('Material routes'!$H$6:$H$1005,MATCH(U180,'Material routes'!$A$6:$A$1005,0)),"MISSING ID")</x:f>
        <x:v>Processed material</x:v>
      </x:c>
      <x:c r="D180" s="4" t="str">
        <x:f>IFERROR(INDEX('Material routes'!$G$6:$G$1005,MATCH(U180,'Material routes'!$A$6:$A$1005,0)),"MISSING ID")</x:f>
        <x:v>Resources</x:v>
      </x:c>
      <x:c r="E180" s="4" t="str">
        <x:f>IFERROR(INDEX('Material routes'!$C$6:$C$1005,MATCH(U180,'Material routes'!$A$6:$A$1005,0)),"MISSING ID")</x:f>
        <x:v>Ingredient candidate</x:v>
      </x:c>
      <x:c r="F180" s="4" t="str">
        <x:f>IFERROR(INDEX('Material routes'!$E$6:$E$1005,MATCH(V180,'Material routes'!$A$6:$A$1005,0)),"MISSING ID")</x:f>
        <x:v>Braided copper grounding stock</x:v>
      </x:c>
      <x:c r="G180" s="4" t="str">
        <x:f>IFERROR(INDEX('Material routes'!$F$6:$F$1005,MATCH(V180,'Material routes'!$A$6:$A$1005,0)),"MISSING ID")</x:f>
        <x:v>T3</x:v>
      </x:c>
      <x:c r="H180" s="4" t="str">
        <x:f>IFERROR(INDEX('Material routes'!$H$6:$H$1005,MATCH(V180,'Material routes'!$A$6:$A$1005,0)),"MISSING ID")</x:f>
        <x:v>Processed material</x:v>
      </x:c>
      <x:c r="I180" s="4" t="str">
        <x:f>IFERROR(INDEX('Material routes'!$G$6:$G$1005,MATCH(V180,'Material routes'!$A$6:$A$1005,0)),"MISSING ID")</x:f>
        <x:v>Resources</x:v>
      </x:c>
      <x:c r="J180" s="4" t="str">
        <x:f>IFERROR(INDEX('Material routes'!$B$6:$B$1005,MATCH(U180,'Material routes'!$A$6:$A$1005,0)),"MISSING ID")</x:f>
        <x:v>design.t3.grounding_braid</x:v>
      </x:c>
      <x:c r="K180" s="4" t="str">
        <x:f>IFERROR(INDEX('Crafting recipes'!$C$6:$C$1005,MATCH(J180,'Crafting recipes'!$A$6:$A$1005,0)),"MISSING ID")</x:f>
        <x:v>Material refinement</x:v>
      </x:c>
      <x:c r="L180" s="4" t="str">
        <x:f>IFERROR(INDEX('Material routes'!$K$6:$K$1005,MATCH(U180,'Material routes'!$A$6:$A$1005,0)),"MISSING ID")</x:f>
        <x:v>Proposal</x:v>
      </x:c>
      <x:c r="M180" s="4" t="str">
        <x:f>IFERROR(INDEX('Material routes'!$M$6:$M$1005,MATCH(U180,'Material routes'!$A$6:$A$1005,0)),"MISSING ID")</x:f>
        <x:v>Partial proposal</x:v>
      </x:c>
      <x:c r="N180" s="4" t="str">
        <x:f>IF(IFERROR(INDEX('Material routes'!$I$6:$I$1005,MATCH(U180,'Material routes'!$A$6:$A$1005,0)),"MISSING ID")=0,"",IFERROR(INDEX('Material routes'!$I$6:$I$1005,MATCH(U180,'Material routes'!$A$6:$A$1005,0)),"MISSING ID"))</x:f>
      </x:c>
      <x:c r="O180" s="4" t="str">
        <x:f>IFERROR(INDEX('Material routes'!$J$6:$J$1005,MATCH(U180,'Material routes'!$A$6:$A$1005,0)),"MISSING ID")</x:f>
        <x:v>Unspecified</x:v>
      </x:c>
      <x:c r="P180" s="4" t="str">
        <x:f>IF(IFERROR(INDEX('Material routes'!$I$6:$I$1005,MATCH(V180,'Material routes'!$A$6:$A$1005,0)),"MISSING ID")=0,"",IFERROR(INDEX('Material routes'!$I$6:$I$1005,MATCH(V180,'Material routes'!$A$6:$A$1005,0)),"MISSING ID"))</x:f>
      </x:c>
      <x:c r="Q180" s="4" t="str">
        <x:f>IFERROR(INDEX('Material routes'!$J$6:$J$1005,MATCH(V180,'Material routes'!$A$6:$A$1005,0)),"MISSING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routes'!$D$6:$D$1005,MATCH(U180,'Material routes'!$A$6:$A$1005,0)),"MISSING ID")</x:f>
        <x:v>proposal.branch.drawn_copper</x:v>
      </x:c>
      <x:c r="T180" s="4" t="str">
        <x:f>IFERROR(INDEX('Material routes'!$D$6:$D$1005,MATCH(V180,'Material routes'!$A$6:$A$1005,0)),"MISSING ID")</x:f>
        <x:v>proposal.t3.grounding_braid</x:v>
      </x:c>
      <x:c r="U180" s="4" t="str">
        <x:v>design.t3.grounding_braid.in.1</x:v>
      </x:c>
      <x:c r="V180" s="4" t="str">
        <x:v>design.t3.grounding_braid.out</x:v>
      </x:c>
    </x:row>
    <x:row r="181" ht="115" customHeight="1">
      <x:c r="A181" s="4" t="str">
        <x:f>IFERROR(INDEX('Material routes'!$E$6:$E$1005,MATCH(U181,'Material routes'!$A$6:$A$1005,0)),"MISSING ID")</x:f>
        <x:v>Drawn copper stock</x:v>
      </x:c>
      <x:c r="B181" s="4" t="str">
        <x:f>IFERROR(INDEX('Material routes'!$F$6:$F$1005,MATCH(U181,'Material routes'!$A$6:$A$1005,0)),"MISSING ID")</x:f>
        <x:v>T2</x:v>
      </x:c>
      <x:c r="C181" s="4" t="str">
        <x:f>IFERROR(INDEX('Material routes'!$H$6:$H$1005,MATCH(U181,'Material routes'!$A$6:$A$1005,0)),"MISSING ID")</x:f>
        <x:v>Processed material</x:v>
      </x:c>
      <x:c r="D181" s="4" t="str">
        <x:f>IFERROR(INDEX('Material routes'!$G$6:$G$1005,MATCH(U181,'Material routes'!$A$6:$A$1005,0)),"MISSING ID")</x:f>
        <x:v>Resources</x:v>
      </x:c>
      <x:c r="E181" s="4" t="str">
        <x:f>IFERROR(INDEX('Material routes'!$C$6:$C$1005,MATCH(U181,'Material routes'!$A$6:$A$1005,0)),"MISSING ID")</x:f>
        <x:v>Ingredient candidate</x:v>
      </x:c>
      <x:c r="F181" s="4" t="str">
        <x:f>IFERROR(INDEX('Material routes'!$E$6:$E$1005,MATCH(V181,'Material routes'!$A$6:$A$1005,0)),"MISSING ID")</x:f>
        <x:v>Wound copper coil blanks</x:v>
      </x:c>
      <x:c r="G181" s="4" t="str">
        <x:f>IFERROR(INDEX('Material routes'!$F$6:$F$1005,MATCH(V181,'Material routes'!$A$6:$A$1005,0)),"MISSING ID")</x:f>
        <x:v>T3</x:v>
      </x:c>
      <x:c r="H181" s="4" t="str">
        <x:f>IFERROR(INDEX('Material routes'!$H$6:$H$1005,MATCH(V181,'Material routes'!$A$6:$A$1005,0)),"MISSING ID")</x:f>
        <x:v>Crafting component</x:v>
      </x:c>
      <x:c r="I181" s="4" t="str">
        <x:f>IFERROR(INDEX('Material routes'!$G$6:$G$1005,MATCH(V181,'Material routes'!$A$6:$A$1005,0)),"MISSING ID")</x:f>
        <x:v>Crafting components</x:v>
      </x:c>
      <x:c r="J181" s="4" t="str">
        <x:f>IFERROR(INDEX('Material routes'!$B$6:$B$1005,MATCH(U181,'Material routes'!$A$6:$A$1005,0)),"MISSING ID")</x:f>
        <x:v>design.t3.wound_coil</x:v>
      </x:c>
      <x:c r="K181" s="4" t="str">
        <x:f>IFERROR(INDEX('Crafting recipes'!$C$6:$C$1005,MATCH(J181,'Crafting recipes'!$A$6:$A$1005,0)),"MISSING ID")</x:f>
        <x:v>Material refinement</x:v>
      </x:c>
      <x:c r="L181" s="4" t="str">
        <x:f>IFERROR(INDEX('Material routes'!$K$6:$K$1005,MATCH(U181,'Material routes'!$A$6:$A$1005,0)),"MISSING ID")</x:f>
        <x:v>Proposal</x:v>
      </x:c>
      <x:c r="M181" s="4" t="str">
        <x:f>IFERROR(INDEX('Material routes'!$M$6:$M$1005,MATCH(U181,'Material routes'!$A$6:$A$1005,0)),"MISSING ID")</x:f>
        <x:v>Partial proposal</x:v>
      </x:c>
      <x:c r="N181" s="4" t="str">
        <x:f>IF(IFERROR(INDEX('Material routes'!$I$6:$I$1005,MATCH(U181,'Material routes'!$A$6:$A$1005,0)),"MISSING ID")=0,"",IFERROR(INDEX('Material routes'!$I$6:$I$1005,MATCH(U181,'Material routes'!$A$6:$A$1005,0)),"MISSING ID"))</x:f>
      </x:c>
      <x:c r="O181" s="4" t="str">
        <x:f>IFERROR(INDEX('Material routes'!$J$6:$J$1005,MATCH(U181,'Material routes'!$A$6:$A$1005,0)),"MISSING ID")</x:f>
        <x:v>Unspecified</x:v>
      </x:c>
      <x:c r="P181" s="4" t="str">
        <x:f>IF(IFERROR(INDEX('Material routes'!$I$6:$I$1005,MATCH(V181,'Material routes'!$A$6:$A$1005,0)),"MISSING ID")=0,"",IFERROR(INDEX('Material routes'!$I$6:$I$1005,MATCH(V181,'Material routes'!$A$6:$A$1005,0)),"MISSING ID"))</x:f>
      </x:c>
      <x:c r="Q181" s="4" t="str">
        <x:f>IFERROR(INDEX('Material routes'!$J$6:$J$1005,MATCH(V181,'Material routes'!$A$6:$A$1005,0)),"MISSING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routes'!$D$6:$D$1005,MATCH(U181,'Material routes'!$A$6:$A$1005,0)),"MISSING ID")</x:f>
        <x:v>proposal.branch.drawn_copper</x:v>
      </x:c>
      <x:c r="T181" s="4" t="str">
        <x:f>IFERROR(INDEX('Material routes'!$D$6:$D$1005,MATCH(V181,'Material routes'!$A$6:$A$1005,0)),"MISSING ID")</x:f>
        <x:v>proposal.t3.wound_coil</x:v>
      </x:c>
      <x:c r="U181" s="4" t="str">
        <x:v>design.t3.wound_coil.in.1</x:v>
      </x:c>
      <x:c r="V181" s="4" t="str">
        <x:v>design.t3.wound_coil.out</x:v>
      </x:c>
    </x:row>
    <x:row r="182" ht="115" customHeight="1">
      <x:c r="A182" s="4" t="str">
        <x:f>IFERROR(INDEX('Material routes'!$E$6:$E$1005,MATCH(U182,'Material routes'!$A$6:$A$1005,0)),"MISSING ID")</x:f>
        <x:v>Insulating ceramic blanks</x:v>
      </x:c>
      <x:c r="B182" s="4" t="str">
        <x:f>IFERROR(INDEX('Material routes'!$F$6:$F$1005,MATCH(U182,'Material routes'!$A$6:$A$1005,0)),"MISSING ID")</x:f>
        <x:v>T2</x:v>
      </x:c>
      <x:c r="C182" s="4" t="str">
        <x:f>IFERROR(INDEX('Material routes'!$H$6:$H$1005,MATCH(U182,'Material routes'!$A$6:$A$1005,0)),"MISSING ID")</x:f>
        <x:v>Processed material</x:v>
      </x:c>
      <x:c r="D182" s="4" t="str">
        <x:f>IFERROR(INDEX('Material routes'!$G$6:$G$1005,MATCH(U182,'Material routes'!$A$6:$A$1005,0)),"MISSING ID")</x:f>
        <x:v>Resources</x:v>
      </x:c>
      <x:c r="E182" s="4" t="str">
        <x:f>IFERROR(INDEX('Material routes'!$C$6:$C$1005,MATCH(U182,'Material routes'!$A$6:$A$1005,0)),"MISSING ID")</x:f>
        <x:v>Ingredient candidate</x:v>
      </x:c>
      <x:c r="F182" s="4" t="str">
        <x:f>IFERROR(INDEX('Material routes'!$E$6:$E$1005,MATCH(V182,'Material routes'!$A$6:$A$1005,0)),"MISSING ID")</x:f>
        <x:v>Wound copper coil blanks</x:v>
      </x:c>
      <x:c r="G182" s="4" t="str">
        <x:f>IFERROR(INDEX('Material routes'!$F$6:$F$1005,MATCH(V182,'Material routes'!$A$6:$A$1005,0)),"MISSING ID")</x:f>
        <x:v>T3</x:v>
      </x:c>
      <x:c r="H182" s="4" t="str">
        <x:f>IFERROR(INDEX('Material routes'!$H$6:$H$1005,MATCH(V182,'Material routes'!$A$6:$A$1005,0)),"MISSING ID")</x:f>
        <x:v>Crafting component</x:v>
      </x:c>
      <x:c r="I182" s="4" t="str">
        <x:f>IFERROR(INDEX('Material routes'!$G$6:$G$1005,MATCH(V182,'Material routes'!$A$6:$A$1005,0)),"MISSING ID")</x:f>
        <x:v>Crafting components</x:v>
      </x:c>
      <x:c r="J182" s="4" t="str">
        <x:f>IFERROR(INDEX('Material routes'!$B$6:$B$1005,MATCH(U182,'Material routes'!$A$6:$A$1005,0)),"MISSING ID")</x:f>
        <x:v>design.t3.wound_coil</x:v>
      </x:c>
      <x:c r="K182" s="4" t="str">
        <x:f>IFERROR(INDEX('Crafting recipes'!$C$6:$C$1005,MATCH(J182,'Crafting recipes'!$A$6:$A$1005,0)),"MISSING ID")</x:f>
        <x:v>Material refinement</x:v>
      </x:c>
      <x:c r="L182" s="4" t="str">
        <x:f>IFERROR(INDEX('Material routes'!$K$6:$K$1005,MATCH(U182,'Material routes'!$A$6:$A$1005,0)),"MISSING ID")</x:f>
        <x:v>Proposal</x:v>
      </x:c>
      <x:c r="M182" s="4" t="str">
        <x:f>IFERROR(INDEX('Material routes'!$M$6:$M$1005,MATCH(U182,'Material routes'!$A$6:$A$1005,0)),"MISSING ID")</x:f>
        <x:v>Partial proposal</x:v>
      </x:c>
      <x:c r="N182" s="4" t="str">
        <x:f>IF(IFERROR(INDEX('Material routes'!$I$6:$I$1005,MATCH(U182,'Material routes'!$A$6:$A$1005,0)),"MISSING ID")=0,"",IFERROR(INDEX('Material routes'!$I$6:$I$1005,MATCH(U182,'Material routes'!$A$6:$A$1005,0)),"MISSING ID"))</x:f>
      </x:c>
      <x:c r="O182" s="4" t="str">
        <x:f>IFERROR(INDEX('Material routes'!$J$6:$J$1005,MATCH(U182,'Material routes'!$A$6:$A$1005,0)),"MISSING ID")</x:f>
        <x:v>Unspecified</x:v>
      </x:c>
      <x:c r="P182" s="4" t="str">
        <x:f>IF(IFERROR(INDEX('Material routes'!$I$6:$I$1005,MATCH(V182,'Material routes'!$A$6:$A$1005,0)),"MISSING ID")=0,"",IFERROR(INDEX('Material routes'!$I$6:$I$1005,MATCH(V182,'Material routes'!$A$6:$A$1005,0)),"MISSING ID"))</x:f>
      </x:c>
      <x:c r="Q182" s="4" t="str">
        <x:f>IFERROR(INDEX('Material routes'!$J$6:$J$1005,MATCH(V182,'Material routes'!$A$6:$A$1005,0)),"MISSING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routes'!$D$6:$D$1005,MATCH(U182,'Material routes'!$A$6:$A$1005,0)),"MISSING ID")</x:f>
        <x:v>proposal.natural.ceramic</x:v>
      </x:c>
      <x:c r="T182" s="4" t="str">
        <x:f>IFERROR(INDEX('Material routes'!$D$6:$D$1005,MATCH(V182,'Material routes'!$A$6:$A$1005,0)),"MISSING ID")</x:f>
        <x:v>proposal.t3.wound_coil</x:v>
      </x:c>
      <x:c r="U182" s="4" t="str">
        <x:v>design.t3.wound_coil.in.2</x:v>
      </x:c>
      <x:c r="V182" s="4" t="str">
        <x:v>design.t3.wound_coil.out</x:v>
      </x:c>
    </x:row>
    <x:row r="183" ht="115" customHeight="1">
      <x:c r="A183" s="4" t="str">
        <x:f>IFERROR(INDEX('Material routes'!$E$6:$E$1005,MATCH(U183,'Material routes'!$A$6:$A$1005,0)),"MISSING ID")</x:f>
        <x:v>Drawn copper stock</x:v>
      </x:c>
      <x:c r="B183" s="4" t="str">
        <x:f>IFERROR(INDEX('Material routes'!$F$6:$F$1005,MATCH(U183,'Material routes'!$A$6:$A$1005,0)),"MISSING ID")</x:f>
        <x:v>T2</x:v>
      </x:c>
      <x:c r="C183" s="4" t="str">
        <x:f>IFERROR(INDEX('Material routes'!$H$6:$H$1005,MATCH(U183,'Material routes'!$A$6:$A$1005,0)),"MISSING ID")</x:f>
        <x:v>Processed material</x:v>
      </x:c>
      <x:c r="D183" s="4" t="str">
        <x:f>IFERROR(INDEX('Material routes'!$G$6:$G$1005,MATCH(U183,'Material routes'!$A$6:$A$1005,0)),"MISSING ID")</x:f>
        <x:v>Resources</x:v>
      </x:c>
      <x:c r="E183" s="4" t="str">
        <x:f>IFERROR(INDEX('Material routes'!$C$6:$C$1005,MATCH(U183,'Material routes'!$A$6:$A$1005,0)),"MISSING ID")</x:f>
        <x:v>Ingredient candidate</x:v>
      </x:c>
      <x:c r="F183" s="4" t="str">
        <x:f>IFERROR(INDEX('Material routes'!$E$6:$E$1005,MATCH(V183,'Material routes'!$A$6:$A$1005,0)),"MISSING ID")</x:f>
        <x:v>Woven copper mesh stock</x:v>
      </x:c>
      <x:c r="G183" s="4" t="str">
        <x:f>IFERROR(INDEX('Material routes'!$F$6:$F$1005,MATCH(V183,'Material routes'!$A$6:$A$1005,0)),"MISSING ID")</x:f>
        <x:v>T3</x:v>
      </x:c>
      <x:c r="H183" s="4" t="str">
        <x:f>IFERROR(INDEX('Material routes'!$H$6:$H$1005,MATCH(V183,'Material routes'!$A$6:$A$1005,0)),"MISSING ID")</x:f>
        <x:v>Processed material</x:v>
      </x:c>
      <x:c r="I183" s="4" t="str">
        <x:f>IFERROR(INDEX('Material routes'!$G$6:$G$1005,MATCH(V183,'Material routes'!$A$6:$A$1005,0)),"MISSING ID")</x:f>
        <x:v>Resources</x:v>
      </x:c>
      <x:c r="J183" s="4" t="str">
        <x:f>IFERROR(INDEX('Material routes'!$B$6:$B$1005,MATCH(U183,'Material routes'!$A$6:$A$1005,0)),"MISSING ID")</x:f>
        <x:v>design.t3.copper_mesh</x:v>
      </x:c>
      <x:c r="K183" s="4" t="str">
        <x:f>IFERROR(INDEX('Crafting recipes'!$C$6:$C$1005,MATCH(J183,'Crafting recipes'!$A$6:$A$1005,0)),"MISSING ID")</x:f>
        <x:v>Material refinement</x:v>
      </x:c>
      <x:c r="L183" s="4" t="str">
        <x:f>IFERROR(INDEX('Material routes'!$K$6:$K$1005,MATCH(U183,'Material routes'!$A$6:$A$1005,0)),"MISSING ID")</x:f>
        <x:v>Proposal</x:v>
      </x:c>
      <x:c r="M183" s="4" t="str">
        <x:f>IFERROR(INDEX('Material routes'!$M$6:$M$1005,MATCH(U183,'Material routes'!$A$6:$A$1005,0)),"MISSING ID")</x:f>
        <x:v>Partial proposal</x:v>
      </x:c>
      <x:c r="N183" s="4" t="str">
        <x:f>IF(IFERROR(INDEX('Material routes'!$I$6:$I$1005,MATCH(U183,'Material routes'!$A$6:$A$1005,0)),"MISSING ID")=0,"",IFERROR(INDEX('Material routes'!$I$6:$I$1005,MATCH(U183,'Material routes'!$A$6:$A$1005,0)),"MISSING ID"))</x:f>
      </x:c>
      <x:c r="O183" s="4" t="str">
        <x:f>IFERROR(INDEX('Material routes'!$J$6:$J$1005,MATCH(U183,'Material routes'!$A$6:$A$1005,0)),"MISSING ID")</x:f>
        <x:v>Unspecified</x:v>
      </x:c>
      <x:c r="P183" s="4" t="str">
        <x:f>IF(IFERROR(INDEX('Material routes'!$I$6:$I$1005,MATCH(V183,'Material routes'!$A$6:$A$1005,0)),"MISSING ID")=0,"",IFERROR(INDEX('Material routes'!$I$6:$I$1005,MATCH(V183,'Material routes'!$A$6:$A$1005,0)),"MISSING ID"))</x:f>
      </x:c>
      <x:c r="Q183" s="4" t="str">
        <x:f>IFERROR(INDEX('Material routes'!$J$6:$J$1005,MATCH(V183,'Material routes'!$A$6:$A$1005,0)),"MISSING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routes'!$D$6:$D$1005,MATCH(U183,'Material routes'!$A$6:$A$1005,0)),"MISSING ID")</x:f>
        <x:v>proposal.branch.drawn_copper</x:v>
      </x:c>
      <x:c r="T183" s="4" t="str">
        <x:f>IFERROR(INDEX('Material routes'!$D$6:$D$1005,MATCH(V183,'Material routes'!$A$6:$A$1005,0)),"MISSING ID")</x:f>
        <x:v>proposal.t3.copper_mesh</x:v>
      </x:c>
      <x:c r="U183" s="4" t="str">
        <x:v>design.t3.copper_mesh.in.1</x:v>
      </x:c>
      <x:c r="V183" s="4" t="str">
        <x:v>design.t3.copper_mesh.out</x:v>
      </x:c>
    </x:row>
    <x:row r="184" ht="115" customHeight="1">
      <x:c r="A184" s="4" t="str">
        <x:f>IFERROR(INDEX('Material routes'!$E$6:$E$1005,MATCH(U184,'Material routes'!$A$6:$A$1005,0)),"MISSING ID")</x:f>
        <x:v>Insulating ceramic blanks</x:v>
      </x:c>
      <x:c r="B184" s="4" t="str">
        <x:f>IFERROR(INDEX('Material routes'!$F$6:$F$1005,MATCH(U184,'Material routes'!$A$6:$A$1005,0)),"MISSING ID")</x:f>
        <x:v>T2</x:v>
      </x:c>
      <x:c r="C184" s="4" t="str">
        <x:f>IFERROR(INDEX('Material routes'!$H$6:$H$1005,MATCH(U184,'Material routes'!$A$6:$A$1005,0)),"MISSING ID")</x:f>
        <x:v>Processed material</x:v>
      </x:c>
      <x:c r="D184" s="4" t="str">
        <x:f>IFERROR(INDEX('Material routes'!$G$6:$G$1005,MATCH(U184,'Material routes'!$A$6:$A$1005,0)),"MISSING ID")</x:f>
        <x:v>Resources</x:v>
      </x:c>
      <x:c r="E184" s="4" t="str">
        <x:f>IFERROR(INDEX('Material routes'!$C$6:$C$1005,MATCH(U184,'Material routes'!$A$6:$A$1005,0)),"MISSING ID")</x:f>
        <x:v>Ingredient candidate</x:v>
      </x:c>
      <x:c r="F184" s="4" t="str">
        <x:f>IFERROR(INDEX('Material routes'!$E$6:$E$1005,MATCH(V184,'Material routes'!$A$6:$A$1005,0)),"MISSING ID")</x:f>
        <x:v>Fitted ceramic contact mounts</x:v>
      </x:c>
      <x:c r="G184" s="4" t="str">
        <x:f>IFERROR(INDEX('Material routes'!$F$6:$F$1005,MATCH(V184,'Material routes'!$A$6:$A$1005,0)),"MISSING ID")</x:f>
        <x:v>T3</x:v>
      </x:c>
      <x:c r="H184" s="4" t="str">
        <x:f>IFERROR(INDEX('Material routes'!$H$6:$H$1005,MATCH(V184,'Material routes'!$A$6:$A$1005,0)),"MISSING ID")</x:f>
        <x:v>Crafting component</x:v>
      </x:c>
      <x:c r="I184" s="4" t="str">
        <x:f>IFERROR(INDEX('Material routes'!$G$6:$G$1005,MATCH(V184,'Material routes'!$A$6:$A$1005,0)),"MISSING ID")</x:f>
        <x:v>Crafting components</x:v>
      </x:c>
      <x:c r="J184" s="4" t="str">
        <x:f>IFERROR(INDEX('Material routes'!$B$6:$B$1005,MATCH(U184,'Material routes'!$A$6:$A$1005,0)),"MISSING ID")</x:f>
        <x:v>design.t3.contact_mount</x:v>
      </x:c>
      <x:c r="K184" s="4" t="str">
        <x:f>IFERROR(INDEX('Crafting recipes'!$C$6:$C$1005,MATCH(J184,'Crafting recipes'!$A$6:$A$1005,0)),"MISSING ID")</x:f>
        <x:v>Material refinement</x:v>
      </x:c>
      <x:c r="L184" s="4" t="str">
        <x:f>IFERROR(INDEX('Material routes'!$K$6:$K$1005,MATCH(U184,'Material routes'!$A$6:$A$1005,0)),"MISSING ID")</x:f>
        <x:v>Proposal</x:v>
      </x:c>
      <x:c r="M184" s="4" t="str">
        <x:f>IFERROR(INDEX('Material routes'!$M$6:$M$1005,MATCH(U184,'Material routes'!$A$6:$A$1005,0)),"MISSING ID")</x:f>
        <x:v>Partial proposal</x:v>
      </x:c>
      <x:c r="N184" s="4" t="str">
        <x:f>IF(IFERROR(INDEX('Material routes'!$I$6:$I$1005,MATCH(U184,'Material routes'!$A$6:$A$1005,0)),"MISSING ID")=0,"",IFERROR(INDEX('Material routes'!$I$6:$I$1005,MATCH(U184,'Material routes'!$A$6:$A$1005,0)),"MISSING ID"))</x:f>
      </x:c>
      <x:c r="O184" s="4" t="str">
        <x:f>IFERROR(INDEX('Material routes'!$J$6:$J$1005,MATCH(U184,'Material routes'!$A$6:$A$1005,0)),"MISSING ID")</x:f>
        <x:v>Unspecified</x:v>
      </x:c>
      <x:c r="P184" s="4" t="str">
        <x:f>IF(IFERROR(INDEX('Material routes'!$I$6:$I$1005,MATCH(V184,'Material routes'!$A$6:$A$1005,0)),"MISSING ID")=0,"",IFERROR(INDEX('Material routes'!$I$6:$I$1005,MATCH(V184,'Material routes'!$A$6:$A$1005,0)),"MISSING ID"))</x:f>
      </x:c>
      <x:c r="Q184" s="4" t="str">
        <x:f>IFERROR(INDEX('Material routes'!$J$6:$J$1005,MATCH(V184,'Material routes'!$A$6:$A$1005,0)),"MISSING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routes'!$D$6:$D$1005,MATCH(U184,'Material routes'!$A$6:$A$1005,0)),"MISSING ID")</x:f>
        <x:v>proposal.natural.ceramic</x:v>
      </x:c>
      <x:c r="T184" s="4" t="str">
        <x:f>IFERROR(INDEX('Material routes'!$D$6:$D$1005,MATCH(V184,'Material routes'!$A$6:$A$1005,0)),"MISSING ID")</x:f>
        <x:v>proposal.t3.contact_mount</x:v>
      </x:c>
      <x:c r="U184" s="4" t="str">
        <x:v>design.t3.contact_mount.in.1</x:v>
      </x:c>
      <x:c r="V184" s="4" t="str">
        <x:v>design.t3.contact_mount.out</x:v>
      </x:c>
    </x:row>
    <x:row r="185" ht="115" customHeight="1">
      <x:c r="A185" s="4" t="str">
        <x:f>IFERROR(INDEX('Material routes'!$E$6:$E$1005,MATCH(U185,'Material routes'!$A$6:$A$1005,0)),"MISSING ID")</x:f>
        <x:v>Drawn copper stock</x:v>
      </x:c>
      <x:c r="B185" s="4" t="str">
        <x:f>IFERROR(INDEX('Material routes'!$F$6:$F$1005,MATCH(U185,'Material routes'!$A$6:$A$1005,0)),"MISSING ID")</x:f>
        <x:v>T2</x:v>
      </x:c>
      <x:c r="C185" s="4" t="str">
        <x:f>IFERROR(INDEX('Material routes'!$H$6:$H$1005,MATCH(U185,'Material routes'!$A$6:$A$1005,0)),"MISSING ID")</x:f>
        <x:v>Processed material</x:v>
      </x:c>
      <x:c r="D185" s="4" t="str">
        <x:f>IFERROR(INDEX('Material routes'!$G$6:$G$1005,MATCH(U185,'Material routes'!$A$6:$A$1005,0)),"MISSING ID")</x:f>
        <x:v>Resources</x:v>
      </x:c>
      <x:c r="E185" s="4" t="str">
        <x:f>IFERROR(INDEX('Material routes'!$C$6:$C$1005,MATCH(U185,'Material routes'!$A$6:$A$1005,0)),"MISSING ID")</x:f>
        <x:v>Ingredient candidate</x:v>
      </x:c>
      <x:c r="F185" s="4" t="str">
        <x:f>IFERROR(INDEX('Material routes'!$E$6:$E$1005,MATCH(V185,'Material routes'!$A$6:$A$1005,0)),"MISSING ID")</x:f>
        <x:v>Fitted ceramic contact mounts</x:v>
      </x:c>
      <x:c r="G185" s="4" t="str">
        <x:f>IFERROR(INDEX('Material routes'!$F$6:$F$1005,MATCH(V185,'Material routes'!$A$6:$A$1005,0)),"MISSING ID")</x:f>
        <x:v>T3</x:v>
      </x:c>
      <x:c r="H185" s="4" t="str">
        <x:f>IFERROR(INDEX('Material routes'!$H$6:$H$1005,MATCH(V185,'Material routes'!$A$6:$A$1005,0)),"MISSING ID")</x:f>
        <x:v>Crafting component</x:v>
      </x:c>
      <x:c r="I185" s="4" t="str">
        <x:f>IFERROR(INDEX('Material routes'!$G$6:$G$1005,MATCH(V185,'Material routes'!$A$6:$A$1005,0)),"MISSING ID")</x:f>
        <x:v>Crafting components</x:v>
      </x:c>
      <x:c r="J185" s="4" t="str">
        <x:f>IFERROR(INDEX('Material routes'!$B$6:$B$1005,MATCH(U185,'Material routes'!$A$6:$A$1005,0)),"MISSING ID")</x:f>
        <x:v>design.t3.contact_mount</x:v>
      </x:c>
      <x:c r="K185" s="4" t="str">
        <x:f>IFERROR(INDEX('Crafting recipes'!$C$6:$C$1005,MATCH(J185,'Crafting recipes'!$A$6:$A$1005,0)),"MISSING ID")</x:f>
        <x:v>Material refinement</x:v>
      </x:c>
      <x:c r="L185" s="4" t="str">
        <x:f>IFERROR(INDEX('Material routes'!$K$6:$K$1005,MATCH(U185,'Material routes'!$A$6:$A$1005,0)),"MISSING ID")</x:f>
        <x:v>Proposal</x:v>
      </x:c>
      <x:c r="M185" s="4" t="str">
        <x:f>IFERROR(INDEX('Material routes'!$M$6:$M$1005,MATCH(U185,'Material routes'!$A$6:$A$1005,0)),"MISSING ID")</x:f>
        <x:v>Partial proposal</x:v>
      </x:c>
      <x:c r="N185" s="4" t="str">
        <x:f>IF(IFERROR(INDEX('Material routes'!$I$6:$I$1005,MATCH(U185,'Material routes'!$A$6:$A$1005,0)),"MISSING ID")=0,"",IFERROR(INDEX('Material routes'!$I$6:$I$1005,MATCH(U185,'Material routes'!$A$6:$A$1005,0)),"MISSING ID"))</x:f>
      </x:c>
      <x:c r="O185" s="4" t="str">
        <x:f>IFERROR(INDEX('Material routes'!$J$6:$J$1005,MATCH(U185,'Material routes'!$A$6:$A$1005,0)),"MISSING ID")</x:f>
        <x:v>Unspecified</x:v>
      </x:c>
      <x:c r="P185" s="4" t="str">
        <x:f>IF(IFERROR(INDEX('Material routes'!$I$6:$I$1005,MATCH(V185,'Material routes'!$A$6:$A$1005,0)),"MISSING ID")=0,"",IFERROR(INDEX('Material routes'!$I$6:$I$1005,MATCH(V185,'Material routes'!$A$6:$A$1005,0)),"MISSING ID"))</x:f>
      </x:c>
      <x:c r="Q185" s="4" t="str">
        <x:f>IFERROR(INDEX('Material routes'!$J$6:$J$1005,MATCH(V185,'Material routes'!$A$6:$A$1005,0)),"MISSING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routes'!$D$6:$D$1005,MATCH(U185,'Material routes'!$A$6:$A$1005,0)),"MISSING ID")</x:f>
        <x:v>proposal.branch.drawn_copper</x:v>
      </x:c>
      <x:c r="T185" s="4" t="str">
        <x:f>IFERROR(INDEX('Material routes'!$D$6:$D$1005,MATCH(V185,'Material routes'!$A$6:$A$1005,0)),"MISSING ID")</x:f>
        <x:v>proposal.t3.contact_mount</x:v>
      </x:c>
      <x:c r="U185" s="4" t="str">
        <x:v>design.t3.contact_mount.in.2</x:v>
      </x:c>
      <x:c r="V185" s="4" t="str">
        <x:v>design.t3.contact_mount.out</x:v>
      </x:c>
    </x:row>
    <x:row r="186" ht="115" customHeight="1">
      <x:c r="A186" s="4" t="str">
        <x:f>IFERROR(INDEX('Material routes'!$E$6:$E$1005,MATCH(U186,'Material routes'!$A$6:$A$1005,0)),"MISSING ID")</x:f>
        <x:v>Insulating ceramic blanks</x:v>
      </x:c>
      <x:c r="B186" s="4" t="str">
        <x:f>IFERROR(INDEX('Material routes'!$F$6:$F$1005,MATCH(U186,'Material routes'!$A$6:$A$1005,0)),"MISSING ID")</x:f>
        <x:v>T2</x:v>
      </x:c>
      <x:c r="C186" s="4" t="str">
        <x:f>IFERROR(INDEX('Material routes'!$H$6:$H$1005,MATCH(U186,'Material routes'!$A$6:$A$1005,0)),"MISSING ID")</x:f>
        <x:v>Processed material</x:v>
      </x:c>
      <x:c r="D186" s="4" t="str">
        <x:f>IFERROR(INDEX('Material routes'!$G$6:$G$1005,MATCH(U186,'Material routes'!$A$6:$A$1005,0)),"MISSING ID")</x:f>
        <x:v>Resources</x:v>
      </x:c>
      <x:c r="E186" s="4" t="str">
        <x:f>IFERROR(INDEX('Material routes'!$C$6:$C$1005,MATCH(U186,'Material routes'!$A$6:$A$1005,0)),"MISSING ID")</x:f>
        <x:v>Ingredient candidate</x:v>
      </x:c>
      <x:c r="F186" s="4" t="str">
        <x:f>IFERROR(INDEX('Material routes'!$E$6:$E$1005,MATCH(V186,'Material routes'!$A$6:$A$1005,0)),"MISSING ID")</x:f>
        <x:v>Ceramic-metal feedthrough blanks</x:v>
      </x:c>
      <x:c r="G186" s="4" t="str">
        <x:f>IFERROR(INDEX('Material routes'!$F$6:$F$1005,MATCH(V186,'Material routes'!$A$6:$A$1005,0)),"MISSING ID")</x:f>
        <x:v>T3</x:v>
      </x:c>
      <x:c r="H186" s="4" t="str">
        <x:f>IFERROR(INDEX('Material routes'!$H$6:$H$1005,MATCH(V186,'Material routes'!$A$6:$A$1005,0)),"MISSING ID")</x:f>
        <x:v>Crafting component</x:v>
      </x:c>
      <x:c r="I186" s="4" t="str">
        <x:f>IFERROR(INDEX('Material routes'!$G$6:$G$1005,MATCH(V186,'Material routes'!$A$6:$A$1005,0)),"MISSING ID")</x:f>
        <x:v>Crafting components</x:v>
      </x:c>
      <x:c r="J186" s="4" t="str">
        <x:f>IFERROR(INDEX('Material routes'!$B$6:$B$1005,MATCH(U186,'Material routes'!$A$6:$A$1005,0)),"MISSING ID")</x:f>
        <x:v>design.t3.feedthrough_blank</x:v>
      </x:c>
      <x:c r="K186" s="4" t="str">
        <x:f>IFERROR(INDEX('Crafting recipes'!$C$6:$C$1005,MATCH(J186,'Crafting recipes'!$A$6:$A$1005,0)),"MISSING ID")</x:f>
        <x:v>Material refinement</x:v>
      </x:c>
      <x:c r="L186" s="4" t="str">
        <x:f>IFERROR(INDEX('Material routes'!$K$6:$K$1005,MATCH(U186,'Material routes'!$A$6:$A$1005,0)),"MISSING ID")</x:f>
        <x:v>Proposal</x:v>
      </x:c>
      <x:c r="M186" s="4" t="str">
        <x:f>IFERROR(INDEX('Material routes'!$M$6:$M$1005,MATCH(U186,'Material routes'!$A$6:$A$1005,0)),"MISSING ID")</x:f>
        <x:v>Partial proposal</x:v>
      </x:c>
      <x:c r="N186" s="4" t="str">
        <x:f>IF(IFERROR(INDEX('Material routes'!$I$6:$I$1005,MATCH(U186,'Material routes'!$A$6:$A$1005,0)),"MISSING ID")=0,"",IFERROR(INDEX('Material routes'!$I$6:$I$1005,MATCH(U186,'Material routes'!$A$6:$A$1005,0)),"MISSING ID"))</x:f>
      </x:c>
      <x:c r="O186" s="4" t="str">
        <x:f>IFERROR(INDEX('Material routes'!$J$6:$J$1005,MATCH(U186,'Material routes'!$A$6:$A$1005,0)),"MISSING ID")</x:f>
        <x:v>Unspecified</x:v>
      </x:c>
      <x:c r="P186" s="4" t="str">
        <x:f>IF(IFERROR(INDEX('Material routes'!$I$6:$I$1005,MATCH(V186,'Material routes'!$A$6:$A$1005,0)),"MISSING ID")=0,"",IFERROR(INDEX('Material routes'!$I$6:$I$1005,MATCH(V186,'Material routes'!$A$6:$A$1005,0)),"MISSING ID"))</x:f>
      </x:c>
      <x:c r="Q186" s="4" t="str">
        <x:f>IFERROR(INDEX('Material routes'!$J$6:$J$1005,MATCH(V186,'Material routes'!$A$6:$A$1005,0)),"MISSING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routes'!$D$6:$D$1005,MATCH(U186,'Material routes'!$A$6:$A$1005,0)),"MISSING ID")</x:f>
        <x:v>proposal.natural.ceramic</x:v>
      </x:c>
      <x:c r="T186" s="4" t="str">
        <x:f>IFERROR(INDEX('Material routes'!$D$6:$D$1005,MATCH(V186,'Material routes'!$A$6:$A$1005,0)),"MISSING ID")</x:f>
        <x:v>proposal.t3.feedthrough_blank</x:v>
      </x:c>
      <x:c r="U186" s="4" t="str">
        <x:v>design.t3.feedthrough_blank.in.1</x:v>
      </x:c>
      <x:c r="V186" s="4" t="str">
        <x:v>design.t3.feedthrough_blank.out</x:v>
      </x:c>
    </x:row>
    <x:row r="187" ht="115" customHeight="1">
      <x:c r="A187" s="4" t="str">
        <x:f>IFERROR(INDEX('Material routes'!$E$6:$E$1005,MATCH(U187,'Material routes'!$A$6:$A$1005,0)),"MISSING ID")</x:f>
        <x:v>Drawn copper stock</x:v>
      </x:c>
      <x:c r="B187" s="4" t="str">
        <x:f>IFERROR(INDEX('Material routes'!$F$6:$F$1005,MATCH(U187,'Material routes'!$A$6:$A$1005,0)),"MISSING ID")</x:f>
        <x:v>T2</x:v>
      </x:c>
      <x:c r="C187" s="4" t="str">
        <x:f>IFERROR(INDEX('Material routes'!$H$6:$H$1005,MATCH(U187,'Material routes'!$A$6:$A$1005,0)),"MISSING ID")</x:f>
        <x:v>Processed material</x:v>
      </x:c>
      <x:c r="D187" s="4" t="str">
        <x:f>IFERROR(INDEX('Material routes'!$G$6:$G$1005,MATCH(U187,'Material routes'!$A$6:$A$1005,0)),"MISSING ID")</x:f>
        <x:v>Resources</x:v>
      </x:c>
      <x:c r="E187" s="4" t="str">
        <x:f>IFERROR(INDEX('Material routes'!$C$6:$C$1005,MATCH(U187,'Material routes'!$A$6:$A$1005,0)),"MISSING ID")</x:f>
        <x:v>Ingredient candidate</x:v>
      </x:c>
      <x:c r="F187" s="4" t="str">
        <x:f>IFERROR(INDEX('Material routes'!$E$6:$E$1005,MATCH(V187,'Material routes'!$A$6:$A$1005,0)),"MISSING ID")</x:f>
        <x:v>Ceramic-metal feedthrough blanks</x:v>
      </x:c>
      <x:c r="G187" s="4" t="str">
        <x:f>IFERROR(INDEX('Material routes'!$F$6:$F$1005,MATCH(V187,'Material routes'!$A$6:$A$1005,0)),"MISSING ID")</x:f>
        <x:v>T3</x:v>
      </x:c>
      <x:c r="H187" s="4" t="str">
        <x:f>IFERROR(INDEX('Material routes'!$H$6:$H$1005,MATCH(V187,'Material routes'!$A$6:$A$1005,0)),"MISSING ID")</x:f>
        <x:v>Crafting component</x:v>
      </x:c>
      <x:c r="I187" s="4" t="str">
        <x:f>IFERROR(INDEX('Material routes'!$G$6:$G$1005,MATCH(V187,'Material routes'!$A$6:$A$1005,0)),"MISSING ID")</x:f>
        <x:v>Crafting components</x:v>
      </x:c>
      <x:c r="J187" s="4" t="str">
        <x:f>IFERROR(INDEX('Material routes'!$B$6:$B$1005,MATCH(U187,'Material routes'!$A$6:$A$1005,0)),"MISSING ID")</x:f>
        <x:v>design.t3.feedthrough_blank</x:v>
      </x:c>
      <x:c r="K187" s="4" t="str">
        <x:f>IFERROR(INDEX('Crafting recipes'!$C$6:$C$1005,MATCH(J187,'Crafting recipes'!$A$6:$A$1005,0)),"MISSING ID")</x:f>
        <x:v>Material refinement</x:v>
      </x:c>
      <x:c r="L187" s="4" t="str">
        <x:f>IFERROR(INDEX('Material routes'!$K$6:$K$1005,MATCH(U187,'Material routes'!$A$6:$A$1005,0)),"MISSING ID")</x:f>
        <x:v>Proposal</x:v>
      </x:c>
      <x:c r="M187" s="4" t="str">
        <x:f>IFERROR(INDEX('Material routes'!$M$6:$M$1005,MATCH(U187,'Material routes'!$A$6:$A$1005,0)),"MISSING ID")</x:f>
        <x:v>Partial proposal</x:v>
      </x:c>
      <x:c r="N187" s="4" t="str">
        <x:f>IF(IFERROR(INDEX('Material routes'!$I$6:$I$1005,MATCH(U187,'Material routes'!$A$6:$A$1005,0)),"MISSING ID")=0,"",IFERROR(INDEX('Material routes'!$I$6:$I$1005,MATCH(U187,'Material routes'!$A$6:$A$1005,0)),"MISSING ID"))</x:f>
      </x:c>
      <x:c r="O187" s="4" t="str">
        <x:f>IFERROR(INDEX('Material routes'!$J$6:$J$1005,MATCH(U187,'Material routes'!$A$6:$A$1005,0)),"MISSING ID")</x:f>
        <x:v>Unspecified</x:v>
      </x:c>
      <x:c r="P187" s="4" t="str">
        <x:f>IF(IFERROR(INDEX('Material routes'!$I$6:$I$1005,MATCH(V187,'Material routes'!$A$6:$A$1005,0)),"MISSING ID")=0,"",IFERROR(INDEX('Material routes'!$I$6:$I$1005,MATCH(V187,'Material routes'!$A$6:$A$1005,0)),"MISSING ID"))</x:f>
      </x:c>
      <x:c r="Q187" s="4" t="str">
        <x:f>IFERROR(INDEX('Material routes'!$J$6:$J$1005,MATCH(V187,'Material routes'!$A$6:$A$1005,0)),"MISSING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routes'!$D$6:$D$1005,MATCH(U187,'Material routes'!$A$6:$A$1005,0)),"MISSING ID")</x:f>
        <x:v>proposal.branch.drawn_copper</x:v>
      </x:c>
      <x:c r="T187" s="4" t="str">
        <x:f>IFERROR(INDEX('Material routes'!$D$6:$D$1005,MATCH(V187,'Material routes'!$A$6:$A$1005,0)),"MISSING ID")</x:f>
        <x:v>proposal.t3.feedthrough_blank</x:v>
      </x:c>
      <x:c r="U187" s="4" t="str">
        <x:v>design.t3.feedthrough_blank.in.2</x:v>
      </x:c>
      <x:c r="V187" s="4" t="str">
        <x:v>design.t3.feedthrough_blank.out</x:v>
      </x:c>
    </x:row>
    <x:row r="188" ht="115" customHeight="1">
      <x:c r="A188" s="4" t="str">
        <x:f>IFERROR(INDEX('Material routes'!$E$6:$E$1005,MATCH(U188,'Material routes'!$A$6:$A$1005,0)),"MISSING ID")</x:f>
        <x:v>Filled faunal seal compound</x:v>
      </x:c>
      <x:c r="B188" s="4" t="str">
        <x:f>IFERROR(INDEX('Material routes'!$F$6:$F$1005,MATCH(U188,'Material routes'!$A$6:$A$1005,0)),"MISSING ID")</x:f>
        <x:v>T2</x:v>
      </x:c>
      <x:c r="C188" s="4" t="str">
        <x:f>IFERROR(INDEX('Material routes'!$H$6:$H$1005,MATCH(U188,'Material routes'!$A$6:$A$1005,0)),"MISSING ID")</x:f>
        <x:v>Chemical material</x:v>
      </x:c>
      <x:c r="D188" s="4" t="str">
        <x:f>IFERROR(INDEX('Material routes'!$G$6:$G$1005,MATCH(U188,'Material routes'!$A$6:$A$1005,0)),"MISSING ID")</x:f>
        <x:v>Resources</x:v>
      </x:c>
      <x:c r="E188" s="4" t="str">
        <x:f>IFERROR(INDEX('Material routes'!$C$6:$C$1005,MATCH(U188,'Material routes'!$A$6:$A$1005,0)),"MISSING ID")</x:f>
        <x:v>Ingredient candidate</x:v>
      </x:c>
      <x:c r="F188" s="4" t="str">
        <x:f>IFERROR(INDEX('Material routes'!$E$6:$E$1005,MATCH(V188,'Material routes'!$A$6:$A$1005,0)),"MISSING ID")</x:f>
        <x:v>Ceramic-metal feedthrough blanks</x:v>
      </x:c>
      <x:c r="G188" s="4" t="str">
        <x:f>IFERROR(INDEX('Material routes'!$F$6:$F$1005,MATCH(V188,'Material routes'!$A$6:$A$1005,0)),"MISSING ID")</x:f>
        <x:v>T3</x:v>
      </x:c>
      <x:c r="H188" s="4" t="str">
        <x:f>IFERROR(INDEX('Material routes'!$H$6:$H$1005,MATCH(V188,'Material routes'!$A$6:$A$1005,0)),"MISSING ID")</x:f>
        <x:v>Crafting component</x:v>
      </x:c>
      <x:c r="I188" s="4" t="str">
        <x:f>IFERROR(INDEX('Material routes'!$G$6:$G$1005,MATCH(V188,'Material routes'!$A$6:$A$1005,0)),"MISSING ID")</x:f>
        <x:v>Crafting components</x:v>
      </x:c>
      <x:c r="J188" s="4" t="str">
        <x:f>IFERROR(INDEX('Material routes'!$B$6:$B$1005,MATCH(U188,'Material routes'!$A$6:$A$1005,0)),"MISSING ID")</x:f>
        <x:v>design.t3.feedthrough_blank</x:v>
      </x:c>
      <x:c r="K188" s="4" t="str">
        <x:f>IFERROR(INDEX('Crafting recipes'!$C$6:$C$1005,MATCH(J188,'Crafting recipes'!$A$6:$A$1005,0)),"MISSING ID")</x:f>
        <x:v>Material refinement</x:v>
      </x:c>
      <x:c r="L188" s="4" t="str">
        <x:f>IFERROR(INDEX('Material routes'!$K$6:$K$1005,MATCH(U188,'Material routes'!$A$6:$A$1005,0)),"MISSING ID")</x:f>
        <x:v>Proposal</x:v>
      </x:c>
      <x:c r="M188" s="4" t="str">
        <x:f>IFERROR(INDEX('Material routes'!$M$6:$M$1005,MATCH(U188,'Material routes'!$A$6:$A$1005,0)),"MISSING ID")</x:f>
        <x:v>Partial proposal</x:v>
      </x:c>
      <x:c r="N188" s="4" t="str">
        <x:f>IF(IFERROR(INDEX('Material routes'!$I$6:$I$1005,MATCH(U188,'Material routes'!$A$6:$A$1005,0)),"MISSING ID")=0,"",IFERROR(INDEX('Material routes'!$I$6:$I$1005,MATCH(U188,'Material routes'!$A$6:$A$1005,0)),"MISSING ID"))</x:f>
      </x:c>
      <x:c r="O188" s="4" t="str">
        <x:f>IFERROR(INDEX('Material routes'!$J$6:$J$1005,MATCH(U188,'Material routes'!$A$6:$A$1005,0)),"MISSING ID")</x:f>
        <x:v>Unspecified</x:v>
      </x:c>
      <x:c r="P188" s="4" t="str">
        <x:f>IF(IFERROR(INDEX('Material routes'!$I$6:$I$1005,MATCH(V188,'Material routes'!$A$6:$A$1005,0)),"MISSING ID")=0,"",IFERROR(INDEX('Material routes'!$I$6:$I$1005,MATCH(V188,'Material routes'!$A$6:$A$1005,0)),"MISSING ID"))</x:f>
      </x:c>
      <x:c r="Q188" s="4" t="str">
        <x:f>IFERROR(INDEX('Material routes'!$J$6:$J$1005,MATCH(V188,'Material routes'!$A$6:$A$1005,0)),"MISSING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routes'!$D$6:$D$1005,MATCH(U188,'Material routes'!$A$6:$A$1005,0)),"MISSING ID")</x:f>
        <x:v>proposal.branch.filled_seal</x:v>
      </x:c>
      <x:c r="T188" s="4" t="str">
        <x:f>IFERROR(INDEX('Material routes'!$D$6:$D$1005,MATCH(V188,'Material routes'!$A$6:$A$1005,0)),"MISSING ID")</x:f>
        <x:v>proposal.t3.feedthrough_blank</x:v>
      </x:c>
      <x:c r="U188" s="4" t="str">
        <x:v>design.t3.feedthrough_blank.in.3</x:v>
      </x:c>
      <x:c r="V188" s="4" t="str">
        <x:v>design.t3.feedthrough_blank.out</x:v>
      </x:c>
    </x:row>
    <x:row r="189" ht="115" customHeight="1">
      <x:c r="A189" s="4" t="str">
        <x:f>IFERROR(INDEX('Material routes'!$E$6:$E$1005,MATCH(U189,'Material routes'!$A$6:$A$1005,0)),"MISSING ID")</x:f>
        <x:v>Insulating ceramic blanks</x:v>
      </x:c>
      <x:c r="B189" s="4" t="str">
        <x:f>IFERROR(INDEX('Material routes'!$F$6:$F$1005,MATCH(U189,'Material routes'!$A$6:$A$1005,0)),"MISSING ID")</x:f>
        <x:v>T2</x:v>
      </x:c>
      <x:c r="C189" s="4" t="str">
        <x:f>IFERROR(INDEX('Material routes'!$H$6:$H$1005,MATCH(U189,'Material routes'!$A$6:$A$1005,0)),"MISSING ID")</x:f>
        <x:v>Processed material</x:v>
      </x:c>
      <x:c r="D189" s="4" t="str">
        <x:f>IFERROR(INDEX('Material routes'!$G$6:$G$1005,MATCH(U189,'Material routes'!$A$6:$A$1005,0)),"MISSING ID")</x:f>
        <x:v>Resources</x:v>
      </x:c>
      <x:c r="E189" s="4" t="str">
        <x:f>IFERROR(INDEX('Material routes'!$C$6:$C$1005,MATCH(U189,'Material routes'!$A$6:$A$1005,0)),"MISSING ID")</x:f>
        <x:v>Ingredient candidate</x:v>
      </x:c>
      <x:c r="F189" s="4" t="str">
        <x:f>IFERROR(INDEX('Material routes'!$E$6:$E$1005,MATCH(V189,'Material routes'!$A$6:$A$1005,0)),"MISSING ID")</x:f>
        <x:v>Matched ceramic spacer sets</x:v>
      </x:c>
      <x:c r="G189" s="4" t="str">
        <x:f>IFERROR(INDEX('Material routes'!$F$6:$F$1005,MATCH(V189,'Material routes'!$A$6:$A$1005,0)),"MISSING ID")</x:f>
        <x:v>T3</x:v>
      </x:c>
      <x:c r="H189" s="4" t="str">
        <x:f>IFERROR(INDEX('Material routes'!$H$6:$H$1005,MATCH(V189,'Material routes'!$A$6:$A$1005,0)),"MISSING ID")</x:f>
        <x:v>Crafting component</x:v>
      </x:c>
      <x:c r="I189" s="4" t="str">
        <x:f>IFERROR(INDEX('Material routes'!$G$6:$G$1005,MATCH(V189,'Material routes'!$A$6:$A$1005,0)),"MISSING ID")</x:f>
        <x:v>Crafting components</x:v>
      </x:c>
      <x:c r="J189" s="4" t="str">
        <x:f>IFERROR(INDEX('Material routes'!$B$6:$B$1005,MATCH(U189,'Material routes'!$A$6:$A$1005,0)),"MISSING ID")</x:f>
        <x:v>design.t3.spacer_set</x:v>
      </x:c>
      <x:c r="K189" s="4" t="str">
        <x:f>IFERROR(INDEX('Crafting recipes'!$C$6:$C$1005,MATCH(J189,'Crafting recipes'!$A$6:$A$1005,0)),"MISSING ID")</x:f>
        <x:v>Material refinement</x:v>
      </x:c>
      <x:c r="L189" s="4" t="str">
        <x:f>IFERROR(INDEX('Material routes'!$K$6:$K$1005,MATCH(U189,'Material routes'!$A$6:$A$1005,0)),"MISSING ID")</x:f>
        <x:v>Proposal</x:v>
      </x:c>
      <x:c r="M189" s="4" t="str">
        <x:f>IFERROR(INDEX('Material routes'!$M$6:$M$1005,MATCH(U189,'Material routes'!$A$6:$A$1005,0)),"MISSING ID")</x:f>
        <x:v>Partial proposal</x:v>
      </x:c>
      <x:c r="N189" s="4" t="str">
        <x:f>IF(IFERROR(INDEX('Material routes'!$I$6:$I$1005,MATCH(U189,'Material routes'!$A$6:$A$1005,0)),"MISSING ID")=0,"",IFERROR(INDEX('Material routes'!$I$6:$I$1005,MATCH(U189,'Material routes'!$A$6:$A$1005,0)),"MISSING ID"))</x:f>
      </x:c>
      <x:c r="O189" s="4" t="str">
        <x:f>IFERROR(INDEX('Material routes'!$J$6:$J$1005,MATCH(U189,'Material routes'!$A$6:$A$1005,0)),"MISSING ID")</x:f>
        <x:v>Unspecified</x:v>
      </x:c>
      <x:c r="P189" s="4" t="str">
        <x:f>IF(IFERROR(INDEX('Material routes'!$I$6:$I$1005,MATCH(V189,'Material routes'!$A$6:$A$1005,0)),"MISSING ID")=0,"",IFERROR(INDEX('Material routes'!$I$6:$I$1005,MATCH(V189,'Material routes'!$A$6:$A$1005,0)),"MISSING ID"))</x:f>
      </x:c>
      <x:c r="Q189" s="4" t="str">
        <x:f>IFERROR(INDEX('Material routes'!$J$6:$J$1005,MATCH(V189,'Material routes'!$A$6:$A$1005,0)),"MISSING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routes'!$D$6:$D$1005,MATCH(U189,'Material routes'!$A$6:$A$1005,0)),"MISSING ID")</x:f>
        <x:v>proposal.natural.ceramic</x:v>
      </x:c>
      <x:c r="T189" s="4" t="str">
        <x:f>IFERROR(INDEX('Material routes'!$D$6:$D$1005,MATCH(V189,'Material routes'!$A$6:$A$1005,0)),"MISSING ID")</x:f>
        <x:v>proposal.t3.spacer_set</x:v>
      </x:c>
      <x:c r="U189" s="4" t="str">
        <x:v>design.t3.spacer_set.in.1</x:v>
      </x:c>
      <x:c r="V189" s="4" t="str">
        <x:v>design.t3.spacer_set.out</x:v>
      </x:c>
    </x:row>
    <x:row r="190" ht="115" customHeight="1">
      <x:c r="A190" s="4" t="str">
        <x:f>IFERROR(INDEX('Material routes'!$E$6:$E$1005,MATCH(U190,'Material routes'!$A$6:$A$1005,0)),"MISSING ID")</x:f>
        <x:v>Graded abrasive grit</x:v>
      </x:c>
      <x:c r="B190" s="4" t="str">
        <x:f>IFERROR(INDEX('Material routes'!$F$6:$F$1005,MATCH(U190,'Material routes'!$A$6:$A$1005,0)),"MISSING ID")</x:f>
        <x:v>T1</x:v>
      </x:c>
      <x:c r="C190" s="4" t="str">
        <x:f>IFERROR(INDEX('Material routes'!$H$6:$H$1005,MATCH(U190,'Material routes'!$A$6:$A$1005,0)),"MISSING ID")</x:f>
        <x:v>Processed material</x:v>
      </x:c>
      <x:c r="D190" s="4" t="str">
        <x:f>IFERROR(INDEX('Material routes'!$G$6:$G$1005,MATCH(U190,'Material routes'!$A$6:$A$1005,0)),"MISSING ID")</x:f>
        <x:v>Resources</x:v>
      </x:c>
      <x:c r="E190" s="4" t="str">
        <x:f>IFERROR(INDEX('Material routes'!$C$6:$C$1005,MATCH(U190,'Material routes'!$A$6:$A$1005,0)),"MISSING ID")</x:f>
        <x:v>Ingredient candidate</x:v>
      </x:c>
      <x:c r="F190" s="4" t="str">
        <x:f>IFERROR(INDEX('Material routes'!$E$6:$E$1005,MATCH(V190,'Material routes'!$A$6:$A$1005,0)),"MISSING ID")</x:f>
        <x:v>Matched ceramic spacer sets</x:v>
      </x:c>
      <x:c r="G190" s="4" t="str">
        <x:f>IFERROR(INDEX('Material routes'!$F$6:$F$1005,MATCH(V190,'Material routes'!$A$6:$A$1005,0)),"MISSING ID")</x:f>
        <x:v>T3</x:v>
      </x:c>
      <x:c r="H190" s="4" t="str">
        <x:f>IFERROR(INDEX('Material routes'!$H$6:$H$1005,MATCH(V190,'Material routes'!$A$6:$A$1005,0)),"MISSING ID")</x:f>
        <x:v>Crafting component</x:v>
      </x:c>
      <x:c r="I190" s="4" t="str">
        <x:f>IFERROR(INDEX('Material routes'!$G$6:$G$1005,MATCH(V190,'Material routes'!$A$6:$A$1005,0)),"MISSING ID")</x:f>
        <x:v>Crafting components</x:v>
      </x:c>
      <x:c r="J190" s="4" t="str">
        <x:f>IFERROR(INDEX('Material routes'!$B$6:$B$1005,MATCH(U190,'Material routes'!$A$6:$A$1005,0)),"MISSING ID")</x:f>
        <x:v>design.t3.spacer_set</x:v>
      </x:c>
      <x:c r="K190" s="4" t="str">
        <x:f>IFERROR(INDEX('Crafting recipes'!$C$6:$C$1005,MATCH(J190,'Crafting recipes'!$A$6:$A$1005,0)),"MISSING ID")</x:f>
        <x:v>Material refinement</x:v>
      </x:c>
      <x:c r="L190" s="4" t="str">
        <x:f>IFERROR(INDEX('Material routes'!$K$6:$K$1005,MATCH(U190,'Material routes'!$A$6:$A$1005,0)),"MISSING ID")</x:f>
        <x:v>Proposal</x:v>
      </x:c>
      <x:c r="M190" s="4" t="str">
        <x:f>IFERROR(INDEX('Material routes'!$M$6:$M$1005,MATCH(U190,'Material routes'!$A$6:$A$1005,0)),"MISSING ID")</x:f>
        <x:v>Partial proposal</x:v>
      </x:c>
      <x:c r="N190" s="4" t="str">
        <x:f>IF(IFERROR(INDEX('Material routes'!$I$6:$I$1005,MATCH(U190,'Material routes'!$A$6:$A$1005,0)),"MISSING ID")=0,"",IFERROR(INDEX('Material routes'!$I$6:$I$1005,MATCH(U190,'Material routes'!$A$6:$A$1005,0)),"MISSING ID"))</x:f>
      </x:c>
      <x:c r="O190" s="4" t="str">
        <x:f>IFERROR(INDEX('Material routes'!$J$6:$J$1005,MATCH(U190,'Material routes'!$A$6:$A$1005,0)),"MISSING ID")</x:f>
        <x:v>Unspecified</x:v>
      </x:c>
      <x:c r="P190" s="4" t="str">
        <x:f>IF(IFERROR(INDEX('Material routes'!$I$6:$I$1005,MATCH(V190,'Material routes'!$A$6:$A$1005,0)),"MISSING ID")=0,"",IFERROR(INDEX('Material routes'!$I$6:$I$1005,MATCH(V190,'Material routes'!$A$6:$A$1005,0)),"MISSING ID"))</x:f>
      </x:c>
      <x:c r="Q190" s="4" t="str">
        <x:f>IFERROR(INDEX('Material routes'!$J$6:$J$1005,MATCH(V190,'Material routes'!$A$6:$A$1005,0)),"MISSING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routes'!$D$6:$D$1005,MATCH(U190,'Material routes'!$A$6:$A$1005,0)),"MISSING ID")</x:f>
        <x:v>proposal.natural.abrasive</x:v>
      </x:c>
      <x:c r="T190" s="4" t="str">
        <x:f>IFERROR(INDEX('Material routes'!$D$6:$D$1005,MATCH(V190,'Material routes'!$A$6:$A$1005,0)),"MISSING ID")</x:f>
        <x:v>proposal.t3.spacer_set</x:v>
      </x:c>
      <x:c r="U190" s="4" t="str">
        <x:v>design.t3.spacer_set.in.2</x:v>
      </x:c>
      <x:c r="V190" s="4" t="str">
        <x:v>design.t3.spacer_set.out</x:v>
      </x:c>
    </x:row>
    <x:row r="191" ht="115" customHeight="1">
      <x:c r="A191" s="4" t="str">
        <x:f>IFERROR(INDEX('Material routes'!$E$6:$E$1005,MATCH(U191,'Material routes'!$A$6:$A$1005,0)),"MISSING ID")</x:f>
        <x:v>Drawn copper stock</x:v>
      </x:c>
      <x:c r="B191" s="4" t="str">
        <x:f>IFERROR(INDEX('Material routes'!$F$6:$F$1005,MATCH(U191,'Material routes'!$A$6:$A$1005,0)),"MISSING ID")</x:f>
        <x:v>T2</x:v>
      </x:c>
      <x:c r="C191" s="4" t="str">
        <x:f>IFERROR(INDEX('Material routes'!$H$6:$H$1005,MATCH(U191,'Material routes'!$A$6:$A$1005,0)),"MISSING ID")</x:f>
        <x:v>Processed material</x:v>
      </x:c>
      <x:c r="D191" s="4" t="str">
        <x:f>IFERROR(INDEX('Material routes'!$G$6:$G$1005,MATCH(U191,'Material routes'!$A$6:$A$1005,0)),"MISSING ID")</x:f>
        <x:v>Resources</x:v>
      </x:c>
      <x:c r="E191" s="4" t="str">
        <x:f>IFERROR(INDEX('Material routes'!$C$6:$C$1005,MATCH(U191,'Material routes'!$A$6:$A$1005,0)),"MISSING ID")</x:f>
        <x:v>Ingredient candidate</x:v>
      </x:c>
      <x:c r="F191" s="4" t="str">
        <x:f>IFERROR(INDEX('Material routes'!$E$6:$E$1005,MATCH(V191,'Material routes'!$A$6:$A$1005,0)),"MISSING ID")</x:f>
        <x:v>Polished copper reflector blanks</x:v>
      </x:c>
      <x:c r="G191" s="4" t="str">
        <x:f>IFERROR(INDEX('Material routes'!$F$6:$F$1005,MATCH(V191,'Material routes'!$A$6:$A$1005,0)),"MISSING ID")</x:f>
        <x:v>T3</x:v>
      </x:c>
      <x:c r="H191" s="4" t="str">
        <x:f>IFERROR(INDEX('Material routes'!$H$6:$H$1005,MATCH(V191,'Material routes'!$A$6:$A$1005,0)),"MISSING ID")</x:f>
        <x:v>Processed material</x:v>
      </x:c>
      <x:c r="I191" s="4" t="str">
        <x:f>IFERROR(INDEX('Material routes'!$G$6:$G$1005,MATCH(V191,'Material routes'!$A$6:$A$1005,0)),"MISSING ID")</x:f>
        <x:v>Resources</x:v>
      </x:c>
      <x:c r="J191" s="4" t="str">
        <x:f>IFERROR(INDEX('Material routes'!$B$6:$B$1005,MATCH(U191,'Material routes'!$A$6:$A$1005,0)),"MISSING ID")</x:f>
        <x:v>design.t3.reflector_stock</x:v>
      </x:c>
      <x:c r="K191" s="4" t="str">
        <x:f>IFERROR(INDEX('Crafting recipes'!$C$6:$C$1005,MATCH(J191,'Crafting recipes'!$A$6:$A$1005,0)),"MISSING ID")</x:f>
        <x:v>Material refinement</x:v>
      </x:c>
      <x:c r="L191" s="4" t="str">
        <x:f>IFERROR(INDEX('Material routes'!$K$6:$K$1005,MATCH(U191,'Material routes'!$A$6:$A$1005,0)),"MISSING ID")</x:f>
        <x:v>Proposal</x:v>
      </x:c>
      <x:c r="M191" s="4" t="str">
        <x:f>IFERROR(INDEX('Material routes'!$M$6:$M$1005,MATCH(U191,'Material routes'!$A$6:$A$1005,0)),"MISSING ID")</x:f>
        <x:v>Partial proposal</x:v>
      </x:c>
      <x:c r="N191" s="4" t="str">
        <x:f>IF(IFERROR(INDEX('Material routes'!$I$6:$I$1005,MATCH(U191,'Material routes'!$A$6:$A$1005,0)),"MISSING ID")=0,"",IFERROR(INDEX('Material routes'!$I$6:$I$1005,MATCH(U191,'Material routes'!$A$6:$A$1005,0)),"MISSING ID"))</x:f>
      </x:c>
      <x:c r="O191" s="4" t="str">
        <x:f>IFERROR(INDEX('Material routes'!$J$6:$J$1005,MATCH(U191,'Material routes'!$A$6:$A$1005,0)),"MISSING ID")</x:f>
        <x:v>Unspecified</x:v>
      </x:c>
      <x:c r="P191" s="4" t="str">
        <x:f>IF(IFERROR(INDEX('Material routes'!$I$6:$I$1005,MATCH(V191,'Material routes'!$A$6:$A$1005,0)),"MISSING ID")=0,"",IFERROR(INDEX('Material routes'!$I$6:$I$1005,MATCH(V191,'Material routes'!$A$6:$A$1005,0)),"MISSING ID"))</x:f>
      </x:c>
      <x:c r="Q191" s="4" t="str">
        <x:f>IFERROR(INDEX('Material routes'!$J$6:$J$1005,MATCH(V191,'Material routes'!$A$6:$A$1005,0)),"MISSING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routes'!$D$6:$D$1005,MATCH(U191,'Material routes'!$A$6:$A$1005,0)),"MISSING ID")</x:f>
        <x:v>proposal.branch.drawn_copper</x:v>
      </x:c>
      <x:c r="T191" s="4" t="str">
        <x:f>IFERROR(INDEX('Material routes'!$D$6:$D$1005,MATCH(V191,'Material routes'!$A$6:$A$1005,0)),"MISSING ID")</x:f>
        <x:v>proposal.t3.reflector_stock</x:v>
      </x:c>
      <x:c r="U191" s="4" t="str">
        <x:v>design.t3.reflector_stock.in.1</x:v>
      </x:c>
      <x:c r="V191" s="4" t="str">
        <x:v>design.t3.reflector_stock.out</x:v>
      </x:c>
    </x:row>
    <x:row r="192" ht="115" customHeight="1">
      <x:c r="A192" s="4" t="str">
        <x:f>IFERROR(INDEX('Material routes'!$E$6:$E$1005,MATCH(U192,'Material routes'!$A$6:$A$1005,0)),"MISSING ID")</x:f>
        <x:v>Graded abrasive grit</x:v>
      </x:c>
      <x:c r="B192" s="4" t="str">
        <x:f>IFERROR(INDEX('Material routes'!$F$6:$F$1005,MATCH(U192,'Material routes'!$A$6:$A$1005,0)),"MISSING ID")</x:f>
        <x:v>T1</x:v>
      </x:c>
      <x:c r="C192" s="4" t="str">
        <x:f>IFERROR(INDEX('Material routes'!$H$6:$H$1005,MATCH(U192,'Material routes'!$A$6:$A$1005,0)),"MISSING ID")</x:f>
        <x:v>Processed material</x:v>
      </x:c>
      <x:c r="D192" s="4" t="str">
        <x:f>IFERROR(INDEX('Material routes'!$G$6:$G$1005,MATCH(U192,'Material routes'!$A$6:$A$1005,0)),"MISSING ID")</x:f>
        <x:v>Resources</x:v>
      </x:c>
      <x:c r="E192" s="4" t="str">
        <x:f>IFERROR(INDEX('Material routes'!$C$6:$C$1005,MATCH(U192,'Material routes'!$A$6:$A$1005,0)),"MISSING ID")</x:f>
        <x:v>Ingredient candidate</x:v>
      </x:c>
      <x:c r="F192" s="4" t="str">
        <x:f>IFERROR(INDEX('Material routes'!$E$6:$E$1005,MATCH(V192,'Material routes'!$A$6:$A$1005,0)),"MISSING ID")</x:f>
        <x:v>Polished copper reflector blanks</x:v>
      </x:c>
      <x:c r="G192" s="4" t="str">
        <x:f>IFERROR(INDEX('Material routes'!$F$6:$F$1005,MATCH(V192,'Material routes'!$A$6:$A$1005,0)),"MISSING ID")</x:f>
        <x:v>T3</x:v>
      </x:c>
      <x:c r="H192" s="4" t="str">
        <x:f>IFERROR(INDEX('Material routes'!$H$6:$H$1005,MATCH(V192,'Material routes'!$A$6:$A$1005,0)),"MISSING ID")</x:f>
        <x:v>Processed material</x:v>
      </x:c>
      <x:c r="I192" s="4" t="str">
        <x:f>IFERROR(INDEX('Material routes'!$G$6:$G$1005,MATCH(V192,'Material routes'!$A$6:$A$1005,0)),"MISSING ID")</x:f>
        <x:v>Resources</x:v>
      </x:c>
      <x:c r="J192" s="4" t="str">
        <x:f>IFERROR(INDEX('Material routes'!$B$6:$B$1005,MATCH(U192,'Material routes'!$A$6:$A$1005,0)),"MISSING ID")</x:f>
        <x:v>design.t3.reflector_stock</x:v>
      </x:c>
      <x:c r="K192" s="4" t="str">
        <x:f>IFERROR(INDEX('Crafting recipes'!$C$6:$C$1005,MATCH(J192,'Crafting recipes'!$A$6:$A$1005,0)),"MISSING ID")</x:f>
        <x:v>Material refinement</x:v>
      </x:c>
      <x:c r="L192" s="4" t="str">
        <x:f>IFERROR(INDEX('Material routes'!$K$6:$K$1005,MATCH(U192,'Material routes'!$A$6:$A$1005,0)),"MISSING ID")</x:f>
        <x:v>Proposal</x:v>
      </x:c>
      <x:c r="M192" s="4" t="str">
        <x:f>IFERROR(INDEX('Material routes'!$M$6:$M$1005,MATCH(U192,'Material routes'!$A$6:$A$1005,0)),"MISSING ID")</x:f>
        <x:v>Partial proposal</x:v>
      </x:c>
      <x:c r="N192" s="4" t="str">
        <x:f>IF(IFERROR(INDEX('Material routes'!$I$6:$I$1005,MATCH(U192,'Material routes'!$A$6:$A$1005,0)),"MISSING ID")=0,"",IFERROR(INDEX('Material routes'!$I$6:$I$1005,MATCH(U192,'Material routes'!$A$6:$A$1005,0)),"MISSING ID"))</x:f>
      </x:c>
      <x:c r="O192" s="4" t="str">
        <x:f>IFERROR(INDEX('Material routes'!$J$6:$J$1005,MATCH(U192,'Material routes'!$A$6:$A$1005,0)),"MISSING ID")</x:f>
        <x:v>Unspecified</x:v>
      </x:c>
      <x:c r="P192" s="4" t="str">
        <x:f>IF(IFERROR(INDEX('Material routes'!$I$6:$I$1005,MATCH(V192,'Material routes'!$A$6:$A$1005,0)),"MISSING ID")=0,"",IFERROR(INDEX('Material routes'!$I$6:$I$1005,MATCH(V192,'Material routes'!$A$6:$A$1005,0)),"MISSING ID"))</x:f>
      </x:c>
      <x:c r="Q192" s="4" t="str">
        <x:f>IFERROR(INDEX('Material routes'!$J$6:$J$1005,MATCH(V192,'Material routes'!$A$6:$A$1005,0)),"MISSING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routes'!$D$6:$D$1005,MATCH(U192,'Material routes'!$A$6:$A$1005,0)),"MISSING ID")</x:f>
        <x:v>proposal.natural.abrasive</x:v>
      </x:c>
      <x:c r="T192" s="4" t="str">
        <x:f>IFERROR(INDEX('Material routes'!$D$6:$D$1005,MATCH(V192,'Material routes'!$A$6:$A$1005,0)),"MISSING ID")</x:f>
        <x:v>proposal.t3.reflector_stock</x:v>
      </x:c>
      <x:c r="U192" s="4" t="str">
        <x:v>design.t3.reflector_stock.in.2</x:v>
      </x:c>
      <x:c r="V192" s="4" t="str">
        <x:v>design.t3.reflector_stock.out</x:v>
      </x:c>
    </x:row>
    <x:row r="193" ht="115" customHeight="1">
      <x:c r="A193" s="4" t="str">
        <x:f>IFERROR(INDEX('Material routes'!$E$6:$E$1005,MATCH(U193,'Material routes'!$A$6:$A$1005,0)),"MISSING ID")</x:f>
        <x:v>Bonded husk sheet</x:v>
      </x:c>
      <x:c r="B193" s="4" t="str">
        <x:f>IFERROR(INDEX('Material routes'!$F$6:$F$1005,MATCH(U193,'Material routes'!$A$6:$A$1005,0)),"MISSING ID")</x:f>
        <x:v>T2</x:v>
      </x:c>
      <x:c r="C193" s="4" t="str">
        <x:f>IFERROR(INDEX('Material routes'!$H$6:$H$1005,MATCH(U193,'Material routes'!$A$6:$A$1005,0)),"MISSING ID")</x:f>
        <x:v>Processed material</x:v>
      </x:c>
      <x:c r="D193" s="4" t="str">
        <x:f>IFERROR(INDEX('Material routes'!$G$6:$G$1005,MATCH(U193,'Material routes'!$A$6:$A$1005,0)),"MISSING ID")</x:f>
        <x:v>Resources</x:v>
      </x:c>
      <x:c r="E193" s="4" t="str">
        <x:f>IFERROR(INDEX('Material routes'!$C$6:$C$1005,MATCH(U193,'Material routes'!$A$6:$A$1005,0)),"MISSING ID")</x:f>
        <x:v>Ingredient candidate</x:v>
      </x:c>
      <x:c r="F193" s="4" t="str">
        <x:f>IFERROR(INDEX('Material routes'!$E$6:$E$1005,MATCH(V193,'Material routes'!$A$6:$A$1005,0)),"MISSING ID")</x:f>
        <x:v>Husk-reinforced packing stock</x:v>
      </x:c>
      <x:c r="G193" s="4" t="str">
        <x:f>IFERROR(INDEX('Material routes'!$F$6:$F$1005,MATCH(V193,'Material routes'!$A$6:$A$1005,0)),"MISSING ID")</x:f>
        <x:v>T3</x:v>
      </x:c>
      <x:c r="H193" s="4" t="str">
        <x:f>IFERROR(INDEX('Material routes'!$H$6:$H$1005,MATCH(V193,'Material routes'!$A$6:$A$1005,0)),"MISSING ID")</x:f>
        <x:v>Processed material</x:v>
      </x:c>
      <x:c r="I193" s="4" t="str">
        <x:f>IFERROR(INDEX('Material routes'!$G$6:$G$1005,MATCH(V193,'Material routes'!$A$6:$A$1005,0)),"MISSING ID")</x:f>
        <x:v>Resources</x:v>
      </x:c>
      <x:c r="J193" s="4" t="str">
        <x:f>IFERROR(INDEX('Material routes'!$B$6:$B$1005,MATCH(U193,'Material routes'!$A$6:$A$1005,0)),"MISSING ID")</x:f>
        <x:v>design.t3.packing_stock</x:v>
      </x:c>
      <x:c r="K193" s="4" t="str">
        <x:f>IFERROR(INDEX('Crafting recipes'!$C$6:$C$1005,MATCH(J193,'Crafting recipes'!$A$6:$A$1005,0)),"MISSING ID")</x:f>
        <x:v>Material refinement</x:v>
      </x:c>
      <x:c r="L193" s="4" t="str">
        <x:f>IFERROR(INDEX('Material routes'!$K$6:$K$1005,MATCH(U193,'Material routes'!$A$6:$A$1005,0)),"MISSING ID")</x:f>
        <x:v>Proposal</x:v>
      </x:c>
      <x:c r="M193" s="4" t="str">
        <x:f>IFERROR(INDEX('Material routes'!$M$6:$M$1005,MATCH(U193,'Material routes'!$A$6:$A$1005,0)),"MISSING ID")</x:f>
        <x:v>Partial proposal</x:v>
      </x:c>
      <x:c r="N193" s="4" t="str">
        <x:f>IF(IFERROR(INDEX('Material routes'!$I$6:$I$1005,MATCH(U193,'Material routes'!$A$6:$A$1005,0)),"MISSING ID")=0,"",IFERROR(INDEX('Material routes'!$I$6:$I$1005,MATCH(U193,'Material routes'!$A$6:$A$1005,0)),"MISSING ID"))</x:f>
      </x:c>
      <x:c r="O193" s="4" t="str">
        <x:f>IFERROR(INDEX('Material routes'!$J$6:$J$1005,MATCH(U193,'Material routes'!$A$6:$A$1005,0)),"MISSING ID")</x:f>
        <x:v>Unspecified</x:v>
      </x:c>
      <x:c r="P193" s="4" t="str">
        <x:f>IF(IFERROR(INDEX('Material routes'!$I$6:$I$1005,MATCH(V193,'Material routes'!$A$6:$A$1005,0)),"MISSING ID")=0,"",IFERROR(INDEX('Material routes'!$I$6:$I$1005,MATCH(V193,'Material routes'!$A$6:$A$1005,0)),"MISSING ID"))</x:f>
      </x:c>
      <x:c r="Q193" s="4" t="str">
        <x:f>IFERROR(INDEX('Material routes'!$J$6:$J$1005,MATCH(V193,'Material routes'!$A$6:$A$1005,0)),"MISSING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routes'!$D$6:$D$1005,MATCH(U193,'Material routes'!$A$6:$A$1005,0)),"MISSING ID")</x:f>
        <x:v>proposal.branch.husk_sheet</x:v>
      </x:c>
      <x:c r="T193" s="4" t="str">
        <x:f>IFERROR(INDEX('Material routes'!$D$6:$D$1005,MATCH(V193,'Material routes'!$A$6:$A$1005,0)),"MISSING ID")</x:f>
        <x:v>proposal.t3.packing_stock</x:v>
      </x:c>
      <x:c r="U193" s="4" t="str">
        <x:v>design.t3.packing_stock.in.1</x:v>
      </x:c>
      <x:c r="V193" s="4" t="str">
        <x:v>design.t3.packing_stock.out</x:v>
      </x:c>
    </x:row>
    <x:row r="194" ht="115" customHeight="1">
      <x:c r="A194" s="4" t="str">
        <x:f>IFERROR(INDEX('Material routes'!$E$6:$E$1005,MATCH(U194,'Material routes'!$A$6:$A$1005,0)),"MISSING ID")</x:f>
        <x:v>Filled faunal seal compound</x:v>
      </x:c>
      <x:c r="B194" s="4" t="str">
        <x:f>IFERROR(INDEX('Material routes'!$F$6:$F$1005,MATCH(U194,'Material routes'!$A$6:$A$1005,0)),"MISSING ID")</x:f>
        <x:v>T2</x:v>
      </x:c>
      <x:c r="C194" s="4" t="str">
        <x:f>IFERROR(INDEX('Material routes'!$H$6:$H$1005,MATCH(U194,'Material routes'!$A$6:$A$1005,0)),"MISSING ID")</x:f>
        <x:v>Chemical material</x:v>
      </x:c>
      <x:c r="D194" s="4" t="str">
        <x:f>IFERROR(INDEX('Material routes'!$G$6:$G$1005,MATCH(U194,'Material routes'!$A$6:$A$1005,0)),"MISSING ID")</x:f>
        <x:v>Resources</x:v>
      </x:c>
      <x:c r="E194" s="4" t="str">
        <x:f>IFERROR(INDEX('Material routes'!$C$6:$C$1005,MATCH(U194,'Material routes'!$A$6:$A$1005,0)),"MISSING ID")</x:f>
        <x:v>Ingredient candidate</x:v>
      </x:c>
      <x:c r="F194" s="4" t="str">
        <x:f>IFERROR(INDEX('Material routes'!$E$6:$E$1005,MATCH(V194,'Material routes'!$A$6:$A$1005,0)),"MISSING ID")</x:f>
        <x:v>Husk-reinforced packing stock</x:v>
      </x:c>
      <x:c r="G194" s="4" t="str">
        <x:f>IFERROR(INDEX('Material routes'!$F$6:$F$1005,MATCH(V194,'Material routes'!$A$6:$A$1005,0)),"MISSING ID")</x:f>
        <x:v>T3</x:v>
      </x:c>
      <x:c r="H194" s="4" t="str">
        <x:f>IFERROR(INDEX('Material routes'!$H$6:$H$1005,MATCH(V194,'Material routes'!$A$6:$A$1005,0)),"MISSING ID")</x:f>
        <x:v>Processed material</x:v>
      </x:c>
      <x:c r="I194" s="4" t="str">
        <x:f>IFERROR(INDEX('Material routes'!$G$6:$G$1005,MATCH(V194,'Material routes'!$A$6:$A$1005,0)),"MISSING ID")</x:f>
        <x:v>Resources</x:v>
      </x:c>
      <x:c r="J194" s="4" t="str">
        <x:f>IFERROR(INDEX('Material routes'!$B$6:$B$1005,MATCH(U194,'Material routes'!$A$6:$A$1005,0)),"MISSING ID")</x:f>
        <x:v>design.t3.packing_stock</x:v>
      </x:c>
      <x:c r="K194" s="4" t="str">
        <x:f>IFERROR(INDEX('Crafting recipes'!$C$6:$C$1005,MATCH(J194,'Crafting recipes'!$A$6:$A$1005,0)),"MISSING ID")</x:f>
        <x:v>Material refinement</x:v>
      </x:c>
      <x:c r="L194" s="4" t="str">
        <x:f>IFERROR(INDEX('Material routes'!$K$6:$K$1005,MATCH(U194,'Material routes'!$A$6:$A$1005,0)),"MISSING ID")</x:f>
        <x:v>Proposal</x:v>
      </x:c>
      <x:c r="M194" s="4" t="str">
        <x:f>IFERROR(INDEX('Material routes'!$M$6:$M$1005,MATCH(U194,'Material routes'!$A$6:$A$1005,0)),"MISSING ID")</x:f>
        <x:v>Partial proposal</x:v>
      </x:c>
      <x:c r="N194" s="4" t="str">
        <x:f>IF(IFERROR(INDEX('Material routes'!$I$6:$I$1005,MATCH(U194,'Material routes'!$A$6:$A$1005,0)),"MISSING ID")=0,"",IFERROR(INDEX('Material routes'!$I$6:$I$1005,MATCH(U194,'Material routes'!$A$6:$A$1005,0)),"MISSING ID"))</x:f>
      </x:c>
      <x:c r="O194" s="4" t="str">
        <x:f>IFERROR(INDEX('Material routes'!$J$6:$J$1005,MATCH(U194,'Material routes'!$A$6:$A$1005,0)),"MISSING ID")</x:f>
        <x:v>Unspecified</x:v>
      </x:c>
      <x:c r="P194" s="4" t="str">
        <x:f>IF(IFERROR(INDEX('Material routes'!$I$6:$I$1005,MATCH(V194,'Material routes'!$A$6:$A$1005,0)),"MISSING ID")=0,"",IFERROR(INDEX('Material routes'!$I$6:$I$1005,MATCH(V194,'Material routes'!$A$6:$A$1005,0)),"MISSING ID"))</x:f>
      </x:c>
      <x:c r="Q194" s="4" t="str">
        <x:f>IFERROR(INDEX('Material routes'!$J$6:$J$1005,MATCH(V194,'Material routes'!$A$6:$A$1005,0)),"MISSING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routes'!$D$6:$D$1005,MATCH(U194,'Material routes'!$A$6:$A$1005,0)),"MISSING ID")</x:f>
        <x:v>proposal.branch.filled_seal</x:v>
      </x:c>
      <x:c r="T194" s="4" t="str">
        <x:f>IFERROR(INDEX('Material routes'!$D$6:$D$1005,MATCH(V194,'Material routes'!$A$6:$A$1005,0)),"MISSING ID")</x:f>
        <x:v>proposal.t3.packing_stock</x:v>
      </x:c>
      <x:c r="U194" s="4" t="str">
        <x:v>design.t3.packing_stock.in.2</x:v>
      </x:c>
      <x:c r="V194" s="4" t="str">
        <x:v>design.t3.packing_stock.out</x:v>
      </x:c>
    </x:row>
    <x:row r="195" ht="115" customHeight="1">
      <x:c r="A195" s="4" t="str">
        <x:f>IFERROR(INDEX('Material routes'!$E$6:$E$1005,MATCH(U195,'Material routes'!$A$6:$A$1005,0)),"MISSING ID")</x:f>
        <x:v>Flexible membrane-bonding compound</x:v>
      </x:c>
      <x:c r="B195" s="4" t="str">
        <x:f>IFERROR(INDEX('Material routes'!$F$6:$F$1005,MATCH(U195,'Material routes'!$A$6:$A$1005,0)),"MISSING ID")</x:f>
        <x:v>T2</x:v>
      </x:c>
      <x:c r="C195" s="4" t="str">
        <x:f>IFERROR(INDEX('Material routes'!$H$6:$H$1005,MATCH(U195,'Material routes'!$A$6:$A$1005,0)),"MISSING ID")</x:f>
        <x:v>Chemical material</x:v>
      </x:c>
      <x:c r="D195" s="4" t="str">
        <x:f>IFERROR(INDEX('Material routes'!$G$6:$G$1005,MATCH(U195,'Material routes'!$A$6:$A$1005,0)),"MISSING ID")</x:f>
        <x:v>Resources</x:v>
      </x:c>
      <x:c r="E195" s="4" t="str">
        <x:f>IFERROR(INDEX('Material routes'!$C$6:$C$1005,MATCH(U195,'Material routes'!$A$6:$A$1005,0)),"MISSING ID")</x:f>
        <x:v>Ingredient candidate</x:v>
      </x:c>
      <x:c r="F195" s="4" t="str">
        <x:f>IFERROR(INDEX('Material routes'!$E$6:$E$1005,MATCH(V195,'Material routes'!$A$6:$A$1005,0)),"MISSING ID")</x:f>
        <x:v>Husk-reinforced packing stock</x:v>
      </x:c>
      <x:c r="G195" s="4" t="str">
        <x:f>IFERROR(INDEX('Material routes'!$F$6:$F$1005,MATCH(V195,'Material routes'!$A$6:$A$1005,0)),"MISSING ID")</x:f>
        <x:v>T3</x:v>
      </x:c>
      <x:c r="H195" s="4" t="str">
        <x:f>IFERROR(INDEX('Material routes'!$H$6:$H$1005,MATCH(V195,'Material routes'!$A$6:$A$1005,0)),"MISSING ID")</x:f>
        <x:v>Processed material</x:v>
      </x:c>
      <x:c r="I195" s="4" t="str">
        <x:f>IFERROR(INDEX('Material routes'!$G$6:$G$1005,MATCH(V195,'Material routes'!$A$6:$A$1005,0)),"MISSING ID")</x:f>
        <x:v>Resources</x:v>
      </x:c>
      <x:c r="J195" s="4" t="str">
        <x:f>IFERROR(INDEX('Material routes'!$B$6:$B$1005,MATCH(U195,'Material routes'!$A$6:$A$1005,0)),"MISSING ID")</x:f>
        <x:v>design.t3.packing_stock</x:v>
      </x:c>
      <x:c r="K195" s="4" t="str">
        <x:f>IFERROR(INDEX('Crafting recipes'!$C$6:$C$1005,MATCH(J195,'Crafting recipes'!$A$6:$A$1005,0)),"MISSING ID")</x:f>
        <x:v>Material refinement</x:v>
      </x:c>
      <x:c r="L195" s="4" t="str">
        <x:f>IFERROR(INDEX('Material routes'!$K$6:$K$1005,MATCH(U195,'Material routes'!$A$6:$A$1005,0)),"MISSING ID")</x:f>
        <x:v>Proposal</x:v>
      </x:c>
      <x:c r="M195" s="4" t="str">
        <x:f>IFERROR(INDEX('Material routes'!$M$6:$M$1005,MATCH(U195,'Material routes'!$A$6:$A$1005,0)),"MISSING ID")</x:f>
        <x:v>Partial proposal</x:v>
      </x:c>
      <x:c r="N195" s="4" t="str">
        <x:f>IF(IFERROR(INDEX('Material routes'!$I$6:$I$1005,MATCH(U195,'Material routes'!$A$6:$A$1005,0)),"MISSING ID")=0,"",IFERROR(INDEX('Material routes'!$I$6:$I$1005,MATCH(U195,'Material routes'!$A$6:$A$1005,0)),"MISSING ID"))</x:f>
      </x:c>
      <x:c r="O195" s="4" t="str">
        <x:f>IFERROR(INDEX('Material routes'!$J$6:$J$1005,MATCH(U195,'Material routes'!$A$6:$A$1005,0)),"MISSING ID")</x:f>
        <x:v>Unspecified</x:v>
      </x:c>
      <x:c r="P195" s="4" t="str">
        <x:f>IF(IFERROR(INDEX('Material routes'!$I$6:$I$1005,MATCH(V195,'Material routes'!$A$6:$A$1005,0)),"MISSING ID")=0,"",IFERROR(INDEX('Material routes'!$I$6:$I$1005,MATCH(V195,'Material routes'!$A$6:$A$1005,0)),"MISSING ID"))</x:f>
      </x:c>
      <x:c r="Q195" s="4" t="str">
        <x:f>IFERROR(INDEX('Material routes'!$J$6:$J$1005,MATCH(V195,'Material routes'!$A$6:$A$1005,0)),"MISSING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routes'!$D$6:$D$1005,MATCH(U195,'Material routes'!$A$6:$A$1005,0)),"MISSING ID")</x:f>
        <x:v>proposal.branch.flex_bond</x:v>
      </x:c>
      <x:c r="T195" s="4" t="str">
        <x:f>IFERROR(INDEX('Material routes'!$D$6:$D$1005,MATCH(V195,'Material routes'!$A$6:$A$1005,0)),"MISSING ID")</x:f>
        <x:v>proposal.t3.packing_stock</x:v>
      </x:c>
      <x:c r="U195" s="4" t="str">
        <x:v>design.t3.packing_stock.in.3</x:v>
      </x:c>
      <x:c r="V195" s="4" t="str">
        <x:v>design.t3.packing_stock.out</x:v>
      </x:c>
    </x:row>
    <x:row r="196" ht="115" customHeight="1">
      <x:c r="A196" s="4" t="str">
        <x:f>IFERROR(INDEX('Material routes'!$E$6:$E$1005,MATCH(U196,'Material routes'!$A$6:$A$1005,0)),"MISSING ID")</x:f>
        <x:v>Faunal joint grease</x:v>
      </x:c>
      <x:c r="B196" s="4" t="str">
        <x:f>IFERROR(INDEX('Material routes'!$F$6:$F$1005,MATCH(U196,'Material routes'!$A$6:$A$1005,0)),"MISSING ID")</x:f>
        <x:v>T2</x:v>
      </x:c>
      <x:c r="C196" s="4" t="str">
        <x:f>IFERROR(INDEX('Material routes'!$H$6:$H$1005,MATCH(U196,'Material routes'!$A$6:$A$1005,0)),"MISSING ID")</x:f>
        <x:v>Chemical material</x:v>
      </x:c>
      <x:c r="D196" s="4" t="str">
        <x:f>IFERROR(INDEX('Material routes'!$G$6:$G$1005,MATCH(U196,'Material routes'!$A$6:$A$1005,0)),"MISSING ID")</x:f>
        <x:v>Resources</x:v>
      </x:c>
      <x:c r="E196" s="4" t="str">
        <x:f>IFERROR(INDEX('Material routes'!$C$6:$C$1005,MATCH(U196,'Material routes'!$A$6:$A$1005,0)),"MISSING ID")</x:f>
        <x:v>Ingredient candidate</x:v>
      </x:c>
      <x:c r="F196" s="4" t="str">
        <x:f>IFERROR(INDEX('Material routes'!$E$6:$E$1005,MATCH(V196,'Material routes'!$A$6:$A$1005,0)),"MISSING ID")</x:f>
        <x:v>Conditioned mechanism-service grease</x:v>
      </x:c>
      <x:c r="G196" s="4" t="str">
        <x:f>IFERROR(INDEX('Material routes'!$F$6:$F$1005,MATCH(V196,'Material routes'!$A$6:$A$1005,0)),"MISSING ID")</x:f>
        <x:v>T3</x:v>
      </x:c>
      <x:c r="H196" s="4" t="str">
        <x:f>IFERROR(INDEX('Material routes'!$H$6:$H$1005,MATCH(V196,'Material routes'!$A$6:$A$1005,0)),"MISSING ID")</x:f>
        <x:v>Chemical material</x:v>
      </x:c>
      <x:c r="I196" s="4" t="str">
        <x:f>IFERROR(INDEX('Material routes'!$G$6:$G$1005,MATCH(V196,'Material routes'!$A$6:$A$1005,0)),"MISSING ID")</x:f>
        <x:v>Resources</x:v>
      </x:c>
      <x:c r="J196" s="4" t="str">
        <x:f>IFERROR(INDEX('Material routes'!$B$6:$B$1005,MATCH(U196,'Material routes'!$A$6:$A$1005,0)),"MISSING ID")</x:f>
        <x:v>design.t3.service_grease</x:v>
      </x:c>
      <x:c r="K196" s="4" t="str">
        <x:f>IFERROR(INDEX('Crafting recipes'!$C$6:$C$1005,MATCH(J196,'Crafting recipes'!$A$6:$A$1005,0)),"MISSING ID")</x:f>
        <x:v>Material refinement</x:v>
      </x:c>
      <x:c r="L196" s="4" t="str">
        <x:f>IFERROR(INDEX('Material routes'!$K$6:$K$1005,MATCH(U196,'Material routes'!$A$6:$A$1005,0)),"MISSING ID")</x:f>
        <x:v>Proposal</x:v>
      </x:c>
      <x:c r="M196" s="4" t="str">
        <x:f>IFERROR(INDEX('Material routes'!$M$6:$M$1005,MATCH(U196,'Material routes'!$A$6:$A$1005,0)),"MISSING ID")</x:f>
        <x:v>Partial proposal</x:v>
      </x:c>
      <x:c r="N196" s="4" t="str">
        <x:f>IF(IFERROR(INDEX('Material routes'!$I$6:$I$1005,MATCH(U196,'Material routes'!$A$6:$A$1005,0)),"MISSING ID")=0,"",IFERROR(INDEX('Material routes'!$I$6:$I$1005,MATCH(U196,'Material routes'!$A$6:$A$1005,0)),"MISSING ID"))</x:f>
      </x:c>
      <x:c r="O196" s="4" t="str">
        <x:f>IFERROR(INDEX('Material routes'!$J$6:$J$1005,MATCH(U196,'Material routes'!$A$6:$A$1005,0)),"MISSING ID")</x:f>
        <x:v>Unspecified</x:v>
      </x:c>
      <x:c r="P196" s="4" t="str">
        <x:f>IF(IFERROR(INDEX('Material routes'!$I$6:$I$1005,MATCH(V196,'Material routes'!$A$6:$A$1005,0)),"MISSING ID")=0,"",IFERROR(INDEX('Material routes'!$I$6:$I$1005,MATCH(V196,'Material routes'!$A$6:$A$1005,0)),"MISSING ID"))</x:f>
      </x:c>
      <x:c r="Q196" s="4" t="str">
        <x:f>IFERROR(INDEX('Material routes'!$J$6:$J$1005,MATCH(V196,'Material routes'!$A$6:$A$1005,0)),"MISSING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routes'!$D$6:$D$1005,MATCH(U196,'Material routes'!$A$6:$A$1005,0)),"MISSING ID")</x:f>
        <x:v>proposal.lubricant.joint_grease</x:v>
      </x:c>
      <x:c r="T196" s="4" t="str">
        <x:f>IFERROR(INDEX('Material routes'!$D$6:$D$1005,MATCH(V196,'Material routes'!$A$6:$A$1005,0)),"MISSING ID")</x:f>
        <x:v>proposal.t3.service_grease</x:v>
      </x:c>
      <x:c r="U196" s="4" t="str">
        <x:v>design.t3.service_grease.in.1</x:v>
      </x:c>
      <x:c r="V196" s="4" t="str">
        <x:v>design.t3.service_grease.out</x:v>
      </x:c>
    </x:row>
    <x:row r="197" ht="115" customHeight="1">
      <x:c r="A197" s="4" t="str">
        <x:f>IFERROR(INDEX('Material routes'!$E$6:$E$1005,MATCH(U197,'Material routes'!$A$6:$A$1005,0)),"MISSING ID")</x:f>
        <x:v>Fine mechanism oil</x:v>
      </x:c>
      <x:c r="B197" s="4" t="str">
        <x:f>IFERROR(INDEX('Material routes'!$F$6:$F$1005,MATCH(U197,'Material routes'!$A$6:$A$1005,0)),"MISSING ID")</x:f>
        <x:v>T2</x:v>
      </x:c>
      <x:c r="C197" s="4" t="str">
        <x:f>IFERROR(INDEX('Material routes'!$H$6:$H$1005,MATCH(U197,'Material routes'!$A$6:$A$1005,0)),"MISSING ID")</x:f>
        <x:v>Chemical material</x:v>
      </x:c>
      <x:c r="D197" s="4" t="str">
        <x:f>IFERROR(INDEX('Material routes'!$G$6:$G$1005,MATCH(U197,'Material routes'!$A$6:$A$1005,0)),"MISSING ID")</x:f>
        <x:v>Resources</x:v>
      </x:c>
      <x:c r="E197" s="4" t="str">
        <x:f>IFERROR(INDEX('Material routes'!$C$6:$C$1005,MATCH(U197,'Material routes'!$A$6:$A$1005,0)),"MISSING ID")</x:f>
        <x:v>Ingredient candidate</x:v>
      </x:c>
      <x:c r="F197" s="4" t="str">
        <x:f>IFERROR(INDEX('Material routes'!$E$6:$E$1005,MATCH(V197,'Material routes'!$A$6:$A$1005,0)),"MISSING ID")</x:f>
        <x:v>Conditioned mechanism-service grease</x:v>
      </x:c>
      <x:c r="G197" s="4" t="str">
        <x:f>IFERROR(INDEX('Material routes'!$F$6:$F$1005,MATCH(V197,'Material routes'!$A$6:$A$1005,0)),"MISSING ID")</x:f>
        <x:v>T3</x:v>
      </x:c>
      <x:c r="H197" s="4" t="str">
        <x:f>IFERROR(INDEX('Material routes'!$H$6:$H$1005,MATCH(V197,'Material routes'!$A$6:$A$1005,0)),"MISSING ID")</x:f>
        <x:v>Chemical material</x:v>
      </x:c>
      <x:c r="I197" s="4" t="str">
        <x:f>IFERROR(INDEX('Material routes'!$G$6:$G$1005,MATCH(V197,'Material routes'!$A$6:$A$1005,0)),"MISSING ID")</x:f>
        <x:v>Resources</x:v>
      </x:c>
      <x:c r="J197" s="4" t="str">
        <x:f>IFERROR(INDEX('Material routes'!$B$6:$B$1005,MATCH(U197,'Material routes'!$A$6:$A$1005,0)),"MISSING ID")</x:f>
        <x:v>design.t3.service_grease</x:v>
      </x:c>
      <x:c r="K197" s="4" t="str">
        <x:f>IFERROR(INDEX('Crafting recipes'!$C$6:$C$1005,MATCH(J197,'Crafting recipes'!$A$6:$A$1005,0)),"MISSING ID")</x:f>
        <x:v>Material refinement</x:v>
      </x:c>
      <x:c r="L197" s="4" t="str">
        <x:f>IFERROR(INDEX('Material routes'!$K$6:$K$1005,MATCH(U197,'Material routes'!$A$6:$A$1005,0)),"MISSING ID")</x:f>
        <x:v>Proposal</x:v>
      </x:c>
      <x:c r="M197" s="4" t="str">
        <x:f>IFERROR(INDEX('Material routes'!$M$6:$M$1005,MATCH(U197,'Material routes'!$A$6:$A$1005,0)),"MISSING ID")</x:f>
        <x:v>Partial proposal</x:v>
      </x:c>
      <x:c r="N197" s="4" t="str">
        <x:f>IF(IFERROR(INDEX('Material routes'!$I$6:$I$1005,MATCH(U197,'Material routes'!$A$6:$A$1005,0)),"MISSING ID")=0,"",IFERROR(INDEX('Material routes'!$I$6:$I$1005,MATCH(U197,'Material routes'!$A$6:$A$1005,0)),"MISSING ID"))</x:f>
      </x:c>
      <x:c r="O197" s="4" t="str">
        <x:f>IFERROR(INDEX('Material routes'!$J$6:$J$1005,MATCH(U197,'Material routes'!$A$6:$A$1005,0)),"MISSING ID")</x:f>
        <x:v>Unspecified</x:v>
      </x:c>
      <x:c r="P197" s="4" t="str">
        <x:f>IF(IFERROR(INDEX('Material routes'!$I$6:$I$1005,MATCH(V197,'Material routes'!$A$6:$A$1005,0)),"MISSING ID")=0,"",IFERROR(INDEX('Material routes'!$I$6:$I$1005,MATCH(V197,'Material routes'!$A$6:$A$1005,0)),"MISSING ID"))</x:f>
      </x:c>
      <x:c r="Q197" s="4" t="str">
        <x:f>IFERROR(INDEX('Material routes'!$J$6:$J$1005,MATCH(V197,'Material routes'!$A$6:$A$1005,0)),"MISSING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routes'!$D$6:$D$1005,MATCH(U197,'Material routes'!$A$6:$A$1005,0)),"MISSING ID")</x:f>
        <x:v>proposal.lubricant.precision_oil</x:v>
      </x:c>
      <x:c r="T197" s="4" t="str">
        <x:f>IFERROR(INDEX('Material routes'!$D$6:$D$1005,MATCH(V197,'Material routes'!$A$6:$A$1005,0)),"MISSING ID")</x:f>
        <x:v>proposal.t3.service_grease</x:v>
      </x:c>
      <x:c r="U197" s="4" t="str">
        <x:v>design.t3.service_grease.in.2</x:v>
      </x:c>
      <x:c r="V197" s="4" t="str">
        <x:v>design.t3.service_grease.out</x:v>
      </x:c>
    </x:row>
    <x:row r="198" ht="115" customHeight="1">
      <x:c r="A198" s="4" t="str">
        <x:f>IFERROR(INDEX('Material routes'!$E$6:$E$1005,MATCH(U198,'Material routes'!$A$6:$A$1005,0)),"MISSING ID")</x:f>
        <x:v>Reinforced wing membrane</x:v>
      </x:c>
      <x:c r="B198" s="4" t="str">
        <x:f>IFERROR(INDEX('Material routes'!$F$6:$F$1005,MATCH(U198,'Material routes'!$A$6:$A$1005,0)),"MISSING ID")</x:f>
        <x:v>T2</x:v>
      </x:c>
      <x:c r="C198" s="4" t="str">
        <x:f>IFERROR(INDEX('Material routes'!$H$6:$H$1005,MATCH(U198,'Material routes'!$A$6:$A$1005,0)),"MISSING ID")</x:f>
        <x:v>Processed material</x:v>
      </x:c>
      <x:c r="D198" s="4" t="str">
        <x:f>IFERROR(INDEX('Material routes'!$G$6:$G$1005,MATCH(U198,'Material routes'!$A$6:$A$1005,0)),"MISSING ID")</x:f>
        <x:v>Resources</x:v>
      </x:c>
      <x:c r="E198" s="4" t="str">
        <x:f>IFERROR(INDEX('Material routes'!$C$6:$C$1005,MATCH(U198,'Material routes'!$A$6:$A$1005,0)),"MISSING ID")</x:f>
        <x:v>Ingredient candidate</x:v>
      </x:c>
      <x:c r="F198" s="4" t="str">
        <x:f>IFERROR(INDEX('Material routes'!$E$6:$E$1005,MATCH(V198,'Material routes'!$A$6:$A$1005,0)),"MISSING ID")</x:f>
        <x:v>Bonded wing-seam reinforcement strips</x:v>
      </x:c>
      <x:c r="G198" s="4" t="str">
        <x:f>IFERROR(INDEX('Material routes'!$F$6:$F$1005,MATCH(V198,'Material routes'!$A$6:$A$1005,0)),"MISSING ID")</x:f>
        <x:v>T3</x:v>
      </x:c>
      <x:c r="H198" s="4" t="str">
        <x:f>IFERROR(INDEX('Material routes'!$H$6:$H$1005,MATCH(V198,'Material routes'!$A$6:$A$1005,0)),"MISSING ID")</x:f>
        <x:v>Processed material</x:v>
      </x:c>
      <x:c r="I198" s="4" t="str">
        <x:f>IFERROR(INDEX('Material routes'!$G$6:$G$1005,MATCH(V198,'Material routes'!$A$6:$A$1005,0)),"MISSING ID")</x:f>
        <x:v>Resources</x:v>
      </x:c>
      <x:c r="J198" s="4" t="str">
        <x:f>IFERROR(INDEX('Material routes'!$B$6:$B$1005,MATCH(U198,'Material routes'!$A$6:$A$1005,0)),"MISSING ID")</x:f>
        <x:v>design.t3.wing_seam</x:v>
      </x:c>
      <x:c r="K198" s="4" t="str">
        <x:f>IFERROR(INDEX('Crafting recipes'!$C$6:$C$1005,MATCH(J198,'Crafting recipes'!$A$6:$A$1005,0)),"MISSING ID")</x:f>
        <x:v>Material refinement</x:v>
      </x:c>
      <x:c r="L198" s="4" t="str">
        <x:f>IFERROR(INDEX('Material routes'!$K$6:$K$1005,MATCH(U198,'Material routes'!$A$6:$A$1005,0)),"MISSING ID")</x:f>
        <x:v>Proposal</x:v>
      </x:c>
      <x:c r="M198" s="4" t="str">
        <x:f>IFERROR(INDEX('Material routes'!$M$6:$M$1005,MATCH(U198,'Material routes'!$A$6:$A$1005,0)),"MISSING ID")</x:f>
        <x:v>Partial proposal</x:v>
      </x:c>
      <x:c r="N198" s="4" t="str">
        <x:f>IF(IFERROR(INDEX('Material routes'!$I$6:$I$1005,MATCH(U198,'Material routes'!$A$6:$A$1005,0)),"MISSING ID")=0,"",IFERROR(INDEX('Material routes'!$I$6:$I$1005,MATCH(U198,'Material routes'!$A$6:$A$1005,0)),"MISSING ID"))</x:f>
      </x:c>
      <x:c r="O198" s="4" t="str">
        <x:f>IFERROR(INDEX('Material routes'!$J$6:$J$1005,MATCH(U198,'Material routes'!$A$6:$A$1005,0)),"MISSING ID")</x:f>
        <x:v>Unspecified</x:v>
      </x:c>
      <x:c r="P198" s="4" t="str">
        <x:f>IF(IFERROR(INDEX('Material routes'!$I$6:$I$1005,MATCH(V198,'Material routes'!$A$6:$A$1005,0)),"MISSING ID")=0,"",IFERROR(INDEX('Material routes'!$I$6:$I$1005,MATCH(V198,'Material routes'!$A$6:$A$1005,0)),"MISSING ID"))</x:f>
      </x:c>
      <x:c r="Q198" s="4" t="str">
        <x:f>IFERROR(INDEX('Material routes'!$J$6:$J$1005,MATCH(V198,'Material routes'!$A$6:$A$1005,0)),"MISSING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routes'!$D$6:$D$1005,MATCH(U198,'Material routes'!$A$6:$A$1005,0)),"MISSING ID")</x:f>
        <x:v>proposal.branch.wing_membrane</x:v>
      </x:c>
      <x:c r="T198" s="4" t="str">
        <x:f>IFERROR(INDEX('Material routes'!$D$6:$D$1005,MATCH(V198,'Material routes'!$A$6:$A$1005,0)),"MISSING ID")</x:f>
        <x:v>proposal.t3.wing_seam</x:v>
      </x:c>
      <x:c r="U198" s="4" t="str">
        <x:v>design.t3.wing_seam.in.1</x:v>
      </x:c>
      <x:c r="V198" s="4" t="str">
        <x:v>design.t3.wing_seam.out</x:v>
      </x:c>
    </x:row>
    <x:row r="199" ht="115" customHeight="1">
      <x:c r="A199" s="4" t="str">
        <x:f>IFERROR(INDEX('Material routes'!$E$6:$E$1005,MATCH(U199,'Material routes'!$A$6:$A$1005,0)),"MISSING ID")</x:f>
        <x:v>Flexible membrane-bonding compound</x:v>
      </x:c>
      <x:c r="B199" s="4" t="str">
        <x:f>IFERROR(INDEX('Material routes'!$F$6:$F$1005,MATCH(U199,'Material routes'!$A$6:$A$1005,0)),"MISSING ID")</x:f>
        <x:v>T2</x:v>
      </x:c>
      <x:c r="C199" s="4" t="str">
        <x:f>IFERROR(INDEX('Material routes'!$H$6:$H$1005,MATCH(U199,'Material routes'!$A$6:$A$1005,0)),"MISSING ID")</x:f>
        <x:v>Chemical material</x:v>
      </x:c>
      <x:c r="D199" s="4" t="str">
        <x:f>IFERROR(INDEX('Material routes'!$G$6:$G$1005,MATCH(U199,'Material routes'!$A$6:$A$1005,0)),"MISSING ID")</x:f>
        <x:v>Resources</x:v>
      </x:c>
      <x:c r="E199" s="4" t="str">
        <x:f>IFERROR(INDEX('Material routes'!$C$6:$C$1005,MATCH(U199,'Material routes'!$A$6:$A$1005,0)),"MISSING ID")</x:f>
        <x:v>Ingredient candidate</x:v>
      </x:c>
      <x:c r="F199" s="4" t="str">
        <x:f>IFERROR(INDEX('Material routes'!$E$6:$E$1005,MATCH(V199,'Material routes'!$A$6:$A$1005,0)),"MISSING ID")</x:f>
        <x:v>Bonded wing-seam reinforcement strips</x:v>
      </x:c>
      <x:c r="G199" s="4" t="str">
        <x:f>IFERROR(INDEX('Material routes'!$F$6:$F$1005,MATCH(V199,'Material routes'!$A$6:$A$1005,0)),"MISSING ID")</x:f>
        <x:v>T3</x:v>
      </x:c>
      <x:c r="H199" s="4" t="str">
        <x:f>IFERROR(INDEX('Material routes'!$H$6:$H$1005,MATCH(V199,'Material routes'!$A$6:$A$1005,0)),"MISSING ID")</x:f>
        <x:v>Processed material</x:v>
      </x:c>
      <x:c r="I199" s="4" t="str">
        <x:f>IFERROR(INDEX('Material routes'!$G$6:$G$1005,MATCH(V199,'Material routes'!$A$6:$A$1005,0)),"MISSING ID")</x:f>
        <x:v>Resources</x:v>
      </x:c>
      <x:c r="J199" s="4" t="str">
        <x:f>IFERROR(INDEX('Material routes'!$B$6:$B$1005,MATCH(U199,'Material routes'!$A$6:$A$1005,0)),"MISSING ID")</x:f>
        <x:v>design.t3.wing_seam</x:v>
      </x:c>
      <x:c r="K199" s="4" t="str">
        <x:f>IFERROR(INDEX('Crafting recipes'!$C$6:$C$1005,MATCH(J199,'Crafting recipes'!$A$6:$A$1005,0)),"MISSING ID")</x:f>
        <x:v>Material refinement</x:v>
      </x:c>
      <x:c r="L199" s="4" t="str">
        <x:f>IFERROR(INDEX('Material routes'!$K$6:$K$1005,MATCH(U199,'Material routes'!$A$6:$A$1005,0)),"MISSING ID")</x:f>
        <x:v>Proposal</x:v>
      </x:c>
      <x:c r="M199" s="4" t="str">
        <x:f>IFERROR(INDEX('Material routes'!$M$6:$M$1005,MATCH(U199,'Material routes'!$A$6:$A$1005,0)),"MISSING ID")</x:f>
        <x:v>Partial proposal</x:v>
      </x:c>
      <x:c r="N199" s="4" t="str">
        <x:f>IF(IFERROR(INDEX('Material routes'!$I$6:$I$1005,MATCH(U199,'Material routes'!$A$6:$A$1005,0)),"MISSING ID")=0,"",IFERROR(INDEX('Material routes'!$I$6:$I$1005,MATCH(U199,'Material routes'!$A$6:$A$1005,0)),"MISSING ID"))</x:f>
      </x:c>
      <x:c r="O199" s="4" t="str">
        <x:f>IFERROR(INDEX('Material routes'!$J$6:$J$1005,MATCH(U199,'Material routes'!$A$6:$A$1005,0)),"MISSING ID")</x:f>
        <x:v>Unspecified</x:v>
      </x:c>
      <x:c r="P199" s="4" t="str">
        <x:f>IF(IFERROR(INDEX('Material routes'!$I$6:$I$1005,MATCH(V199,'Material routes'!$A$6:$A$1005,0)),"MISSING ID")=0,"",IFERROR(INDEX('Material routes'!$I$6:$I$1005,MATCH(V199,'Material routes'!$A$6:$A$1005,0)),"MISSING ID"))</x:f>
      </x:c>
      <x:c r="Q199" s="4" t="str">
        <x:f>IFERROR(INDEX('Material routes'!$J$6:$J$1005,MATCH(V199,'Material routes'!$A$6:$A$1005,0)),"MISSING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routes'!$D$6:$D$1005,MATCH(U199,'Material routes'!$A$6:$A$1005,0)),"MISSING ID")</x:f>
        <x:v>proposal.branch.flex_bond</x:v>
      </x:c>
      <x:c r="T199" s="4" t="str">
        <x:f>IFERROR(INDEX('Material routes'!$D$6:$D$1005,MATCH(V199,'Material routes'!$A$6:$A$1005,0)),"MISSING ID")</x:f>
        <x:v>proposal.t3.wing_seam</x:v>
      </x:c>
      <x:c r="U199" s="4" t="str">
        <x:v>design.t3.wing_seam.in.2</x:v>
      </x:c>
      <x:c r="V199" s="4" t="str">
        <x:v>design.t3.wing_seam.out</x:v>
      </x:c>
    </x:row>
    <x:row r="200" ht="115" customHeight="1">
      <x:c r="A200" s="4" t="str">
        <x:f>IFERROR(INDEX('Material routes'!$E$6:$E$1005,MATCH(U200,'Material routes'!$A$6:$A$1005,0)),"MISSING ID")</x:f>
        <x:v>Reinforced wing membrane</x:v>
      </x:c>
      <x:c r="B200" s="4" t="str">
        <x:f>IFERROR(INDEX('Material routes'!$F$6:$F$1005,MATCH(U200,'Material routes'!$A$6:$A$1005,0)),"MISSING ID")</x:f>
        <x:v>T2</x:v>
      </x:c>
      <x:c r="C200" s="4" t="str">
        <x:f>IFERROR(INDEX('Material routes'!$H$6:$H$1005,MATCH(U200,'Material routes'!$A$6:$A$1005,0)),"MISSING ID")</x:f>
        <x:v>Processed material</x:v>
      </x:c>
      <x:c r="D200" s="4" t="str">
        <x:f>IFERROR(INDEX('Material routes'!$G$6:$G$1005,MATCH(U200,'Material routes'!$A$6:$A$1005,0)),"MISSING ID")</x:f>
        <x:v>Resources</x:v>
      </x:c>
      <x:c r="E200" s="4" t="str">
        <x:f>IFERROR(INDEX('Material routes'!$C$6:$C$1005,MATCH(U200,'Material routes'!$A$6:$A$1005,0)),"MISSING ID")</x:f>
        <x:v>Ingredient candidate</x:v>
      </x:c>
      <x:c r="F200" s="4" t="str">
        <x:f>IFERROR(INDEX('Material routes'!$E$6:$E$1005,MATCH(V200,'Material routes'!$A$6:$A$1005,0)),"MISSING ID")</x:f>
        <x:v>Matched folding wing-panel sets</x:v>
      </x:c>
      <x:c r="G200" s="4" t="str">
        <x:f>IFERROR(INDEX('Material routes'!$F$6:$F$1005,MATCH(V200,'Material routes'!$A$6:$A$1005,0)),"MISSING ID")</x:f>
        <x:v>T3</x:v>
      </x:c>
      <x:c r="H200" s="4" t="str">
        <x:f>IFERROR(INDEX('Material routes'!$H$6:$H$1005,MATCH(V200,'Material routes'!$A$6:$A$1005,0)),"MISSING ID")</x:f>
        <x:v>Crafting component</x:v>
      </x:c>
      <x:c r="I200" s="4" t="str">
        <x:f>IFERROR(INDEX('Material routes'!$G$6:$G$1005,MATCH(V200,'Material routes'!$A$6:$A$1005,0)),"MISSING ID")</x:f>
        <x:v>Crafting components</x:v>
      </x:c>
      <x:c r="J200" s="4" t="str">
        <x:f>IFERROR(INDEX('Material routes'!$B$6:$B$1005,MATCH(U200,'Material routes'!$A$6:$A$1005,0)),"MISSING ID")</x:f>
        <x:v>design.t3.sail_panel_set</x:v>
      </x:c>
      <x:c r="K200" s="4" t="str">
        <x:f>IFERROR(INDEX('Crafting recipes'!$C$6:$C$1005,MATCH(J200,'Crafting recipes'!$A$6:$A$1005,0)),"MISSING ID")</x:f>
        <x:v>Material refinement</x:v>
      </x:c>
      <x:c r="L200" s="4" t="str">
        <x:f>IFERROR(INDEX('Material routes'!$K$6:$K$1005,MATCH(U200,'Material routes'!$A$6:$A$1005,0)),"MISSING ID")</x:f>
        <x:v>Proposal</x:v>
      </x:c>
      <x:c r="M200" s="4" t="str">
        <x:f>IFERROR(INDEX('Material routes'!$M$6:$M$1005,MATCH(U200,'Material routes'!$A$6:$A$1005,0)),"MISSING ID")</x:f>
        <x:v>Partial proposal</x:v>
      </x:c>
      <x:c r="N200" s="4" t="str">
        <x:f>IF(IFERROR(INDEX('Material routes'!$I$6:$I$1005,MATCH(U200,'Material routes'!$A$6:$A$1005,0)),"MISSING ID")=0,"",IFERROR(INDEX('Material routes'!$I$6:$I$1005,MATCH(U200,'Material routes'!$A$6:$A$1005,0)),"MISSING ID"))</x:f>
      </x:c>
      <x:c r="O200" s="4" t="str">
        <x:f>IFERROR(INDEX('Material routes'!$J$6:$J$1005,MATCH(U200,'Material routes'!$A$6:$A$1005,0)),"MISSING ID")</x:f>
        <x:v>Unspecified</x:v>
      </x:c>
      <x:c r="P200" s="4" t="str">
        <x:f>IF(IFERROR(INDEX('Material routes'!$I$6:$I$1005,MATCH(V200,'Material routes'!$A$6:$A$1005,0)),"MISSING ID")=0,"",IFERROR(INDEX('Material routes'!$I$6:$I$1005,MATCH(V200,'Material routes'!$A$6:$A$1005,0)),"MISSING ID"))</x:f>
      </x:c>
      <x:c r="Q200" s="4" t="str">
        <x:f>IFERROR(INDEX('Material routes'!$J$6:$J$1005,MATCH(V200,'Material routes'!$A$6:$A$1005,0)),"MISSING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routes'!$D$6:$D$1005,MATCH(U200,'Material routes'!$A$6:$A$1005,0)),"MISSING ID")</x:f>
        <x:v>proposal.branch.wing_membrane</x:v>
      </x:c>
      <x:c r="T200" s="4" t="str">
        <x:f>IFERROR(INDEX('Material routes'!$D$6:$D$1005,MATCH(V200,'Material routes'!$A$6:$A$1005,0)),"MISSING ID")</x:f>
        <x:v>proposal.t3.sail_panel_set</x:v>
      </x:c>
      <x:c r="U200" s="4" t="str">
        <x:v>design.t3.sail_panel_set.in.1</x:v>
      </x:c>
      <x:c r="V200" s="4" t="str">
        <x:v>design.t3.sail_panel_set.out</x:v>
      </x:c>
    </x:row>
    <x:row r="201" ht="115" customHeight="1">
      <x:c r="A201" s="4" t="str">
        <x:f>IFERROR(INDEX('Material routes'!$E$6:$E$1005,MATCH(U201,'Material routes'!$A$6:$A$1005,0)),"MISSING ID")</x:f>
        <x:v>Flexible membrane-bonding compound</x:v>
      </x:c>
      <x:c r="B201" s="4" t="str">
        <x:f>IFERROR(INDEX('Material routes'!$F$6:$F$1005,MATCH(U201,'Material routes'!$A$6:$A$1005,0)),"MISSING ID")</x:f>
        <x:v>T2</x:v>
      </x:c>
      <x:c r="C201" s="4" t="str">
        <x:f>IFERROR(INDEX('Material routes'!$H$6:$H$1005,MATCH(U201,'Material routes'!$A$6:$A$1005,0)),"MISSING ID")</x:f>
        <x:v>Chemical material</x:v>
      </x:c>
      <x:c r="D201" s="4" t="str">
        <x:f>IFERROR(INDEX('Material routes'!$G$6:$G$1005,MATCH(U201,'Material routes'!$A$6:$A$1005,0)),"MISSING ID")</x:f>
        <x:v>Resources</x:v>
      </x:c>
      <x:c r="E201" s="4" t="str">
        <x:f>IFERROR(INDEX('Material routes'!$C$6:$C$1005,MATCH(U201,'Material routes'!$A$6:$A$1005,0)),"MISSING ID")</x:f>
        <x:v>Ingredient candidate</x:v>
      </x:c>
      <x:c r="F201" s="4" t="str">
        <x:f>IFERROR(INDEX('Material routes'!$E$6:$E$1005,MATCH(V201,'Material routes'!$A$6:$A$1005,0)),"MISSING ID")</x:f>
        <x:v>Matched folding wing-panel sets</x:v>
      </x:c>
      <x:c r="G201" s="4" t="str">
        <x:f>IFERROR(INDEX('Material routes'!$F$6:$F$1005,MATCH(V201,'Material routes'!$A$6:$A$1005,0)),"MISSING ID")</x:f>
        <x:v>T3</x:v>
      </x:c>
      <x:c r="H201" s="4" t="str">
        <x:f>IFERROR(INDEX('Material routes'!$H$6:$H$1005,MATCH(V201,'Material routes'!$A$6:$A$1005,0)),"MISSING ID")</x:f>
        <x:v>Crafting component</x:v>
      </x:c>
      <x:c r="I201" s="4" t="str">
        <x:f>IFERROR(INDEX('Material routes'!$G$6:$G$1005,MATCH(V201,'Material routes'!$A$6:$A$1005,0)),"MISSING ID")</x:f>
        <x:v>Crafting components</x:v>
      </x:c>
      <x:c r="J201" s="4" t="str">
        <x:f>IFERROR(INDEX('Material routes'!$B$6:$B$1005,MATCH(U201,'Material routes'!$A$6:$A$1005,0)),"MISSING ID")</x:f>
        <x:v>design.t3.sail_panel_set</x:v>
      </x:c>
      <x:c r="K201" s="4" t="str">
        <x:f>IFERROR(INDEX('Crafting recipes'!$C$6:$C$1005,MATCH(J201,'Crafting recipes'!$A$6:$A$1005,0)),"MISSING ID")</x:f>
        <x:v>Material refinement</x:v>
      </x:c>
      <x:c r="L201" s="4" t="str">
        <x:f>IFERROR(INDEX('Material routes'!$K$6:$K$1005,MATCH(U201,'Material routes'!$A$6:$A$1005,0)),"MISSING ID")</x:f>
        <x:v>Proposal</x:v>
      </x:c>
      <x:c r="M201" s="4" t="str">
        <x:f>IFERROR(INDEX('Material routes'!$M$6:$M$1005,MATCH(U201,'Material routes'!$A$6:$A$1005,0)),"MISSING ID")</x:f>
        <x:v>Partial proposal</x:v>
      </x:c>
      <x:c r="N201" s="4" t="str">
        <x:f>IF(IFERROR(INDEX('Material routes'!$I$6:$I$1005,MATCH(U201,'Material routes'!$A$6:$A$1005,0)),"MISSING ID")=0,"",IFERROR(INDEX('Material routes'!$I$6:$I$1005,MATCH(U201,'Material routes'!$A$6:$A$1005,0)),"MISSING ID"))</x:f>
      </x:c>
      <x:c r="O201" s="4" t="str">
        <x:f>IFERROR(INDEX('Material routes'!$J$6:$J$1005,MATCH(U201,'Material routes'!$A$6:$A$1005,0)),"MISSING ID")</x:f>
        <x:v>Unspecified</x:v>
      </x:c>
      <x:c r="P201" s="4" t="str">
        <x:f>IF(IFERROR(INDEX('Material routes'!$I$6:$I$1005,MATCH(V201,'Material routes'!$A$6:$A$1005,0)),"MISSING ID")=0,"",IFERROR(INDEX('Material routes'!$I$6:$I$1005,MATCH(V201,'Material routes'!$A$6:$A$1005,0)),"MISSING ID"))</x:f>
      </x:c>
      <x:c r="Q201" s="4" t="str">
        <x:f>IFERROR(INDEX('Material routes'!$J$6:$J$1005,MATCH(V201,'Material routes'!$A$6:$A$1005,0)),"MISSING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routes'!$D$6:$D$1005,MATCH(U201,'Material routes'!$A$6:$A$1005,0)),"MISSING ID")</x:f>
        <x:v>proposal.branch.flex_bond</x:v>
      </x:c>
      <x:c r="T201" s="4" t="str">
        <x:f>IFERROR(INDEX('Material routes'!$D$6:$D$1005,MATCH(V201,'Material routes'!$A$6:$A$1005,0)),"MISSING ID")</x:f>
        <x:v>proposal.t3.sail_panel_set</x:v>
      </x:c>
      <x:c r="U201" s="4" t="str">
        <x:v>design.t3.sail_panel_set.in.2</x:v>
      </x:c>
      <x:c r="V201" s="4" t="str">
        <x:v>design.t3.sail_panel_set.out</x:v>
      </x:c>
    </x:row>
    <x:row r="202" ht="115" customHeight="1">
      <x:c r="A202" s="4" t="str">
        <x:f>IFERROR(INDEX('Material routes'!$E$6:$E$1005,MATCH(U202,'Material routes'!$A$6:$A$1005,0)),"MISSING ID")</x:f>
        <x:v>Prepared bronze bearing stock</x:v>
      </x:c>
      <x:c r="B202" s="4" t="str">
        <x:f>IFERROR(INDEX('Material routes'!$F$6:$F$1005,MATCH(U202,'Material routes'!$A$6:$A$1005,0)),"MISSING ID")</x:f>
        <x:v>T2</x:v>
      </x:c>
      <x:c r="C202" s="4" t="str">
        <x:f>IFERROR(INDEX('Material routes'!$H$6:$H$1005,MATCH(U202,'Material routes'!$A$6:$A$1005,0)),"MISSING ID")</x:f>
        <x:v>Processed material</x:v>
      </x:c>
      <x:c r="D202" s="4" t="str">
        <x:f>IFERROR(INDEX('Material routes'!$G$6:$G$1005,MATCH(U202,'Material routes'!$A$6:$A$1005,0)),"MISSING ID")</x:f>
        <x:v>Resources</x:v>
      </x:c>
      <x:c r="E202" s="4" t="str">
        <x:f>IFERROR(INDEX('Material routes'!$C$6:$C$1005,MATCH(U202,'Material routes'!$A$6:$A$1005,0)),"MISSING ID")</x:f>
        <x:v>Ingredient candidate</x:v>
      </x:c>
      <x:c r="F202" s="4" t="str">
        <x:f>IFERROR(INDEX('Material routes'!$E$6:$E$1005,MATCH(V202,'Material routes'!$A$6:$A$1005,0)),"MISSING ID")</x:f>
        <x:v>Matched folding wing-panel sets</x:v>
      </x:c>
      <x:c r="G202" s="4" t="str">
        <x:f>IFERROR(INDEX('Material routes'!$F$6:$F$1005,MATCH(V202,'Material routes'!$A$6:$A$1005,0)),"MISSING ID")</x:f>
        <x:v>T3</x:v>
      </x:c>
      <x:c r="H202" s="4" t="str">
        <x:f>IFERROR(INDEX('Material routes'!$H$6:$H$1005,MATCH(V202,'Material routes'!$A$6:$A$1005,0)),"MISSING ID")</x:f>
        <x:v>Crafting component</x:v>
      </x:c>
      <x:c r="I202" s="4" t="str">
        <x:f>IFERROR(INDEX('Material routes'!$G$6:$G$1005,MATCH(V202,'Material routes'!$A$6:$A$1005,0)),"MISSING ID")</x:f>
        <x:v>Crafting components</x:v>
      </x:c>
      <x:c r="J202" s="4" t="str">
        <x:f>IFERROR(INDEX('Material routes'!$B$6:$B$1005,MATCH(U202,'Material routes'!$A$6:$A$1005,0)),"MISSING ID")</x:f>
        <x:v>design.t3.sail_panel_set</x:v>
      </x:c>
      <x:c r="K202" s="4" t="str">
        <x:f>IFERROR(INDEX('Crafting recipes'!$C$6:$C$1005,MATCH(J202,'Crafting recipes'!$A$6:$A$1005,0)),"MISSING ID")</x:f>
        <x:v>Material refinement</x:v>
      </x:c>
      <x:c r="L202" s="4" t="str">
        <x:f>IFERROR(INDEX('Material routes'!$K$6:$K$1005,MATCH(U202,'Material routes'!$A$6:$A$1005,0)),"MISSING ID")</x:f>
        <x:v>Proposal</x:v>
      </x:c>
      <x:c r="M202" s="4" t="str">
        <x:f>IFERROR(INDEX('Material routes'!$M$6:$M$1005,MATCH(U202,'Material routes'!$A$6:$A$1005,0)),"MISSING ID")</x:f>
        <x:v>Partial proposal</x:v>
      </x:c>
      <x:c r="N202" s="4" t="str">
        <x:f>IF(IFERROR(INDEX('Material routes'!$I$6:$I$1005,MATCH(U202,'Material routes'!$A$6:$A$1005,0)),"MISSING ID")=0,"",IFERROR(INDEX('Material routes'!$I$6:$I$1005,MATCH(U202,'Material routes'!$A$6:$A$1005,0)),"MISSING ID"))</x:f>
      </x:c>
      <x:c r="O202" s="4" t="str">
        <x:f>IFERROR(INDEX('Material routes'!$J$6:$J$1005,MATCH(U202,'Material routes'!$A$6:$A$1005,0)),"MISSING ID")</x:f>
        <x:v>Unspecified</x:v>
      </x:c>
      <x:c r="P202" s="4" t="str">
        <x:f>IF(IFERROR(INDEX('Material routes'!$I$6:$I$1005,MATCH(V202,'Material routes'!$A$6:$A$1005,0)),"MISSING ID")=0,"",IFERROR(INDEX('Material routes'!$I$6:$I$1005,MATCH(V202,'Material routes'!$A$6:$A$1005,0)),"MISSING ID"))</x:f>
      </x:c>
      <x:c r="Q202" s="4" t="str">
        <x:f>IFERROR(INDEX('Material routes'!$J$6:$J$1005,MATCH(V202,'Material routes'!$A$6:$A$1005,0)),"MISSING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routes'!$D$6:$D$1005,MATCH(U202,'Material routes'!$A$6:$A$1005,0)),"MISSING ID")</x:f>
        <x:v>proposal.branch.bearing_bronze</x:v>
      </x:c>
      <x:c r="T202" s="4" t="str">
        <x:f>IFERROR(INDEX('Material routes'!$D$6:$D$1005,MATCH(V202,'Material routes'!$A$6:$A$1005,0)),"MISSING ID")</x:f>
        <x:v>proposal.t3.sail_panel_set</x:v>
      </x:c>
      <x:c r="U202" s="4" t="str">
        <x:v>design.t3.sail_panel_set.in.3</x:v>
      </x:c>
      <x:c r="V202" s="4" t="str">
        <x:v>design.t3.sail_panel_set.out</x:v>
      </x:c>
    </x:row>
    <x:row r="203" ht="115" customHeight="1">
      <x:c r="A203" s="4" t="str">
        <x:f>IFERROR(INDEX('Material routes'!$E$6:$E$1005,MATCH(U203,'Material routes'!$A$6:$A$1005,0)),"MISSING ID")</x:f>
        <x:v>Bonded husk sheet</x:v>
      </x:c>
      <x:c r="B203" s="4" t="str">
        <x:f>IFERROR(INDEX('Material routes'!$F$6:$F$1005,MATCH(U203,'Material routes'!$A$6:$A$1005,0)),"MISSING ID")</x:f>
        <x:v>T2</x:v>
      </x:c>
      <x:c r="C203" s="4" t="str">
        <x:f>IFERROR(INDEX('Material routes'!$H$6:$H$1005,MATCH(U203,'Material routes'!$A$6:$A$1005,0)),"MISSING ID")</x:f>
        <x:v>Processed material</x:v>
      </x:c>
      <x:c r="D203" s="4" t="str">
        <x:f>IFERROR(INDEX('Material routes'!$G$6:$G$1005,MATCH(U203,'Material routes'!$A$6:$A$1005,0)),"MISSING ID")</x:f>
        <x:v>Resources</x:v>
      </x:c>
      <x:c r="E203" s="4" t="str">
        <x:f>IFERROR(INDEX('Material routes'!$C$6:$C$1005,MATCH(U203,'Material routes'!$A$6:$A$1005,0)),"MISSING ID")</x:f>
        <x:v>Ingredient candidate</x:v>
      </x:c>
      <x:c r="F203" s="4" t="str">
        <x:f>IFERROR(INDEX('Material routes'!$E$6:$E$1005,MATCH(V203,'Material routes'!$A$6:$A$1005,0)),"MISSING ID")</x:f>
        <x:v>Flexible husk joint strips</x:v>
      </x:c>
      <x:c r="G203" s="4" t="str">
        <x:f>IFERROR(INDEX('Material routes'!$F$6:$F$1005,MATCH(V203,'Material routes'!$A$6:$A$1005,0)),"MISSING ID")</x:f>
        <x:v>T3</x:v>
      </x:c>
      <x:c r="H203" s="4" t="str">
        <x:f>IFERROR(INDEX('Material routes'!$H$6:$H$1005,MATCH(V203,'Material routes'!$A$6:$A$1005,0)),"MISSING ID")</x:f>
        <x:v>Processed material</x:v>
      </x:c>
      <x:c r="I203" s="4" t="str">
        <x:f>IFERROR(INDEX('Material routes'!$G$6:$G$1005,MATCH(V203,'Material routes'!$A$6:$A$1005,0)),"MISSING ID")</x:f>
        <x:v>Resources</x:v>
      </x:c>
      <x:c r="J203" s="4" t="str">
        <x:f>IFERROR(INDEX('Material routes'!$B$6:$B$1005,MATCH(U203,'Material routes'!$A$6:$A$1005,0)),"MISSING ID")</x:f>
        <x:v>design.t3.husk_joint</x:v>
      </x:c>
      <x:c r="K203" s="4" t="str">
        <x:f>IFERROR(INDEX('Crafting recipes'!$C$6:$C$1005,MATCH(J203,'Crafting recipes'!$A$6:$A$1005,0)),"MISSING ID")</x:f>
        <x:v>Material refinement</x:v>
      </x:c>
      <x:c r="L203" s="4" t="str">
        <x:f>IFERROR(INDEX('Material routes'!$K$6:$K$1005,MATCH(U203,'Material routes'!$A$6:$A$1005,0)),"MISSING ID")</x:f>
        <x:v>Proposal</x:v>
      </x:c>
      <x:c r="M203" s="4" t="str">
        <x:f>IFERROR(INDEX('Material routes'!$M$6:$M$1005,MATCH(U203,'Material routes'!$A$6:$A$1005,0)),"MISSING ID")</x:f>
        <x:v>Partial proposal</x:v>
      </x:c>
      <x:c r="N203" s="4" t="str">
        <x:f>IF(IFERROR(INDEX('Material routes'!$I$6:$I$1005,MATCH(U203,'Material routes'!$A$6:$A$1005,0)),"MISSING ID")=0,"",IFERROR(INDEX('Material routes'!$I$6:$I$1005,MATCH(U203,'Material routes'!$A$6:$A$1005,0)),"MISSING ID"))</x:f>
      </x:c>
      <x:c r="O203" s="4" t="str">
        <x:f>IFERROR(INDEX('Material routes'!$J$6:$J$1005,MATCH(U203,'Material routes'!$A$6:$A$1005,0)),"MISSING ID")</x:f>
        <x:v>Unspecified</x:v>
      </x:c>
      <x:c r="P203" s="4" t="str">
        <x:f>IF(IFERROR(INDEX('Material routes'!$I$6:$I$1005,MATCH(V203,'Material routes'!$A$6:$A$1005,0)),"MISSING ID")=0,"",IFERROR(INDEX('Material routes'!$I$6:$I$1005,MATCH(V203,'Material routes'!$A$6:$A$1005,0)),"MISSING ID"))</x:f>
      </x:c>
      <x:c r="Q203" s="4" t="str">
        <x:f>IFERROR(INDEX('Material routes'!$J$6:$J$1005,MATCH(V203,'Material routes'!$A$6:$A$1005,0)),"MISSING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routes'!$D$6:$D$1005,MATCH(U203,'Material routes'!$A$6:$A$1005,0)),"MISSING ID")</x:f>
        <x:v>proposal.branch.husk_sheet</x:v>
      </x:c>
      <x:c r="T203" s="4" t="str">
        <x:f>IFERROR(INDEX('Material routes'!$D$6:$D$1005,MATCH(V203,'Material routes'!$A$6:$A$1005,0)),"MISSING ID")</x:f>
        <x:v>proposal.t3.husk_joint</x:v>
      </x:c>
      <x:c r="U203" s="4" t="str">
        <x:v>design.t3.husk_joint.in.1</x:v>
      </x:c>
      <x:c r="V203" s="4" t="str">
        <x:v>design.t3.husk_joint.out</x:v>
      </x:c>
    </x:row>
    <x:row r="204" ht="115" customHeight="1">
      <x:c r="A204" s="4" t="str">
        <x:f>IFERROR(INDEX('Material routes'!$E$6:$E$1005,MATCH(U204,'Material routes'!$A$6:$A$1005,0)),"MISSING ID")</x:f>
        <x:v>Flexible membrane-bonding compound</x:v>
      </x:c>
      <x:c r="B204" s="4" t="str">
        <x:f>IFERROR(INDEX('Material routes'!$F$6:$F$1005,MATCH(U204,'Material routes'!$A$6:$A$1005,0)),"MISSING ID")</x:f>
        <x:v>T2</x:v>
      </x:c>
      <x:c r="C204" s="4" t="str">
        <x:f>IFERROR(INDEX('Material routes'!$H$6:$H$1005,MATCH(U204,'Material routes'!$A$6:$A$1005,0)),"MISSING ID")</x:f>
        <x:v>Chemical material</x:v>
      </x:c>
      <x:c r="D204" s="4" t="str">
        <x:f>IFERROR(INDEX('Material routes'!$G$6:$G$1005,MATCH(U204,'Material routes'!$A$6:$A$1005,0)),"MISSING ID")</x:f>
        <x:v>Resources</x:v>
      </x:c>
      <x:c r="E204" s="4" t="str">
        <x:f>IFERROR(INDEX('Material routes'!$C$6:$C$1005,MATCH(U204,'Material routes'!$A$6:$A$1005,0)),"MISSING ID")</x:f>
        <x:v>Ingredient candidate</x:v>
      </x:c>
      <x:c r="F204" s="4" t="str">
        <x:f>IFERROR(INDEX('Material routes'!$E$6:$E$1005,MATCH(V204,'Material routes'!$A$6:$A$1005,0)),"MISSING ID")</x:f>
        <x:v>Flexible husk joint strips</x:v>
      </x:c>
      <x:c r="G204" s="4" t="str">
        <x:f>IFERROR(INDEX('Material routes'!$F$6:$F$1005,MATCH(V204,'Material routes'!$A$6:$A$1005,0)),"MISSING ID")</x:f>
        <x:v>T3</x:v>
      </x:c>
      <x:c r="H204" s="4" t="str">
        <x:f>IFERROR(INDEX('Material routes'!$H$6:$H$1005,MATCH(V204,'Material routes'!$A$6:$A$1005,0)),"MISSING ID")</x:f>
        <x:v>Processed material</x:v>
      </x:c>
      <x:c r="I204" s="4" t="str">
        <x:f>IFERROR(INDEX('Material routes'!$G$6:$G$1005,MATCH(V204,'Material routes'!$A$6:$A$1005,0)),"MISSING ID")</x:f>
        <x:v>Resources</x:v>
      </x:c>
      <x:c r="J204" s="4" t="str">
        <x:f>IFERROR(INDEX('Material routes'!$B$6:$B$1005,MATCH(U204,'Material routes'!$A$6:$A$1005,0)),"MISSING ID")</x:f>
        <x:v>design.t3.husk_joint</x:v>
      </x:c>
      <x:c r="K204" s="4" t="str">
        <x:f>IFERROR(INDEX('Crafting recipes'!$C$6:$C$1005,MATCH(J204,'Crafting recipes'!$A$6:$A$1005,0)),"MISSING ID")</x:f>
        <x:v>Material refinement</x:v>
      </x:c>
      <x:c r="L204" s="4" t="str">
        <x:f>IFERROR(INDEX('Material routes'!$K$6:$K$1005,MATCH(U204,'Material routes'!$A$6:$A$1005,0)),"MISSING ID")</x:f>
        <x:v>Proposal</x:v>
      </x:c>
      <x:c r="M204" s="4" t="str">
        <x:f>IFERROR(INDEX('Material routes'!$M$6:$M$1005,MATCH(U204,'Material routes'!$A$6:$A$1005,0)),"MISSING ID")</x:f>
        <x:v>Partial proposal</x:v>
      </x:c>
      <x:c r="N204" s="4" t="str">
        <x:f>IF(IFERROR(INDEX('Material routes'!$I$6:$I$1005,MATCH(U204,'Material routes'!$A$6:$A$1005,0)),"MISSING ID")=0,"",IFERROR(INDEX('Material routes'!$I$6:$I$1005,MATCH(U204,'Material routes'!$A$6:$A$1005,0)),"MISSING ID"))</x:f>
      </x:c>
      <x:c r="O204" s="4" t="str">
        <x:f>IFERROR(INDEX('Material routes'!$J$6:$J$1005,MATCH(U204,'Material routes'!$A$6:$A$1005,0)),"MISSING ID")</x:f>
        <x:v>Unspecified</x:v>
      </x:c>
      <x:c r="P204" s="4" t="str">
        <x:f>IF(IFERROR(INDEX('Material routes'!$I$6:$I$1005,MATCH(V204,'Material routes'!$A$6:$A$1005,0)),"MISSING ID")=0,"",IFERROR(INDEX('Material routes'!$I$6:$I$1005,MATCH(V204,'Material routes'!$A$6:$A$1005,0)),"MISSING ID"))</x:f>
      </x:c>
      <x:c r="Q204" s="4" t="str">
        <x:f>IFERROR(INDEX('Material routes'!$J$6:$J$1005,MATCH(V204,'Material routes'!$A$6:$A$1005,0)),"MISSING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routes'!$D$6:$D$1005,MATCH(U204,'Material routes'!$A$6:$A$1005,0)),"MISSING ID")</x:f>
        <x:v>proposal.branch.flex_bond</x:v>
      </x:c>
      <x:c r="T204" s="4" t="str">
        <x:f>IFERROR(INDEX('Material routes'!$D$6:$D$1005,MATCH(V204,'Material routes'!$A$6:$A$1005,0)),"MISSING ID")</x:f>
        <x:v>proposal.t3.husk_joint</x:v>
      </x:c>
      <x:c r="U204" s="4" t="str">
        <x:v>design.t3.husk_joint.in.2</x:v>
      </x:c>
      <x:c r="V204" s="4" t="str">
        <x:v>design.t3.husk_joint.out</x:v>
      </x:c>
    </x:row>
    <x:row r="205" ht="115" customHeight="1">
      <x:c r="A205" s="4" t="str">
        <x:f>IFERROR(INDEX('Material routes'!$E$6:$E$1005,MATCH(U205,'Material routes'!$A$6:$A$1005,0)),"MISSING ID")</x:f>
        <x:v>Steel stock</x:v>
      </x:c>
      <x:c r="B205" s="4" t="str">
        <x:f>IFERROR(INDEX('Material routes'!$F$6:$F$1005,MATCH(U205,'Material routes'!$A$6:$A$1005,0)),"MISSING ID")</x:f>
        <x:v>T2</x:v>
      </x:c>
      <x:c r="C205" s="4" t="str">
        <x:f>IFERROR(INDEX('Material routes'!$H$6:$H$1005,MATCH(U205,'Material routes'!$A$6:$A$1005,0)),"MISSING ID")</x:f>
        <x:v>Processed material</x:v>
      </x:c>
      <x:c r="D205" s="4" t="str">
        <x:f>IFERROR(INDEX('Material routes'!$G$6:$G$1005,MATCH(U205,'Material routes'!$A$6:$A$1005,0)),"MISSING ID")</x:f>
        <x:v>Resources</x:v>
      </x:c>
      <x:c r="E205" s="4" t="str">
        <x:f>IFERROR(INDEX('Material routes'!$C$6:$C$1005,MATCH(U205,'Material routes'!$A$6:$A$1005,0)),"MISSING ID")</x:f>
        <x:v>Ingredient candidate</x:v>
      </x:c>
      <x:c r="F205" s="4" t="str">
        <x:f>IFERROR(INDEX('Material routes'!$E$6:$E$1005,MATCH(V205,'Material routes'!$A$6:$A$1005,0)),"MISSING ID")</x:f>
        <x:v>Bonded abrasive-faced stock</x:v>
      </x:c>
      <x:c r="G205" s="4" t="str">
        <x:f>IFERROR(INDEX('Material routes'!$F$6:$F$1005,MATCH(V205,'Material routes'!$A$6:$A$1005,0)),"MISSING ID")</x:f>
        <x:v>T3</x:v>
      </x:c>
      <x:c r="H205" s="4" t="str">
        <x:f>IFERROR(INDEX('Material routes'!$H$6:$H$1005,MATCH(V205,'Material routes'!$A$6:$A$1005,0)),"MISSING ID")</x:f>
        <x:v>Processed material</x:v>
      </x:c>
      <x:c r="I205" s="4" t="str">
        <x:f>IFERROR(INDEX('Material routes'!$G$6:$G$1005,MATCH(V205,'Material routes'!$A$6:$A$1005,0)),"MISSING ID")</x:f>
        <x:v>Resources</x:v>
      </x:c>
      <x:c r="J205" s="4" t="str">
        <x:f>IFERROR(INDEX('Material routes'!$B$6:$B$1005,MATCH(U205,'Material routes'!$A$6:$A$1005,0)),"MISSING ID")</x:f>
        <x:v>design.t3.abrasive_stock</x:v>
      </x:c>
      <x:c r="K205" s="4" t="str">
        <x:f>IFERROR(INDEX('Crafting recipes'!$C$6:$C$1005,MATCH(J205,'Crafting recipes'!$A$6:$A$1005,0)),"MISSING ID")</x:f>
        <x:v>Material refinement</x:v>
      </x:c>
      <x:c r="L205" s="4" t="str">
        <x:f>IFERROR(INDEX('Material routes'!$K$6:$K$1005,MATCH(U205,'Material routes'!$A$6:$A$1005,0)),"MISSING ID")</x:f>
        <x:v>Proposal</x:v>
      </x:c>
      <x:c r="M205" s="4" t="str">
        <x:f>IFERROR(INDEX('Material routes'!$M$6:$M$1005,MATCH(U205,'Material routes'!$A$6:$A$1005,0)),"MISSING ID")</x:f>
        <x:v>Partial proposal</x:v>
      </x:c>
      <x:c r="N205" s="4" t="str">
        <x:f>IF(IFERROR(INDEX('Material routes'!$I$6:$I$1005,MATCH(U205,'Material routes'!$A$6:$A$1005,0)),"MISSING ID")=0,"",IFERROR(INDEX('Material routes'!$I$6:$I$1005,MATCH(U205,'Material routes'!$A$6:$A$1005,0)),"MISSING ID"))</x:f>
      </x:c>
      <x:c r="O205" s="4" t="str">
        <x:f>IFERROR(INDEX('Material routes'!$J$6:$J$1005,MATCH(U205,'Material routes'!$A$6:$A$1005,0)),"MISSING ID")</x:f>
        <x:v>Unspecified</x:v>
      </x:c>
      <x:c r="P205" s="4" t="str">
        <x:f>IF(IFERROR(INDEX('Material routes'!$I$6:$I$1005,MATCH(V205,'Material routes'!$A$6:$A$1005,0)),"MISSING ID")=0,"",IFERROR(INDEX('Material routes'!$I$6:$I$1005,MATCH(V205,'Material routes'!$A$6:$A$1005,0)),"MISSING ID"))</x:f>
      </x:c>
      <x:c r="Q205" s="4" t="str">
        <x:f>IFERROR(INDEX('Material routes'!$J$6:$J$1005,MATCH(V205,'Material routes'!$A$6:$A$1005,0)),"MISSING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routes'!$D$6:$D$1005,MATCH(U205,'Material routes'!$A$6:$A$1005,0)),"MISSING ID")</x:f>
        <x:v>author.metallurgy.steel_stock</x:v>
      </x:c>
      <x:c r="T205" s="4" t="str">
        <x:f>IFERROR(INDEX('Material routes'!$D$6:$D$1005,MATCH(V205,'Material routes'!$A$6:$A$1005,0)),"MISSING ID")</x:f>
        <x:v>proposal.t3.abrasive_stock</x:v>
      </x:c>
      <x:c r="U205" s="4" t="str">
        <x:v>design.t3.abrasive_stock.in.1</x:v>
      </x:c>
      <x:c r="V205" s="4" t="str">
        <x:v>design.t3.abrasive_stock.out</x:v>
      </x:c>
    </x:row>
    <x:row r="206" ht="115" customHeight="1">
      <x:c r="A206" s="4" t="str">
        <x:f>IFERROR(INDEX('Material routes'!$E$6:$E$1005,MATCH(U206,'Material routes'!$A$6:$A$1005,0)),"MISSING ID")</x:f>
        <x:v>Filled shell-binding compound</x:v>
      </x:c>
      <x:c r="B206" s="4" t="str">
        <x:f>IFERROR(INDEX('Material routes'!$F$6:$F$1005,MATCH(U206,'Material routes'!$A$6:$A$1005,0)),"MISSING ID")</x:f>
        <x:v>T2</x:v>
      </x:c>
      <x:c r="C206" s="4" t="str">
        <x:f>IFERROR(INDEX('Material routes'!$H$6:$H$1005,MATCH(U206,'Material routes'!$A$6:$A$1005,0)),"MISSING ID")</x:f>
        <x:v>Chemical material</x:v>
      </x:c>
      <x:c r="D206" s="4" t="str">
        <x:f>IFERROR(INDEX('Material routes'!$G$6:$G$1005,MATCH(U206,'Material routes'!$A$6:$A$1005,0)),"MISSING ID")</x:f>
        <x:v>Resources</x:v>
      </x:c>
      <x:c r="E206" s="4" t="str">
        <x:f>IFERROR(INDEX('Material routes'!$C$6:$C$1005,MATCH(U206,'Material routes'!$A$6:$A$1005,0)),"MISSING ID")</x:f>
        <x:v>Ingredient candidate</x:v>
      </x:c>
      <x:c r="F206" s="4" t="str">
        <x:f>IFERROR(INDEX('Material routes'!$E$6:$E$1005,MATCH(V206,'Material routes'!$A$6:$A$1005,0)),"MISSING ID")</x:f>
        <x:v>Bonded abrasive-faced stock</x:v>
      </x:c>
      <x:c r="G206" s="4" t="str">
        <x:f>IFERROR(INDEX('Material routes'!$F$6:$F$1005,MATCH(V206,'Material routes'!$A$6:$A$1005,0)),"MISSING ID")</x:f>
        <x:v>T3</x:v>
      </x:c>
      <x:c r="H206" s="4" t="str">
        <x:f>IFERROR(INDEX('Material routes'!$H$6:$H$1005,MATCH(V206,'Material routes'!$A$6:$A$1005,0)),"MISSING ID")</x:f>
        <x:v>Processed material</x:v>
      </x:c>
      <x:c r="I206" s="4" t="str">
        <x:f>IFERROR(INDEX('Material routes'!$G$6:$G$1005,MATCH(V206,'Material routes'!$A$6:$A$1005,0)),"MISSING ID")</x:f>
        <x:v>Resources</x:v>
      </x:c>
      <x:c r="J206" s="4" t="str">
        <x:f>IFERROR(INDEX('Material routes'!$B$6:$B$1005,MATCH(U206,'Material routes'!$A$6:$A$1005,0)),"MISSING ID")</x:f>
        <x:v>design.t3.abrasive_stock</x:v>
      </x:c>
      <x:c r="K206" s="4" t="str">
        <x:f>IFERROR(INDEX('Crafting recipes'!$C$6:$C$1005,MATCH(J206,'Crafting recipes'!$A$6:$A$1005,0)),"MISSING ID")</x:f>
        <x:v>Material refinement</x:v>
      </x:c>
      <x:c r="L206" s="4" t="str">
        <x:f>IFERROR(INDEX('Material routes'!$K$6:$K$1005,MATCH(U206,'Material routes'!$A$6:$A$1005,0)),"MISSING ID")</x:f>
        <x:v>Proposal</x:v>
      </x:c>
      <x:c r="M206" s="4" t="str">
        <x:f>IFERROR(INDEX('Material routes'!$M$6:$M$1005,MATCH(U206,'Material routes'!$A$6:$A$1005,0)),"MISSING ID")</x:f>
        <x:v>Partial proposal</x:v>
      </x:c>
      <x:c r="N206" s="4" t="str">
        <x:f>IF(IFERROR(INDEX('Material routes'!$I$6:$I$1005,MATCH(U206,'Material routes'!$A$6:$A$1005,0)),"MISSING ID")=0,"",IFERROR(INDEX('Material routes'!$I$6:$I$1005,MATCH(U206,'Material routes'!$A$6:$A$1005,0)),"MISSING ID"))</x:f>
      </x:c>
      <x:c r="O206" s="4" t="str">
        <x:f>IFERROR(INDEX('Material routes'!$J$6:$J$1005,MATCH(U206,'Material routes'!$A$6:$A$1005,0)),"MISSING ID")</x:f>
        <x:v>Unspecified</x:v>
      </x:c>
      <x:c r="P206" s="4" t="str">
        <x:f>IF(IFERROR(INDEX('Material routes'!$I$6:$I$1005,MATCH(V206,'Material routes'!$A$6:$A$1005,0)),"MISSING ID")=0,"",IFERROR(INDEX('Material routes'!$I$6:$I$1005,MATCH(V206,'Material routes'!$A$6:$A$1005,0)),"MISSING ID"))</x:f>
      </x:c>
      <x:c r="Q206" s="4" t="str">
        <x:f>IFERROR(INDEX('Material routes'!$J$6:$J$1005,MATCH(V206,'Material routes'!$A$6:$A$1005,0)),"MISSING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routes'!$D$6:$D$1005,MATCH(U206,'Material routes'!$A$6:$A$1005,0)),"MISSING ID")</x:f>
        <x:v>proposal.branch.filled_binder</x:v>
      </x:c>
      <x:c r="T206" s="4" t="str">
        <x:f>IFERROR(INDEX('Material routes'!$D$6:$D$1005,MATCH(V206,'Material routes'!$A$6:$A$1005,0)),"MISSING ID")</x:f>
        <x:v>proposal.t3.abrasive_stock</x:v>
      </x:c>
      <x:c r="U206" s="4" t="str">
        <x:v>design.t3.abrasive_stock.in.2</x:v>
      </x:c>
      <x:c r="V206" s="4" t="str">
        <x:v>design.t3.abrasive_stock.out</x:v>
      </x:c>
    </x:row>
    <x:row r="207" ht="115" customHeight="1">
      <x:c r="A207" s="4" t="str">
        <x:f>IFERROR(INDEX('Material routes'!$E$6:$E$1005,MATCH(U207,'Material routes'!$A$6:$A$1005,0)),"MISSING ID")</x:f>
        <x:v>Graded abrasive grit</x:v>
      </x:c>
      <x:c r="B207" s="4" t="str">
        <x:f>IFERROR(INDEX('Material routes'!$F$6:$F$1005,MATCH(U207,'Material routes'!$A$6:$A$1005,0)),"MISSING ID")</x:f>
        <x:v>T1</x:v>
      </x:c>
      <x:c r="C207" s="4" t="str">
        <x:f>IFERROR(INDEX('Material routes'!$H$6:$H$1005,MATCH(U207,'Material routes'!$A$6:$A$1005,0)),"MISSING ID")</x:f>
        <x:v>Processed material</x:v>
      </x:c>
      <x:c r="D207" s="4" t="str">
        <x:f>IFERROR(INDEX('Material routes'!$G$6:$G$1005,MATCH(U207,'Material routes'!$A$6:$A$1005,0)),"MISSING ID")</x:f>
        <x:v>Resources</x:v>
      </x:c>
      <x:c r="E207" s="4" t="str">
        <x:f>IFERROR(INDEX('Material routes'!$C$6:$C$1005,MATCH(U207,'Material routes'!$A$6:$A$1005,0)),"MISSING ID")</x:f>
        <x:v>Ingredient candidate</x:v>
      </x:c>
      <x:c r="F207" s="4" t="str">
        <x:f>IFERROR(INDEX('Material routes'!$E$6:$E$1005,MATCH(V207,'Material routes'!$A$6:$A$1005,0)),"MISSING ID")</x:f>
        <x:v>Bonded abrasive-faced stock</x:v>
      </x:c>
      <x:c r="G207" s="4" t="str">
        <x:f>IFERROR(INDEX('Material routes'!$F$6:$F$1005,MATCH(V207,'Material routes'!$A$6:$A$1005,0)),"MISSING ID")</x:f>
        <x:v>T3</x:v>
      </x:c>
      <x:c r="H207" s="4" t="str">
        <x:f>IFERROR(INDEX('Material routes'!$H$6:$H$1005,MATCH(V207,'Material routes'!$A$6:$A$1005,0)),"MISSING ID")</x:f>
        <x:v>Processed material</x:v>
      </x:c>
      <x:c r="I207" s="4" t="str">
        <x:f>IFERROR(INDEX('Material routes'!$G$6:$G$1005,MATCH(V207,'Material routes'!$A$6:$A$1005,0)),"MISSING ID")</x:f>
        <x:v>Resources</x:v>
      </x:c>
      <x:c r="J207" s="4" t="str">
        <x:f>IFERROR(INDEX('Material routes'!$B$6:$B$1005,MATCH(U207,'Material routes'!$A$6:$A$1005,0)),"MISSING ID")</x:f>
        <x:v>design.t3.abrasive_stock</x:v>
      </x:c>
      <x:c r="K207" s="4" t="str">
        <x:f>IFERROR(INDEX('Crafting recipes'!$C$6:$C$1005,MATCH(J207,'Crafting recipes'!$A$6:$A$1005,0)),"MISSING ID")</x:f>
        <x:v>Material refinement</x:v>
      </x:c>
      <x:c r="L207" s="4" t="str">
        <x:f>IFERROR(INDEX('Material routes'!$K$6:$K$1005,MATCH(U207,'Material routes'!$A$6:$A$1005,0)),"MISSING ID")</x:f>
        <x:v>Proposal</x:v>
      </x:c>
      <x:c r="M207" s="4" t="str">
        <x:f>IFERROR(INDEX('Material routes'!$M$6:$M$1005,MATCH(U207,'Material routes'!$A$6:$A$1005,0)),"MISSING ID")</x:f>
        <x:v>Partial proposal</x:v>
      </x:c>
      <x:c r="N207" s="4" t="str">
        <x:f>IF(IFERROR(INDEX('Material routes'!$I$6:$I$1005,MATCH(U207,'Material routes'!$A$6:$A$1005,0)),"MISSING ID")=0,"",IFERROR(INDEX('Material routes'!$I$6:$I$1005,MATCH(U207,'Material routes'!$A$6:$A$1005,0)),"MISSING ID"))</x:f>
      </x:c>
      <x:c r="O207" s="4" t="str">
        <x:f>IFERROR(INDEX('Material routes'!$J$6:$J$1005,MATCH(U207,'Material routes'!$A$6:$A$1005,0)),"MISSING ID")</x:f>
        <x:v>Unspecified</x:v>
      </x:c>
      <x:c r="P207" s="4" t="str">
        <x:f>IF(IFERROR(INDEX('Material routes'!$I$6:$I$1005,MATCH(V207,'Material routes'!$A$6:$A$1005,0)),"MISSING ID")=0,"",IFERROR(INDEX('Material routes'!$I$6:$I$1005,MATCH(V207,'Material routes'!$A$6:$A$1005,0)),"MISSING ID"))</x:f>
      </x:c>
      <x:c r="Q207" s="4" t="str">
        <x:f>IFERROR(INDEX('Material routes'!$J$6:$J$1005,MATCH(V207,'Material routes'!$A$6:$A$1005,0)),"MISSING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routes'!$D$6:$D$1005,MATCH(U207,'Material routes'!$A$6:$A$1005,0)),"MISSING ID")</x:f>
        <x:v>proposal.natural.abrasive</x:v>
      </x:c>
      <x:c r="T207" s="4" t="str">
        <x:f>IFERROR(INDEX('Material routes'!$D$6:$D$1005,MATCH(V207,'Material routes'!$A$6:$A$1005,0)),"MISSING ID")</x:f>
        <x:v>proposal.t3.abrasive_stock</x:v>
      </x:c>
      <x:c r="U207" s="4" t="str">
        <x:v>design.t3.abrasive_stock.in.3</x:v>
      </x:c>
      <x:c r="V207" s="4" t="str">
        <x:v>design.t3.abrasive_stock.out</x:v>
      </x:c>
    </x:row>
    <x:row r="208" ht="115" customHeight="1">
      <x:c r="A208" s="4" t="str">
        <x:f>IFERROR(INDEX('Material routes'!$E$6:$E$1005,MATCH(U208,'Material routes'!$A$6:$A$1005,0)),"MISSING ID")</x:f>
        <x:v>Polished gemstone blanks</x:v>
      </x:c>
      <x:c r="B208" s="4" t="str">
        <x:f>IFERROR(INDEX('Material routes'!$F$6:$F$1005,MATCH(U208,'Material routes'!$A$6:$A$1005,0)),"MISSING ID")</x:f>
        <x:v>T2</x:v>
      </x:c>
      <x:c r="C208" s="4" t="str">
        <x:f>IFERROR(INDEX('Material routes'!$H$6:$H$1005,MATCH(U208,'Material routes'!$A$6:$A$1005,0)),"MISSING ID")</x:f>
        <x:v>Processed material</x:v>
      </x:c>
      <x:c r="D208" s="4" t="str">
        <x:f>IFERROR(INDEX('Material routes'!$G$6:$G$1005,MATCH(U208,'Material routes'!$A$6:$A$1005,0)),"MISSING ID")</x:f>
        <x:v>Resources</x:v>
      </x:c>
      <x:c r="E208" s="4" t="str">
        <x:f>IFERROR(INDEX('Material routes'!$C$6:$C$1005,MATCH(U208,'Material routes'!$A$6:$A$1005,0)),"MISSING ID")</x:f>
        <x:v>Ingredient candidate</x:v>
      </x:c>
      <x:c r="F208" s="4" t="str">
        <x:f>IFERROR(INDEX('Material routes'!$E$6:$E$1005,MATCH(V208,'Material routes'!$A$6:$A$1005,0)),"MISSING ID")</x:f>
        <x:v>Gem-inlaid metal panel blanks</x:v>
      </x:c>
      <x:c r="G208" s="4" t="str">
        <x:f>IFERROR(INDEX('Material routes'!$F$6:$F$1005,MATCH(V208,'Material routes'!$A$6:$A$1005,0)),"MISSING ID")</x:f>
        <x:v>T3</x:v>
      </x:c>
      <x:c r="H208" s="4" t="str">
        <x:f>IFERROR(INDEX('Material routes'!$H$6:$H$1005,MATCH(V208,'Material routes'!$A$6:$A$1005,0)),"MISSING ID")</x:f>
        <x:v>Processed material</x:v>
      </x:c>
      <x:c r="I208" s="4" t="str">
        <x:f>IFERROR(INDEX('Material routes'!$G$6:$G$1005,MATCH(V208,'Material routes'!$A$6:$A$1005,0)),"MISSING ID")</x:f>
        <x:v>Resources</x:v>
      </x:c>
      <x:c r="J208" s="4" t="str">
        <x:f>IFERROR(INDEX('Material routes'!$B$6:$B$1005,MATCH(U208,'Material routes'!$A$6:$A$1005,0)),"MISSING ID")</x:f>
        <x:v>design.t3.inlay_stock</x:v>
      </x:c>
      <x:c r="K208" s="4" t="str">
        <x:f>IFERROR(INDEX('Crafting recipes'!$C$6:$C$1005,MATCH(J208,'Crafting recipes'!$A$6:$A$1005,0)),"MISSING ID")</x:f>
        <x:v>Material refinement</x:v>
      </x:c>
      <x:c r="L208" s="4" t="str">
        <x:f>IFERROR(INDEX('Material routes'!$K$6:$K$1005,MATCH(U208,'Material routes'!$A$6:$A$1005,0)),"MISSING ID")</x:f>
        <x:v>Proposal</x:v>
      </x:c>
      <x:c r="M208" s="4" t="str">
        <x:f>IFERROR(INDEX('Material routes'!$M$6:$M$1005,MATCH(U208,'Material routes'!$A$6:$A$1005,0)),"MISSING ID")</x:f>
        <x:v>Partial proposal</x:v>
      </x:c>
      <x:c r="N208" s="4" t="str">
        <x:f>IF(IFERROR(INDEX('Material routes'!$I$6:$I$1005,MATCH(U208,'Material routes'!$A$6:$A$1005,0)),"MISSING ID")=0,"",IFERROR(INDEX('Material routes'!$I$6:$I$1005,MATCH(U208,'Material routes'!$A$6:$A$1005,0)),"MISSING ID"))</x:f>
      </x:c>
      <x:c r="O208" s="4" t="str">
        <x:f>IFERROR(INDEX('Material routes'!$J$6:$J$1005,MATCH(U208,'Material routes'!$A$6:$A$1005,0)),"MISSING ID")</x:f>
        <x:v>Unspecified</x:v>
      </x:c>
      <x:c r="P208" s="4" t="str">
        <x:f>IF(IFERROR(INDEX('Material routes'!$I$6:$I$1005,MATCH(V208,'Material routes'!$A$6:$A$1005,0)),"MISSING ID")=0,"",IFERROR(INDEX('Material routes'!$I$6:$I$1005,MATCH(V208,'Material routes'!$A$6:$A$1005,0)),"MISSING ID"))</x:f>
      </x:c>
      <x:c r="Q208" s="4" t="str">
        <x:f>IFERROR(INDEX('Material routes'!$J$6:$J$1005,MATCH(V208,'Material routes'!$A$6:$A$1005,0)),"MISSING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routes'!$D$6:$D$1005,MATCH(U208,'Material routes'!$A$6:$A$1005,0)),"MISSING ID")</x:f>
        <x:v>proposal.branch.polished_gem</x:v>
      </x:c>
      <x:c r="T208" s="4" t="str">
        <x:f>IFERROR(INDEX('Material routes'!$D$6:$D$1005,MATCH(V208,'Material routes'!$A$6:$A$1005,0)),"MISSING ID")</x:f>
        <x:v>proposal.t3.inlay_stock</x:v>
      </x:c>
      <x:c r="U208" s="4" t="str">
        <x:v>design.t3.inlay_stock.in.1</x:v>
      </x:c>
      <x:c r="V208" s="4" t="str">
        <x:v>design.t3.inlay_stock.out</x:v>
      </x:c>
    </x:row>
    <x:row r="209" ht="115" customHeight="1">
      <x:c r="A209" s="4" t="str">
        <x:f>IFERROR(INDEX('Material routes'!$E$6:$E$1005,MATCH(U209,'Material routes'!$A$6:$A$1005,0)),"MISSING ID")</x:f>
        <x:v>Steel stock</x:v>
      </x:c>
      <x:c r="B209" s="4" t="str">
        <x:f>IFERROR(INDEX('Material routes'!$F$6:$F$1005,MATCH(U209,'Material routes'!$A$6:$A$1005,0)),"MISSING ID")</x:f>
        <x:v>T2</x:v>
      </x:c>
      <x:c r="C209" s="4" t="str">
        <x:f>IFERROR(INDEX('Material routes'!$H$6:$H$1005,MATCH(U209,'Material routes'!$A$6:$A$1005,0)),"MISSING ID")</x:f>
        <x:v>Processed material</x:v>
      </x:c>
      <x:c r="D209" s="4" t="str">
        <x:f>IFERROR(INDEX('Material routes'!$G$6:$G$1005,MATCH(U209,'Material routes'!$A$6:$A$1005,0)),"MISSING ID")</x:f>
        <x:v>Resources</x:v>
      </x:c>
      <x:c r="E209" s="4" t="str">
        <x:f>IFERROR(INDEX('Material routes'!$C$6:$C$1005,MATCH(U209,'Material routes'!$A$6:$A$1005,0)),"MISSING ID")</x:f>
        <x:v>Ingredient candidate</x:v>
      </x:c>
      <x:c r="F209" s="4" t="str">
        <x:f>IFERROR(INDEX('Material routes'!$E$6:$E$1005,MATCH(V209,'Material routes'!$A$6:$A$1005,0)),"MISSING ID")</x:f>
        <x:v>Gem-inlaid metal panel blanks</x:v>
      </x:c>
      <x:c r="G209" s="4" t="str">
        <x:f>IFERROR(INDEX('Material routes'!$F$6:$F$1005,MATCH(V209,'Material routes'!$A$6:$A$1005,0)),"MISSING ID")</x:f>
        <x:v>T3</x:v>
      </x:c>
      <x:c r="H209" s="4" t="str">
        <x:f>IFERROR(INDEX('Material routes'!$H$6:$H$1005,MATCH(V209,'Material routes'!$A$6:$A$1005,0)),"MISSING ID")</x:f>
        <x:v>Processed material</x:v>
      </x:c>
      <x:c r="I209" s="4" t="str">
        <x:f>IFERROR(INDEX('Material routes'!$G$6:$G$1005,MATCH(V209,'Material routes'!$A$6:$A$1005,0)),"MISSING ID")</x:f>
        <x:v>Resources</x:v>
      </x:c>
      <x:c r="J209" s="4" t="str">
        <x:f>IFERROR(INDEX('Material routes'!$B$6:$B$1005,MATCH(U209,'Material routes'!$A$6:$A$1005,0)),"MISSING ID")</x:f>
        <x:v>design.t3.inlay_stock</x:v>
      </x:c>
      <x:c r="K209" s="4" t="str">
        <x:f>IFERROR(INDEX('Crafting recipes'!$C$6:$C$1005,MATCH(J209,'Crafting recipes'!$A$6:$A$1005,0)),"MISSING ID")</x:f>
        <x:v>Material refinement</x:v>
      </x:c>
      <x:c r="L209" s="4" t="str">
        <x:f>IFERROR(INDEX('Material routes'!$K$6:$K$1005,MATCH(U209,'Material routes'!$A$6:$A$1005,0)),"MISSING ID")</x:f>
        <x:v>Proposal</x:v>
      </x:c>
      <x:c r="M209" s="4" t="str">
        <x:f>IFERROR(INDEX('Material routes'!$M$6:$M$1005,MATCH(U209,'Material routes'!$A$6:$A$1005,0)),"MISSING ID")</x:f>
        <x:v>Partial proposal</x:v>
      </x:c>
      <x:c r="N209" s="4" t="str">
        <x:f>IF(IFERROR(INDEX('Material routes'!$I$6:$I$1005,MATCH(U209,'Material routes'!$A$6:$A$1005,0)),"MISSING ID")=0,"",IFERROR(INDEX('Material routes'!$I$6:$I$1005,MATCH(U209,'Material routes'!$A$6:$A$1005,0)),"MISSING ID"))</x:f>
      </x:c>
      <x:c r="O209" s="4" t="str">
        <x:f>IFERROR(INDEX('Material routes'!$J$6:$J$1005,MATCH(U209,'Material routes'!$A$6:$A$1005,0)),"MISSING ID")</x:f>
        <x:v>Unspecified</x:v>
      </x:c>
      <x:c r="P209" s="4" t="str">
        <x:f>IF(IFERROR(INDEX('Material routes'!$I$6:$I$1005,MATCH(V209,'Material routes'!$A$6:$A$1005,0)),"MISSING ID")=0,"",IFERROR(INDEX('Material routes'!$I$6:$I$1005,MATCH(V209,'Material routes'!$A$6:$A$1005,0)),"MISSING ID"))</x:f>
      </x:c>
      <x:c r="Q209" s="4" t="str">
        <x:f>IFERROR(INDEX('Material routes'!$J$6:$J$1005,MATCH(V209,'Material routes'!$A$6:$A$1005,0)),"MISSING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routes'!$D$6:$D$1005,MATCH(U209,'Material routes'!$A$6:$A$1005,0)),"MISSING ID")</x:f>
        <x:v>author.metallurgy.steel_stock</x:v>
      </x:c>
      <x:c r="T209" s="4" t="str">
        <x:f>IFERROR(INDEX('Material routes'!$D$6:$D$1005,MATCH(V209,'Material routes'!$A$6:$A$1005,0)),"MISSING ID")</x:f>
        <x:v>proposal.t3.inlay_stock</x:v>
      </x:c>
      <x:c r="U209" s="4" t="str">
        <x:v>design.t3.inlay_stock.in.2</x:v>
      </x:c>
      <x:c r="V209" s="4" t="str">
        <x:v>design.t3.inlay_stock.out</x:v>
      </x:c>
    </x:row>
    <x:row r="210" ht="115" customHeight="1">
      <x:c r="A210" s="4" t="str">
        <x:f>IFERROR(INDEX('Material routes'!$E$6:$E$1005,MATCH(U210,'Material routes'!$A$6:$A$1005,0)),"MISSING ID")</x:f>
        <x:v>Filled shell-binding compound</x:v>
      </x:c>
      <x:c r="B210" s="4" t="str">
        <x:f>IFERROR(INDEX('Material routes'!$F$6:$F$1005,MATCH(U210,'Material routes'!$A$6:$A$1005,0)),"MISSING ID")</x:f>
        <x:v>T2</x:v>
      </x:c>
      <x:c r="C210" s="4" t="str">
        <x:f>IFERROR(INDEX('Material routes'!$H$6:$H$1005,MATCH(U210,'Material routes'!$A$6:$A$1005,0)),"MISSING ID")</x:f>
        <x:v>Chemical material</x:v>
      </x:c>
      <x:c r="D210" s="4" t="str">
        <x:f>IFERROR(INDEX('Material routes'!$G$6:$G$1005,MATCH(U210,'Material routes'!$A$6:$A$1005,0)),"MISSING ID")</x:f>
        <x:v>Resources</x:v>
      </x:c>
      <x:c r="E210" s="4" t="str">
        <x:f>IFERROR(INDEX('Material routes'!$C$6:$C$1005,MATCH(U210,'Material routes'!$A$6:$A$1005,0)),"MISSING ID")</x:f>
        <x:v>Ingredient candidate</x:v>
      </x:c>
      <x:c r="F210" s="4" t="str">
        <x:f>IFERROR(INDEX('Material routes'!$E$6:$E$1005,MATCH(V210,'Material routes'!$A$6:$A$1005,0)),"MISSING ID")</x:f>
        <x:v>Gem-inlaid metal panel blanks</x:v>
      </x:c>
      <x:c r="G210" s="4" t="str">
        <x:f>IFERROR(INDEX('Material routes'!$F$6:$F$1005,MATCH(V210,'Material routes'!$A$6:$A$1005,0)),"MISSING ID")</x:f>
        <x:v>T3</x:v>
      </x:c>
      <x:c r="H210" s="4" t="str">
        <x:f>IFERROR(INDEX('Material routes'!$H$6:$H$1005,MATCH(V210,'Material routes'!$A$6:$A$1005,0)),"MISSING ID")</x:f>
        <x:v>Processed material</x:v>
      </x:c>
      <x:c r="I210" s="4" t="str">
        <x:f>IFERROR(INDEX('Material routes'!$G$6:$G$1005,MATCH(V210,'Material routes'!$A$6:$A$1005,0)),"MISSING ID")</x:f>
        <x:v>Resources</x:v>
      </x:c>
      <x:c r="J210" s="4" t="str">
        <x:f>IFERROR(INDEX('Material routes'!$B$6:$B$1005,MATCH(U210,'Material routes'!$A$6:$A$1005,0)),"MISSING ID")</x:f>
        <x:v>design.t3.inlay_stock</x:v>
      </x:c>
      <x:c r="K210" s="4" t="str">
        <x:f>IFERROR(INDEX('Crafting recipes'!$C$6:$C$1005,MATCH(J210,'Crafting recipes'!$A$6:$A$1005,0)),"MISSING ID")</x:f>
        <x:v>Material refinement</x:v>
      </x:c>
      <x:c r="L210" s="4" t="str">
        <x:f>IFERROR(INDEX('Material routes'!$K$6:$K$1005,MATCH(U210,'Material routes'!$A$6:$A$1005,0)),"MISSING ID")</x:f>
        <x:v>Proposal</x:v>
      </x:c>
      <x:c r="M210" s="4" t="str">
        <x:f>IFERROR(INDEX('Material routes'!$M$6:$M$1005,MATCH(U210,'Material routes'!$A$6:$A$1005,0)),"MISSING ID")</x:f>
        <x:v>Partial proposal</x:v>
      </x:c>
      <x:c r="N210" s="4" t="str">
        <x:f>IF(IFERROR(INDEX('Material routes'!$I$6:$I$1005,MATCH(U210,'Material routes'!$A$6:$A$1005,0)),"MISSING ID")=0,"",IFERROR(INDEX('Material routes'!$I$6:$I$1005,MATCH(U210,'Material routes'!$A$6:$A$1005,0)),"MISSING ID"))</x:f>
      </x:c>
      <x:c r="O210" s="4" t="str">
        <x:f>IFERROR(INDEX('Material routes'!$J$6:$J$1005,MATCH(U210,'Material routes'!$A$6:$A$1005,0)),"MISSING ID")</x:f>
        <x:v>Unspecified</x:v>
      </x:c>
      <x:c r="P210" s="4" t="str">
        <x:f>IF(IFERROR(INDEX('Material routes'!$I$6:$I$1005,MATCH(V210,'Material routes'!$A$6:$A$1005,0)),"MISSING ID")=0,"",IFERROR(INDEX('Material routes'!$I$6:$I$1005,MATCH(V210,'Material routes'!$A$6:$A$1005,0)),"MISSING ID"))</x:f>
      </x:c>
      <x:c r="Q210" s="4" t="str">
        <x:f>IFERROR(INDEX('Material routes'!$J$6:$J$1005,MATCH(V210,'Material routes'!$A$6:$A$1005,0)),"MISSING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routes'!$D$6:$D$1005,MATCH(U210,'Material routes'!$A$6:$A$1005,0)),"MISSING ID")</x:f>
        <x:v>proposal.branch.filled_binder</x:v>
      </x:c>
      <x:c r="T210" s="4" t="str">
        <x:f>IFERROR(INDEX('Material routes'!$D$6:$D$1005,MATCH(V210,'Material routes'!$A$6:$A$1005,0)),"MISSING ID")</x:f>
        <x:v>proposal.t3.inlay_stock</x:v>
      </x:c>
      <x:c r="U210" s="4" t="str">
        <x:v>design.t3.inlay_stock.in.3</x:v>
      </x:c>
      <x:c r="V210" s="4" t="str">
        <x:v>design.t3.inlay_stock.out</x:v>
      </x:c>
    </x:row>
    <x:row r="211" ht="115" customHeight="1">
      <x:c r="A211" s="4" t="str">
        <x:f>IFERROR(INDEX('Material routes'!$E$6:$E$1005,MATCH(U211,'Material routes'!$A$6:$A$1005,0)),"MISSING ID")</x:f>
        <x:v>Tuned stone stock</x:v>
      </x:c>
      <x:c r="B211" s="4" t="str">
        <x:f>IFERROR(INDEX('Material routes'!$F$6:$F$1005,MATCH(U211,'Material routes'!$A$6:$A$1005,0)),"MISSING ID")</x:f>
        <x:v>T2</x:v>
      </x:c>
      <x:c r="C211" s="4" t="str">
        <x:f>IFERROR(INDEX('Material routes'!$H$6:$H$1005,MATCH(U211,'Material routes'!$A$6:$A$1005,0)),"MISSING ID")</x:f>
        <x:v>Processed material</x:v>
      </x:c>
      <x:c r="D211" s="4" t="str">
        <x:f>IFERROR(INDEX('Material routes'!$G$6:$G$1005,MATCH(U211,'Material routes'!$A$6:$A$1005,0)),"MISSING ID")</x:f>
        <x:v>Resources</x:v>
      </x:c>
      <x:c r="E211" s="4" t="str">
        <x:f>IFERROR(INDEX('Material routes'!$C$6:$C$1005,MATCH(U211,'Material routes'!$A$6:$A$1005,0)),"MISSING ID")</x:f>
        <x:v>Ingredient candidate</x:v>
      </x:c>
      <x:c r="F211" s="4" t="str">
        <x:f>IFERROR(INDEX('Material routes'!$E$6:$E$1005,MATCH(V211,'Material routes'!$A$6:$A$1005,0)),"MISSING ID")</x:f>
        <x:v>Mounted tuned-stone inserts</x:v>
      </x:c>
      <x:c r="G211" s="4" t="str">
        <x:f>IFERROR(INDEX('Material routes'!$F$6:$F$1005,MATCH(V211,'Material routes'!$A$6:$A$1005,0)),"MISSING ID")</x:f>
        <x:v>T3</x:v>
      </x:c>
      <x:c r="H211" s="4" t="str">
        <x:f>IFERROR(INDEX('Material routes'!$H$6:$H$1005,MATCH(V211,'Material routes'!$A$6:$A$1005,0)),"MISSING ID")</x:f>
        <x:v>Crafting component</x:v>
      </x:c>
      <x:c r="I211" s="4" t="str">
        <x:f>IFERROR(INDEX('Material routes'!$G$6:$G$1005,MATCH(V211,'Material routes'!$A$6:$A$1005,0)),"MISSING ID")</x:f>
        <x:v>Crafting components</x:v>
      </x:c>
      <x:c r="J211" s="4" t="str">
        <x:f>IFERROR(INDEX('Material routes'!$B$6:$B$1005,MATCH(U211,'Material routes'!$A$6:$A$1005,0)),"MISSING ID")</x:f>
        <x:v>design.t3.tuned_insert</x:v>
      </x:c>
      <x:c r="K211" s="4" t="str">
        <x:f>IFERROR(INDEX('Crafting recipes'!$C$6:$C$1005,MATCH(J211,'Crafting recipes'!$A$6:$A$1005,0)),"MISSING ID")</x:f>
        <x:v>Material refinement</x:v>
      </x:c>
      <x:c r="L211" s="4" t="str">
        <x:f>IFERROR(INDEX('Material routes'!$K$6:$K$1005,MATCH(U211,'Material routes'!$A$6:$A$1005,0)),"MISSING ID")</x:f>
        <x:v>Proposal</x:v>
      </x:c>
      <x:c r="M211" s="4" t="str">
        <x:f>IFERROR(INDEX('Material routes'!$M$6:$M$1005,MATCH(U211,'Material routes'!$A$6:$A$1005,0)),"MISSING ID")</x:f>
        <x:v>Partial proposal</x:v>
      </x:c>
      <x:c r="N211" s="4" t="str">
        <x:f>IF(IFERROR(INDEX('Material routes'!$I$6:$I$1005,MATCH(U211,'Material routes'!$A$6:$A$1005,0)),"MISSING ID")=0,"",IFERROR(INDEX('Material routes'!$I$6:$I$1005,MATCH(U211,'Material routes'!$A$6:$A$1005,0)),"MISSING ID"))</x:f>
      </x:c>
      <x:c r="O211" s="4" t="str">
        <x:f>IFERROR(INDEX('Material routes'!$J$6:$J$1005,MATCH(U211,'Material routes'!$A$6:$A$1005,0)),"MISSING ID")</x:f>
        <x:v>Unspecified</x:v>
      </x:c>
      <x:c r="P211" s="4" t="str">
        <x:f>IF(IFERROR(INDEX('Material routes'!$I$6:$I$1005,MATCH(V211,'Material routes'!$A$6:$A$1005,0)),"MISSING ID")=0,"",IFERROR(INDEX('Material routes'!$I$6:$I$1005,MATCH(V211,'Material routes'!$A$6:$A$1005,0)),"MISSING ID"))</x:f>
      </x:c>
      <x:c r="Q211" s="4" t="str">
        <x:f>IFERROR(INDEX('Material routes'!$J$6:$J$1005,MATCH(V211,'Material routes'!$A$6:$A$1005,0)),"MISSING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routes'!$D$6:$D$1005,MATCH(U211,'Material routes'!$A$6:$A$1005,0)),"MISSING ID")</x:f>
        <x:v>proposal.branch.tuned_stone</x:v>
      </x:c>
      <x:c r="T211" s="4" t="str">
        <x:f>IFERROR(INDEX('Material routes'!$D$6:$D$1005,MATCH(V211,'Material routes'!$A$6:$A$1005,0)),"MISSING ID")</x:f>
        <x:v>proposal.t3.tuned_insert</x:v>
      </x:c>
      <x:c r="U211" s="4" t="str">
        <x:v>design.t3.tuned_insert.in.1</x:v>
      </x:c>
      <x:c r="V211" s="4" t="str">
        <x:v>design.t3.tuned_insert.out</x:v>
      </x:c>
    </x:row>
    <x:row r="212" ht="115" customHeight="1">
      <x:c r="A212" s="4" t="str">
        <x:f>IFERROR(INDEX('Material routes'!$E$6:$E$1005,MATCH(U212,'Material routes'!$A$6:$A$1005,0)),"MISSING ID")</x:f>
        <x:v>Prepared bronze bearing stock</x:v>
      </x:c>
      <x:c r="B212" s="4" t="str">
        <x:f>IFERROR(INDEX('Material routes'!$F$6:$F$1005,MATCH(U212,'Material routes'!$A$6:$A$1005,0)),"MISSING ID")</x:f>
        <x:v>T2</x:v>
      </x:c>
      <x:c r="C212" s="4" t="str">
        <x:f>IFERROR(INDEX('Material routes'!$H$6:$H$1005,MATCH(U212,'Material routes'!$A$6:$A$1005,0)),"MISSING ID")</x:f>
        <x:v>Processed material</x:v>
      </x:c>
      <x:c r="D212" s="4" t="str">
        <x:f>IFERROR(INDEX('Material routes'!$G$6:$G$1005,MATCH(U212,'Material routes'!$A$6:$A$1005,0)),"MISSING ID")</x:f>
        <x:v>Resources</x:v>
      </x:c>
      <x:c r="E212" s="4" t="str">
        <x:f>IFERROR(INDEX('Material routes'!$C$6:$C$1005,MATCH(U212,'Material routes'!$A$6:$A$1005,0)),"MISSING ID")</x:f>
        <x:v>Ingredient candidate</x:v>
      </x:c>
      <x:c r="F212" s="4" t="str">
        <x:f>IFERROR(INDEX('Material routes'!$E$6:$E$1005,MATCH(V212,'Material routes'!$A$6:$A$1005,0)),"MISSING ID")</x:f>
        <x:v>Mounted tuned-stone inserts</x:v>
      </x:c>
      <x:c r="G212" s="4" t="str">
        <x:f>IFERROR(INDEX('Material routes'!$F$6:$F$1005,MATCH(V212,'Material routes'!$A$6:$A$1005,0)),"MISSING ID")</x:f>
        <x:v>T3</x:v>
      </x:c>
      <x:c r="H212" s="4" t="str">
        <x:f>IFERROR(INDEX('Material routes'!$H$6:$H$1005,MATCH(V212,'Material routes'!$A$6:$A$1005,0)),"MISSING ID")</x:f>
        <x:v>Crafting component</x:v>
      </x:c>
      <x:c r="I212" s="4" t="str">
        <x:f>IFERROR(INDEX('Material routes'!$G$6:$G$1005,MATCH(V212,'Material routes'!$A$6:$A$1005,0)),"MISSING ID")</x:f>
        <x:v>Crafting components</x:v>
      </x:c>
      <x:c r="J212" s="4" t="str">
        <x:f>IFERROR(INDEX('Material routes'!$B$6:$B$1005,MATCH(U212,'Material routes'!$A$6:$A$1005,0)),"MISSING ID")</x:f>
        <x:v>design.t3.tuned_insert</x:v>
      </x:c>
      <x:c r="K212" s="4" t="str">
        <x:f>IFERROR(INDEX('Crafting recipes'!$C$6:$C$1005,MATCH(J212,'Crafting recipes'!$A$6:$A$1005,0)),"MISSING ID")</x:f>
        <x:v>Material refinement</x:v>
      </x:c>
      <x:c r="L212" s="4" t="str">
        <x:f>IFERROR(INDEX('Material routes'!$K$6:$K$1005,MATCH(U212,'Material routes'!$A$6:$A$1005,0)),"MISSING ID")</x:f>
        <x:v>Proposal</x:v>
      </x:c>
      <x:c r="M212" s="4" t="str">
        <x:f>IFERROR(INDEX('Material routes'!$M$6:$M$1005,MATCH(U212,'Material routes'!$A$6:$A$1005,0)),"MISSING ID")</x:f>
        <x:v>Partial proposal</x:v>
      </x:c>
      <x:c r="N212" s="4" t="str">
        <x:f>IF(IFERROR(INDEX('Material routes'!$I$6:$I$1005,MATCH(U212,'Material routes'!$A$6:$A$1005,0)),"MISSING ID")=0,"",IFERROR(INDEX('Material routes'!$I$6:$I$1005,MATCH(U212,'Material routes'!$A$6:$A$1005,0)),"MISSING ID"))</x:f>
      </x:c>
      <x:c r="O212" s="4" t="str">
        <x:f>IFERROR(INDEX('Material routes'!$J$6:$J$1005,MATCH(U212,'Material routes'!$A$6:$A$1005,0)),"MISSING ID")</x:f>
        <x:v>Unspecified</x:v>
      </x:c>
      <x:c r="P212" s="4" t="str">
        <x:f>IF(IFERROR(INDEX('Material routes'!$I$6:$I$1005,MATCH(V212,'Material routes'!$A$6:$A$1005,0)),"MISSING ID")=0,"",IFERROR(INDEX('Material routes'!$I$6:$I$1005,MATCH(V212,'Material routes'!$A$6:$A$1005,0)),"MISSING ID"))</x:f>
      </x:c>
      <x:c r="Q212" s="4" t="str">
        <x:f>IFERROR(INDEX('Material routes'!$J$6:$J$1005,MATCH(V212,'Material routes'!$A$6:$A$1005,0)),"MISSING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routes'!$D$6:$D$1005,MATCH(U212,'Material routes'!$A$6:$A$1005,0)),"MISSING ID")</x:f>
        <x:v>proposal.branch.bearing_bronze</x:v>
      </x:c>
      <x:c r="T212" s="4" t="str">
        <x:f>IFERROR(INDEX('Material routes'!$D$6:$D$1005,MATCH(V212,'Material routes'!$A$6:$A$1005,0)),"MISSING ID")</x:f>
        <x:v>proposal.t3.tuned_insert</x:v>
      </x:c>
      <x:c r="U212" s="4" t="str">
        <x:v>design.t3.tuned_insert.in.2</x:v>
      </x:c>
      <x:c r="V212" s="4" t="str">
        <x:v>design.t3.tuned_insert.out</x:v>
      </x:c>
    </x:row>
    <x:row r="213" ht="115" customHeight="1">
      <x:c r="A213" s="4" t="str">
        <x:f>IFERROR(INDEX('Material routes'!$E$6:$E$1005,MATCH(U213,'Material routes'!$A$6:$A$1005,0)),"MISSING ID")</x:f>
        <x:v>Shell laminate</x:v>
      </x:c>
      <x:c r="B213" s="4" t="str">
        <x:f>IFERROR(INDEX('Material routes'!$F$6:$F$1005,MATCH(U213,'Material routes'!$A$6:$A$1005,0)),"MISSING ID")</x:f>
        <x:v>T2</x:v>
      </x:c>
      <x:c r="C213" s="4" t="str">
        <x:f>IFERROR(INDEX('Material routes'!$H$6:$H$1005,MATCH(U213,'Material routes'!$A$6:$A$1005,0)),"MISSING ID")</x:f>
        <x:v>Crafting component</x:v>
      </x:c>
      <x:c r="D213" s="4" t="str">
        <x:f>IFERROR(INDEX('Material routes'!$G$6:$G$1005,MATCH(U213,'Material routes'!$A$6:$A$1005,0)),"MISSING ID")</x:f>
        <x:v>Crafting components</x:v>
      </x:c>
      <x:c r="E213" s="4" t="str">
        <x:f>IFERROR(INDEX('Material routes'!$C$6:$C$1005,MATCH(U213,'Material routes'!$A$6:$A$1005,0)),"MISSING ID")</x:f>
        <x:v>Ingredient candidate</x:v>
      </x:c>
      <x:c r="F213" s="4" t="str">
        <x:f>IFERROR(INDEX('Material routes'!$E$6:$E$1005,MATCH(V213,'Material routes'!$A$6:$A$1005,0)),"MISSING ID")</x:f>
        <x:v>Hinged shell-panel sets</x:v>
      </x:c>
      <x:c r="G213" s="4" t="str">
        <x:f>IFERROR(INDEX('Material routes'!$F$6:$F$1005,MATCH(V213,'Material routes'!$A$6:$A$1005,0)),"MISSING ID")</x:f>
        <x:v>T3</x:v>
      </x:c>
      <x:c r="H213" s="4" t="str">
        <x:f>IFERROR(INDEX('Material routes'!$H$6:$H$1005,MATCH(V213,'Material routes'!$A$6:$A$1005,0)),"MISSING ID")</x:f>
        <x:v>Crafting component</x:v>
      </x:c>
      <x:c r="I213" s="4" t="str">
        <x:f>IFERROR(INDEX('Material routes'!$G$6:$G$1005,MATCH(V213,'Material routes'!$A$6:$A$1005,0)),"MISSING ID")</x:f>
        <x:v>Crafting components</x:v>
      </x:c>
      <x:c r="J213" s="4" t="str">
        <x:f>IFERROR(INDEX('Material routes'!$B$6:$B$1005,MATCH(U213,'Material routes'!$A$6:$A$1005,0)),"MISSING ID")</x:f>
        <x:v>design.t3.hinged_shell</x:v>
      </x:c>
      <x:c r="K213" s="4" t="str">
        <x:f>IFERROR(INDEX('Crafting recipes'!$C$6:$C$1005,MATCH(J213,'Crafting recipes'!$A$6:$A$1005,0)),"MISSING ID")</x:f>
        <x:v>Material refinement</x:v>
      </x:c>
      <x:c r="L213" s="4" t="str">
        <x:f>IFERROR(INDEX('Material routes'!$K$6:$K$1005,MATCH(U213,'Material routes'!$A$6:$A$1005,0)),"MISSING ID")</x:f>
        <x:v>Proposal</x:v>
      </x:c>
      <x:c r="M213" s="4" t="str">
        <x:f>IFERROR(INDEX('Material routes'!$M$6:$M$1005,MATCH(U213,'Material routes'!$A$6:$A$1005,0)),"MISSING ID")</x:f>
        <x:v>Partial proposal</x:v>
      </x:c>
      <x:c r="N213" s="4" t="str">
        <x:f>IF(IFERROR(INDEX('Material routes'!$I$6:$I$1005,MATCH(U213,'Material routes'!$A$6:$A$1005,0)),"MISSING ID")=0,"",IFERROR(INDEX('Material routes'!$I$6:$I$1005,MATCH(U213,'Material routes'!$A$6:$A$1005,0)),"MISSING ID"))</x:f>
      </x:c>
      <x:c r="O213" s="4" t="str">
        <x:f>IFERROR(INDEX('Material routes'!$J$6:$J$1005,MATCH(U213,'Material routes'!$A$6:$A$1005,0)),"MISSING ID")</x:f>
        <x:v>Unspecified</x:v>
      </x:c>
      <x:c r="P213" s="4" t="str">
        <x:f>IF(IFERROR(INDEX('Material routes'!$I$6:$I$1005,MATCH(V213,'Material routes'!$A$6:$A$1005,0)),"MISSING ID")=0,"",IFERROR(INDEX('Material routes'!$I$6:$I$1005,MATCH(V213,'Material routes'!$A$6:$A$1005,0)),"MISSING ID"))</x:f>
      </x:c>
      <x:c r="Q213" s="4" t="str">
        <x:f>IFERROR(INDEX('Material routes'!$J$6:$J$1005,MATCH(V213,'Material routes'!$A$6:$A$1005,0)),"MISSING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routes'!$D$6:$D$1005,MATCH(U213,'Material routes'!$A$6:$A$1005,0)),"MISSING ID")</x:f>
        <x:v>proposal.bio.laminate</x:v>
      </x:c>
      <x:c r="T213" s="4" t="str">
        <x:f>IFERROR(INDEX('Material routes'!$D$6:$D$1005,MATCH(V213,'Material routes'!$A$6:$A$1005,0)),"MISSING ID")</x:f>
        <x:v>proposal.t3.hinged_shell</x:v>
      </x:c>
      <x:c r="U213" s="4" t="str">
        <x:v>design.t3.hinged_shell.in.1</x:v>
      </x:c>
      <x:c r="V213" s="4" t="str">
        <x:v>design.t3.hinged_shell.out</x:v>
      </x:c>
    </x:row>
    <x:row r="214" ht="115" customHeight="1">
      <x:c r="A214" s="4" t="str">
        <x:f>IFERROR(INDEX('Material routes'!$E$6:$E$1005,MATCH(U214,'Material routes'!$A$6:$A$1005,0)),"MISSING ID")</x:f>
        <x:v>Prepared bronze bearing stock</x:v>
      </x:c>
      <x:c r="B214" s="4" t="str">
        <x:f>IFERROR(INDEX('Material routes'!$F$6:$F$1005,MATCH(U214,'Material routes'!$A$6:$A$1005,0)),"MISSING ID")</x:f>
        <x:v>T2</x:v>
      </x:c>
      <x:c r="C214" s="4" t="str">
        <x:f>IFERROR(INDEX('Material routes'!$H$6:$H$1005,MATCH(U214,'Material routes'!$A$6:$A$1005,0)),"MISSING ID")</x:f>
        <x:v>Processed material</x:v>
      </x:c>
      <x:c r="D214" s="4" t="str">
        <x:f>IFERROR(INDEX('Material routes'!$G$6:$G$1005,MATCH(U214,'Material routes'!$A$6:$A$1005,0)),"MISSING ID")</x:f>
        <x:v>Resources</x:v>
      </x:c>
      <x:c r="E214" s="4" t="str">
        <x:f>IFERROR(INDEX('Material routes'!$C$6:$C$1005,MATCH(U214,'Material routes'!$A$6:$A$1005,0)),"MISSING ID")</x:f>
        <x:v>Ingredient candidate</x:v>
      </x:c>
      <x:c r="F214" s="4" t="str">
        <x:f>IFERROR(INDEX('Material routes'!$E$6:$E$1005,MATCH(V214,'Material routes'!$A$6:$A$1005,0)),"MISSING ID")</x:f>
        <x:v>Hinged shell-panel sets</x:v>
      </x:c>
      <x:c r="G214" s="4" t="str">
        <x:f>IFERROR(INDEX('Material routes'!$F$6:$F$1005,MATCH(V214,'Material routes'!$A$6:$A$1005,0)),"MISSING ID")</x:f>
        <x:v>T3</x:v>
      </x:c>
      <x:c r="H214" s="4" t="str">
        <x:f>IFERROR(INDEX('Material routes'!$H$6:$H$1005,MATCH(V214,'Material routes'!$A$6:$A$1005,0)),"MISSING ID")</x:f>
        <x:v>Crafting component</x:v>
      </x:c>
      <x:c r="I214" s="4" t="str">
        <x:f>IFERROR(INDEX('Material routes'!$G$6:$G$1005,MATCH(V214,'Material routes'!$A$6:$A$1005,0)),"MISSING ID")</x:f>
        <x:v>Crafting components</x:v>
      </x:c>
      <x:c r="J214" s="4" t="str">
        <x:f>IFERROR(INDEX('Material routes'!$B$6:$B$1005,MATCH(U214,'Material routes'!$A$6:$A$1005,0)),"MISSING ID")</x:f>
        <x:v>design.t3.hinged_shell</x:v>
      </x:c>
      <x:c r="K214" s="4" t="str">
        <x:f>IFERROR(INDEX('Crafting recipes'!$C$6:$C$1005,MATCH(J214,'Crafting recipes'!$A$6:$A$1005,0)),"MISSING ID")</x:f>
        <x:v>Material refinement</x:v>
      </x:c>
      <x:c r="L214" s="4" t="str">
        <x:f>IFERROR(INDEX('Material routes'!$K$6:$K$1005,MATCH(U214,'Material routes'!$A$6:$A$1005,0)),"MISSING ID")</x:f>
        <x:v>Proposal</x:v>
      </x:c>
      <x:c r="M214" s="4" t="str">
        <x:f>IFERROR(INDEX('Material routes'!$M$6:$M$1005,MATCH(U214,'Material routes'!$A$6:$A$1005,0)),"MISSING ID")</x:f>
        <x:v>Partial proposal</x:v>
      </x:c>
      <x:c r="N214" s="4" t="str">
        <x:f>IF(IFERROR(INDEX('Material routes'!$I$6:$I$1005,MATCH(U214,'Material routes'!$A$6:$A$1005,0)),"MISSING ID")=0,"",IFERROR(INDEX('Material routes'!$I$6:$I$1005,MATCH(U214,'Material routes'!$A$6:$A$1005,0)),"MISSING ID"))</x:f>
      </x:c>
      <x:c r="O214" s="4" t="str">
        <x:f>IFERROR(INDEX('Material routes'!$J$6:$J$1005,MATCH(U214,'Material routes'!$A$6:$A$1005,0)),"MISSING ID")</x:f>
        <x:v>Unspecified</x:v>
      </x:c>
      <x:c r="P214" s="4" t="str">
        <x:f>IF(IFERROR(INDEX('Material routes'!$I$6:$I$1005,MATCH(V214,'Material routes'!$A$6:$A$1005,0)),"MISSING ID")=0,"",IFERROR(INDEX('Material routes'!$I$6:$I$1005,MATCH(V214,'Material routes'!$A$6:$A$1005,0)),"MISSING ID"))</x:f>
      </x:c>
      <x:c r="Q214" s="4" t="str">
        <x:f>IFERROR(INDEX('Material routes'!$J$6:$J$1005,MATCH(V214,'Material routes'!$A$6:$A$1005,0)),"MISSING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routes'!$D$6:$D$1005,MATCH(U214,'Material routes'!$A$6:$A$1005,0)),"MISSING ID")</x:f>
        <x:v>proposal.branch.bearing_bronze</x:v>
      </x:c>
      <x:c r="T214" s="4" t="str">
        <x:f>IFERROR(INDEX('Material routes'!$D$6:$D$1005,MATCH(V214,'Material routes'!$A$6:$A$1005,0)),"MISSING ID")</x:f>
        <x:v>proposal.t3.hinged_shell</x:v>
      </x:c>
      <x:c r="U214" s="4" t="str">
        <x:v>design.t3.hinged_shell.in.2</x:v>
      </x:c>
      <x:c r="V214" s="4" t="str">
        <x:v>design.t3.hinged_shell.out</x:v>
      </x:c>
    </x:row>
    <x:row r="215" ht="115" customHeight="1">
      <x:c r="A215" s="4" t="str">
        <x:f>IFERROR(INDEX('Material routes'!$E$6:$E$1005,MATCH(U215,'Material routes'!$A$6:$A$1005,0)),"MISSING ID")</x:f>
        <x:v>Filled shell-binding compound</x:v>
      </x:c>
      <x:c r="B215" s="4" t="str">
        <x:f>IFERROR(INDEX('Material routes'!$F$6:$F$1005,MATCH(U215,'Material routes'!$A$6:$A$1005,0)),"MISSING ID")</x:f>
        <x:v>T2</x:v>
      </x:c>
      <x:c r="C215" s="4" t="str">
        <x:f>IFERROR(INDEX('Material routes'!$H$6:$H$1005,MATCH(U215,'Material routes'!$A$6:$A$1005,0)),"MISSING ID")</x:f>
        <x:v>Chemical material</x:v>
      </x:c>
      <x:c r="D215" s="4" t="str">
        <x:f>IFERROR(INDEX('Material routes'!$G$6:$G$1005,MATCH(U215,'Material routes'!$A$6:$A$1005,0)),"MISSING ID")</x:f>
        <x:v>Resources</x:v>
      </x:c>
      <x:c r="E215" s="4" t="str">
        <x:f>IFERROR(INDEX('Material routes'!$C$6:$C$1005,MATCH(U215,'Material routes'!$A$6:$A$1005,0)),"MISSING ID")</x:f>
        <x:v>Ingredient candidate</x:v>
      </x:c>
      <x:c r="F215" s="4" t="str">
        <x:f>IFERROR(INDEX('Material routes'!$E$6:$E$1005,MATCH(V215,'Material routes'!$A$6:$A$1005,0)),"MISSING ID")</x:f>
        <x:v>Hinged shell-panel sets</x:v>
      </x:c>
      <x:c r="G215" s="4" t="str">
        <x:f>IFERROR(INDEX('Material routes'!$F$6:$F$1005,MATCH(V215,'Material routes'!$A$6:$A$1005,0)),"MISSING ID")</x:f>
        <x:v>T3</x:v>
      </x:c>
      <x:c r="H215" s="4" t="str">
        <x:f>IFERROR(INDEX('Material routes'!$H$6:$H$1005,MATCH(V215,'Material routes'!$A$6:$A$1005,0)),"MISSING ID")</x:f>
        <x:v>Crafting component</x:v>
      </x:c>
      <x:c r="I215" s="4" t="str">
        <x:f>IFERROR(INDEX('Material routes'!$G$6:$G$1005,MATCH(V215,'Material routes'!$A$6:$A$1005,0)),"MISSING ID")</x:f>
        <x:v>Crafting components</x:v>
      </x:c>
      <x:c r="J215" s="4" t="str">
        <x:f>IFERROR(INDEX('Material routes'!$B$6:$B$1005,MATCH(U215,'Material routes'!$A$6:$A$1005,0)),"MISSING ID")</x:f>
        <x:v>design.t3.hinged_shell</x:v>
      </x:c>
      <x:c r="K215" s="4" t="str">
        <x:f>IFERROR(INDEX('Crafting recipes'!$C$6:$C$1005,MATCH(J215,'Crafting recipes'!$A$6:$A$1005,0)),"MISSING ID")</x:f>
        <x:v>Material refinement</x:v>
      </x:c>
      <x:c r="L215" s="4" t="str">
        <x:f>IFERROR(INDEX('Material routes'!$K$6:$K$1005,MATCH(U215,'Material routes'!$A$6:$A$1005,0)),"MISSING ID")</x:f>
        <x:v>Proposal</x:v>
      </x:c>
      <x:c r="M215" s="4" t="str">
        <x:f>IFERROR(INDEX('Material routes'!$M$6:$M$1005,MATCH(U215,'Material routes'!$A$6:$A$1005,0)),"MISSING ID")</x:f>
        <x:v>Partial proposal</x:v>
      </x:c>
      <x:c r="N215" s="4" t="str">
        <x:f>IF(IFERROR(INDEX('Material routes'!$I$6:$I$1005,MATCH(U215,'Material routes'!$A$6:$A$1005,0)),"MISSING ID")=0,"",IFERROR(INDEX('Material routes'!$I$6:$I$1005,MATCH(U215,'Material routes'!$A$6:$A$1005,0)),"MISSING ID"))</x:f>
      </x:c>
      <x:c r="O215" s="4" t="str">
        <x:f>IFERROR(INDEX('Material routes'!$J$6:$J$1005,MATCH(U215,'Material routes'!$A$6:$A$1005,0)),"MISSING ID")</x:f>
        <x:v>Unspecified</x:v>
      </x:c>
      <x:c r="P215" s="4" t="str">
        <x:f>IF(IFERROR(INDEX('Material routes'!$I$6:$I$1005,MATCH(V215,'Material routes'!$A$6:$A$1005,0)),"MISSING ID")=0,"",IFERROR(INDEX('Material routes'!$I$6:$I$1005,MATCH(V215,'Material routes'!$A$6:$A$1005,0)),"MISSING ID"))</x:f>
      </x:c>
      <x:c r="Q215" s="4" t="str">
        <x:f>IFERROR(INDEX('Material routes'!$J$6:$J$1005,MATCH(V215,'Material routes'!$A$6:$A$1005,0)),"MISSING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routes'!$D$6:$D$1005,MATCH(U215,'Material routes'!$A$6:$A$1005,0)),"MISSING ID")</x:f>
        <x:v>proposal.branch.filled_binder</x:v>
      </x:c>
      <x:c r="T215" s="4" t="str">
        <x:f>IFERROR(INDEX('Material routes'!$D$6:$D$1005,MATCH(V215,'Material routes'!$A$6:$A$1005,0)),"MISSING ID")</x:f>
        <x:v>proposal.t3.hinged_shell</x:v>
      </x:c>
      <x:c r="U215" s="4" t="str">
        <x:v>design.t3.hinged_shell.in.3</x:v>
      </x:c>
      <x:c r="V215" s="4" t="str">
        <x:v>design.t3.hinged_shell.out</x:v>
      </x:c>
    </x:row>
    <x:row r="216" ht="115" customHeight="1">
      <x:c r="A216" s="4" t="str">
        <x:f>IFERROR(INDEX('Material routes'!$E$6:$E$1005,MATCH(U216,'Material routes'!$A$6:$A$1005,0)),"MISSING ID")</x:f>
        <x:v>Formed opaque glass sheet</x:v>
      </x:c>
      <x:c r="B216" s="4" t="str">
        <x:f>IFERROR(INDEX('Material routes'!$F$6:$F$1005,MATCH(U216,'Material routes'!$A$6:$A$1005,0)),"MISSING ID")</x:f>
        <x:v>T2</x:v>
      </x:c>
      <x:c r="C216" s="4" t="str">
        <x:f>IFERROR(INDEX('Material routes'!$H$6:$H$1005,MATCH(U216,'Material routes'!$A$6:$A$1005,0)),"MISSING ID")</x:f>
        <x:v>Processed material</x:v>
      </x:c>
      <x:c r="D216" s="4" t="str">
        <x:f>IFERROR(INDEX('Material routes'!$G$6:$G$1005,MATCH(U216,'Material routes'!$A$6:$A$1005,0)),"MISSING ID")</x:f>
        <x:v>Resources</x:v>
      </x:c>
      <x:c r="E216" s="4" t="str">
        <x:f>IFERROR(INDEX('Material routes'!$C$6:$C$1005,MATCH(U216,'Material routes'!$A$6:$A$1005,0)),"MISSING ID")</x:f>
        <x:v>Ingredient candidate</x:v>
      </x:c>
      <x:c r="F216" s="4" t="str">
        <x:f>IFERROR(INDEX('Material routes'!$E$6:$E$1005,MATCH(V216,'Material routes'!$A$6:$A$1005,0)),"MISSING ID")</x:f>
        <x:v>Bonded glass-ceramic lining stock</x:v>
      </x:c>
      <x:c r="G216" s="4" t="str">
        <x:f>IFERROR(INDEX('Material routes'!$F$6:$F$1005,MATCH(V216,'Material routes'!$A$6:$A$1005,0)),"MISSING ID")</x:f>
        <x:v>T3</x:v>
      </x:c>
      <x:c r="H216" s="4" t="str">
        <x:f>IFERROR(INDEX('Material routes'!$H$6:$H$1005,MATCH(V216,'Material routes'!$A$6:$A$1005,0)),"MISSING ID")</x:f>
        <x:v>Processed material</x:v>
      </x:c>
      <x:c r="I216" s="4" t="str">
        <x:f>IFERROR(INDEX('Material routes'!$G$6:$G$1005,MATCH(V216,'Material routes'!$A$6:$A$1005,0)),"MISSING ID")</x:f>
        <x:v>Resources</x:v>
      </x:c>
      <x:c r="J216" s="4" t="str">
        <x:f>IFERROR(INDEX('Material routes'!$B$6:$B$1005,MATCH(U216,'Material routes'!$A$6:$A$1005,0)),"MISSING ID")</x:f>
        <x:v>design.t3.lining_stock</x:v>
      </x:c>
      <x:c r="K216" s="4" t="str">
        <x:f>IFERROR(INDEX('Crafting recipes'!$C$6:$C$1005,MATCH(J216,'Crafting recipes'!$A$6:$A$1005,0)),"MISSING ID")</x:f>
        <x:v>Material refinement</x:v>
      </x:c>
      <x:c r="L216" s="4" t="str">
        <x:f>IFERROR(INDEX('Material routes'!$K$6:$K$1005,MATCH(U216,'Material routes'!$A$6:$A$1005,0)),"MISSING ID")</x:f>
        <x:v>Proposal</x:v>
      </x:c>
      <x:c r="M216" s="4" t="str">
        <x:f>IFERROR(INDEX('Material routes'!$M$6:$M$1005,MATCH(U216,'Material routes'!$A$6:$A$1005,0)),"MISSING ID")</x:f>
        <x:v>Partial proposal</x:v>
      </x:c>
      <x:c r="N216" s="4" t="str">
        <x:f>IF(IFERROR(INDEX('Material routes'!$I$6:$I$1005,MATCH(U216,'Material routes'!$A$6:$A$1005,0)),"MISSING ID")=0,"",IFERROR(INDEX('Material routes'!$I$6:$I$1005,MATCH(U216,'Material routes'!$A$6:$A$1005,0)),"MISSING ID"))</x:f>
      </x:c>
      <x:c r="O216" s="4" t="str">
        <x:f>IFERROR(INDEX('Material routes'!$J$6:$J$1005,MATCH(U216,'Material routes'!$A$6:$A$1005,0)),"MISSING ID")</x:f>
        <x:v>Unspecified</x:v>
      </x:c>
      <x:c r="P216" s="4" t="str">
        <x:f>IF(IFERROR(INDEX('Material routes'!$I$6:$I$1005,MATCH(V216,'Material routes'!$A$6:$A$1005,0)),"MISSING ID")=0,"",IFERROR(INDEX('Material routes'!$I$6:$I$1005,MATCH(V216,'Material routes'!$A$6:$A$1005,0)),"MISSING ID"))</x:f>
      </x:c>
      <x:c r="Q216" s="4" t="str">
        <x:f>IFERROR(INDEX('Material routes'!$J$6:$J$1005,MATCH(V216,'Material routes'!$A$6:$A$1005,0)),"MISSING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routes'!$D$6:$D$1005,MATCH(U216,'Material routes'!$A$6:$A$1005,0)),"MISSING ID")</x:f>
        <x:v>proposal.branch.opaque_sheet</x:v>
      </x:c>
      <x:c r="T216" s="4" t="str">
        <x:f>IFERROR(INDEX('Material routes'!$D$6:$D$1005,MATCH(V216,'Material routes'!$A$6:$A$1005,0)),"MISSING ID")</x:f>
        <x:v>proposal.t3.lining_stock</x:v>
      </x:c>
      <x:c r="U216" s="4" t="str">
        <x:v>design.t3.lining_stock.in.1</x:v>
      </x:c>
      <x:c r="V216" s="4" t="str">
        <x:v>design.t3.lining_stock.out</x:v>
      </x:c>
    </x:row>
    <x:row r="217" ht="115" customHeight="1">
      <x:c r="A217" s="4" t="str">
        <x:f>IFERROR(INDEX('Material routes'!$E$6:$E$1005,MATCH(U217,'Material routes'!$A$6:$A$1005,0)),"MISSING ID")</x:f>
        <x:v>Insulating ceramic blanks</x:v>
      </x:c>
      <x:c r="B217" s="4" t="str">
        <x:f>IFERROR(INDEX('Material routes'!$F$6:$F$1005,MATCH(U217,'Material routes'!$A$6:$A$1005,0)),"MISSING ID")</x:f>
        <x:v>T2</x:v>
      </x:c>
      <x:c r="C217" s="4" t="str">
        <x:f>IFERROR(INDEX('Material routes'!$H$6:$H$1005,MATCH(U217,'Material routes'!$A$6:$A$1005,0)),"MISSING ID")</x:f>
        <x:v>Processed material</x:v>
      </x:c>
      <x:c r="D217" s="4" t="str">
        <x:f>IFERROR(INDEX('Material routes'!$G$6:$G$1005,MATCH(U217,'Material routes'!$A$6:$A$1005,0)),"MISSING ID")</x:f>
        <x:v>Resources</x:v>
      </x:c>
      <x:c r="E217" s="4" t="str">
        <x:f>IFERROR(INDEX('Material routes'!$C$6:$C$1005,MATCH(U217,'Material routes'!$A$6:$A$1005,0)),"MISSING ID")</x:f>
        <x:v>Ingredient candidate</x:v>
      </x:c>
      <x:c r="F217" s="4" t="str">
        <x:f>IFERROR(INDEX('Material routes'!$E$6:$E$1005,MATCH(V217,'Material routes'!$A$6:$A$1005,0)),"MISSING ID")</x:f>
        <x:v>Bonded glass-ceramic lining stock</x:v>
      </x:c>
      <x:c r="G217" s="4" t="str">
        <x:f>IFERROR(INDEX('Material routes'!$F$6:$F$1005,MATCH(V217,'Material routes'!$A$6:$A$1005,0)),"MISSING ID")</x:f>
        <x:v>T3</x:v>
      </x:c>
      <x:c r="H217" s="4" t="str">
        <x:f>IFERROR(INDEX('Material routes'!$H$6:$H$1005,MATCH(V217,'Material routes'!$A$6:$A$1005,0)),"MISSING ID")</x:f>
        <x:v>Processed material</x:v>
      </x:c>
      <x:c r="I217" s="4" t="str">
        <x:f>IFERROR(INDEX('Material routes'!$G$6:$G$1005,MATCH(V217,'Material routes'!$A$6:$A$1005,0)),"MISSING ID")</x:f>
        <x:v>Resources</x:v>
      </x:c>
      <x:c r="J217" s="4" t="str">
        <x:f>IFERROR(INDEX('Material routes'!$B$6:$B$1005,MATCH(U217,'Material routes'!$A$6:$A$1005,0)),"MISSING ID")</x:f>
        <x:v>design.t3.lining_stock</x:v>
      </x:c>
      <x:c r="K217" s="4" t="str">
        <x:f>IFERROR(INDEX('Crafting recipes'!$C$6:$C$1005,MATCH(J217,'Crafting recipes'!$A$6:$A$1005,0)),"MISSING ID")</x:f>
        <x:v>Material refinement</x:v>
      </x:c>
      <x:c r="L217" s="4" t="str">
        <x:f>IFERROR(INDEX('Material routes'!$K$6:$K$1005,MATCH(U217,'Material routes'!$A$6:$A$1005,0)),"MISSING ID")</x:f>
        <x:v>Proposal</x:v>
      </x:c>
      <x:c r="M217" s="4" t="str">
        <x:f>IFERROR(INDEX('Material routes'!$M$6:$M$1005,MATCH(U217,'Material routes'!$A$6:$A$1005,0)),"MISSING ID")</x:f>
        <x:v>Partial proposal</x:v>
      </x:c>
      <x:c r="N217" s="4" t="str">
        <x:f>IF(IFERROR(INDEX('Material routes'!$I$6:$I$1005,MATCH(U217,'Material routes'!$A$6:$A$1005,0)),"MISSING ID")=0,"",IFERROR(INDEX('Material routes'!$I$6:$I$1005,MATCH(U217,'Material routes'!$A$6:$A$1005,0)),"MISSING ID"))</x:f>
      </x:c>
      <x:c r="O217" s="4" t="str">
        <x:f>IFERROR(INDEX('Material routes'!$J$6:$J$1005,MATCH(U217,'Material routes'!$A$6:$A$1005,0)),"MISSING ID")</x:f>
        <x:v>Unspecified</x:v>
      </x:c>
      <x:c r="P217" s="4" t="str">
        <x:f>IF(IFERROR(INDEX('Material routes'!$I$6:$I$1005,MATCH(V217,'Material routes'!$A$6:$A$1005,0)),"MISSING ID")=0,"",IFERROR(INDEX('Material routes'!$I$6:$I$1005,MATCH(V217,'Material routes'!$A$6:$A$1005,0)),"MISSING ID"))</x:f>
      </x:c>
      <x:c r="Q217" s="4" t="str">
        <x:f>IFERROR(INDEX('Material routes'!$J$6:$J$1005,MATCH(V217,'Material routes'!$A$6:$A$1005,0)),"MISSING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routes'!$D$6:$D$1005,MATCH(U217,'Material routes'!$A$6:$A$1005,0)),"MISSING ID")</x:f>
        <x:v>proposal.natural.ceramic</x:v>
      </x:c>
      <x:c r="T217" s="4" t="str">
        <x:f>IFERROR(INDEX('Material routes'!$D$6:$D$1005,MATCH(V217,'Material routes'!$A$6:$A$1005,0)),"MISSING ID")</x:f>
        <x:v>proposal.t3.lining_stock</x:v>
      </x:c>
      <x:c r="U217" s="4" t="str">
        <x:v>design.t3.lining_stock.in.2</x:v>
      </x:c>
      <x:c r="V217" s="4" t="str">
        <x:v>design.t3.lining_stock.out</x:v>
      </x:c>
    </x:row>
    <x:row r="218" ht="115" customHeight="1">
      <x:c r="A218" s="4" t="str">
        <x:f>IFERROR(INDEX('Material routes'!$E$6:$E$1005,MATCH(U218,'Material routes'!$A$6:$A$1005,0)),"MISSING ID")</x:f>
        <x:v>Filled shell-binding compound</x:v>
      </x:c>
      <x:c r="B218" s="4" t="str">
        <x:f>IFERROR(INDEX('Material routes'!$F$6:$F$1005,MATCH(U218,'Material routes'!$A$6:$A$1005,0)),"MISSING ID")</x:f>
        <x:v>T2</x:v>
      </x:c>
      <x:c r="C218" s="4" t="str">
        <x:f>IFERROR(INDEX('Material routes'!$H$6:$H$1005,MATCH(U218,'Material routes'!$A$6:$A$1005,0)),"MISSING ID")</x:f>
        <x:v>Chemical material</x:v>
      </x:c>
      <x:c r="D218" s="4" t="str">
        <x:f>IFERROR(INDEX('Material routes'!$G$6:$G$1005,MATCH(U218,'Material routes'!$A$6:$A$1005,0)),"MISSING ID")</x:f>
        <x:v>Resources</x:v>
      </x:c>
      <x:c r="E218" s="4" t="str">
        <x:f>IFERROR(INDEX('Material routes'!$C$6:$C$1005,MATCH(U218,'Material routes'!$A$6:$A$1005,0)),"MISSING ID")</x:f>
        <x:v>Ingredient candidate</x:v>
      </x:c>
      <x:c r="F218" s="4" t="str">
        <x:f>IFERROR(INDEX('Material routes'!$E$6:$E$1005,MATCH(V218,'Material routes'!$A$6:$A$1005,0)),"MISSING ID")</x:f>
        <x:v>Bonded glass-ceramic lining stock</x:v>
      </x:c>
      <x:c r="G218" s="4" t="str">
        <x:f>IFERROR(INDEX('Material routes'!$F$6:$F$1005,MATCH(V218,'Material routes'!$A$6:$A$1005,0)),"MISSING ID")</x:f>
        <x:v>T3</x:v>
      </x:c>
      <x:c r="H218" s="4" t="str">
        <x:f>IFERROR(INDEX('Material routes'!$H$6:$H$1005,MATCH(V218,'Material routes'!$A$6:$A$1005,0)),"MISSING ID")</x:f>
        <x:v>Processed material</x:v>
      </x:c>
      <x:c r="I218" s="4" t="str">
        <x:f>IFERROR(INDEX('Material routes'!$G$6:$G$1005,MATCH(V218,'Material routes'!$A$6:$A$1005,0)),"MISSING ID")</x:f>
        <x:v>Resources</x:v>
      </x:c>
      <x:c r="J218" s="4" t="str">
        <x:f>IFERROR(INDEX('Material routes'!$B$6:$B$1005,MATCH(U218,'Material routes'!$A$6:$A$1005,0)),"MISSING ID")</x:f>
        <x:v>design.t3.lining_stock</x:v>
      </x:c>
      <x:c r="K218" s="4" t="str">
        <x:f>IFERROR(INDEX('Crafting recipes'!$C$6:$C$1005,MATCH(J218,'Crafting recipes'!$A$6:$A$1005,0)),"MISSING ID")</x:f>
        <x:v>Material refinement</x:v>
      </x:c>
      <x:c r="L218" s="4" t="str">
        <x:f>IFERROR(INDEX('Material routes'!$K$6:$K$1005,MATCH(U218,'Material routes'!$A$6:$A$1005,0)),"MISSING ID")</x:f>
        <x:v>Proposal</x:v>
      </x:c>
      <x:c r="M218" s="4" t="str">
        <x:f>IFERROR(INDEX('Material routes'!$M$6:$M$1005,MATCH(U218,'Material routes'!$A$6:$A$1005,0)),"MISSING ID")</x:f>
        <x:v>Partial proposal</x:v>
      </x:c>
      <x:c r="N218" s="4" t="str">
        <x:f>IF(IFERROR(INDEX('Material routes'!$I$6:$I$1005,MATCH(U218,'Material routes'!$A$6:$A$1005,0)),"MISSING ID")=0,"",IFERROR(INDEX('Material routes'!$I$6:$I$1005,MATCH(U218,'Material routes'!$A$6:$A$1005,0)),"MISSING ID"))</x:f>
      </x:c>
      <x:c r="O218" s="4" t="str">
        <x:f>IFERROR(INDEX('Material routes'!$J$6:$J$1005,MATCH(U218,'Material routes'!$A$6:$A$1005,0)),"MISSING ID")</x:f>
        <x:v>Unspecified</x:v>
      </x:c>
      <x:c r="P218" s="4" t="str">
        <x:f>IF(IFERROR(INDEX('Material routes'!$I$6:$I$1005,MATCH(V218,'Material routes'!$A$6:$A$1005,0)),"MISSING ID")=0,"",IFERROR(INDEX('Material routes'!$I$6:$I$1005,MATCH(V218,'Material routes'!$A$6:$A$1005,0)),"MISSING ID"))</x:f>
      </x:c>
      <x:c r="Q218" s="4" t="str">
        <x:f>IFERROR(INDEX('Material routes'!$J$6:$J$1005,MATCH(V218,'Material routes'!$A$6:$A$1005,0)),"MISSING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routes'!$D$6:$D$1005,MATCH(U218,'Material routes'!$A$6:$A$1005,0)),"MISSING ID")</x:f>
        <x:v>proposal.branch.filled_binder</x:v>
      </x:c>
      <x:c r="T218" s="4" t="str">
        <x:f>IFERROR(INDEX('Material routes'!$D$6:$D$1005,MATCH(V218,'Material routes'!$A$6:$A$1005,0)),"MISSING ID")</x:f>
        <x:v>proposal.t3.lining_stock</x:v>
      </x:c>
      <x:c r="U218" s="4" t="str">
        <x:v>design.t3.lining_stock.in.3</x:v>
      </x:c>
      <x:c r="V218" s="4" t="str">
        <x:v>design.t3.lining_stock.out</x:v>
      </x:c>
    </x:row>
    <x:row r="219" ht="115" customHeight="1">
      <x:c r="A219" s="4" t="str">
        <x:f>IFERROR(INDEX('Material routes'!$E$6:$E$1005,MATCH(U219,'Material routes'!$A$6:$A$1005,0)),"MISSING ID")</x:f>
        <x:v>Heat-treated steel gear blanks</x:v>
      </x:c>
      <x:c r="B219" s="4" t="str">
        <x:f>IFERROR(INDEX('Material routes'!$F$6:$F$1005,MATCH(U219,'Material routes'!$A$6:$A$1005,0)),"MISSING ID")</x:f>
        <x:v>T3</x:v>
      </x:c>
      <x:c r="C219" s="4" t="str">
        <x:f>IFERROR(INDEX('Material routes'!$H$6:$H$1005,MATCH(U219,'Material routes'!$A$6:$A$1005,0)),"MISSING ID")</x:f>
        <x:v>Crafting component</x:v>
      </x:c>
      <x:c r="D219" s="4" t="str">
        <x:f>IFERROR(INDEX('Material routes'!$G$6:$G$1005,MATCH(U219,'Material routes'!$A$6:$A$1005,0)),"MISSING ID")</x:f>
        <x:v>Crafting components</x:v>
      </x:c>
      <x:c r="E219" s="4" t="str">
        <x:f>IFERROR(INDEX('Material routes'!$C$6:$C$1005,MATCH(U219,'Material routes'!$A$6:$A$1005,0)),"MISSING ID")</x:f>
        <x:v>Ingredient candidate</x:v>
      </x:c>
      <x:c r="F219" s="4" t="str">
        <x:f>IFERROR(INDEX('Material routes'!$E$6:$E$1005,MATCH(V219,'Material routes'!$A$6:$A$1005,0)),"MISSING ID")</x:f>
        <x:v>Matched mechanical drive cassette</x:v>
      </x:c>
      <x:c r="G219" s="4" t="str">
        <x:f>IFERROR(INDEX('Material routes'!$F$6:$F$1005,MATCH(V219,'Material routes'!$A$6:$A$1005,0)),"MISSING ID")</x:f>
        <x:v>T4</x:v>
      </x:c>
      <x:c r="H219" s="4" t="str">
        <x:f>IFERROR(INDEX('Material routes'!$H$6:$H$1005,MATCH(V219,'Material routes'!$A$6:$A$1005,0)),"MISSING ID")</x:f>
        <x:v>Crafting component</x:v>
      </x:c>
      <x:c r="I219" s="4" t="str">
        <x:f>IFERROR(INDEX('Material routes'!$G$6:$G$1005,MATCH(V219,'Material routes'!$A$6:$A$1005,0)),"MISSING ID")</x:f>
        <x:v>Crafting components</x:v>
      </x:c>
      <x:c r="J219" s="4" t="str">
        <x:f>IFERROR(INDEX('Material routes'!$B$6:$B$1005,MATCH(U219,'Material routes'!$A$6:$A$1005,0)),"MISSING ID")</x:f>
        <x:v>design.t4.drive_cassette</x:v>
      </x:c>
      <x:c r="K219" s="4" t="str">
        <x:f>IFERROR(INDEX('Crafting recipes'!$C$6:$C$1005,MATCH(J219,'Crafting recipes'!$A$6:$A$1005,0)),"MISSING ID")</x:f>
        <x:v>Material refinement</x:v>
      </x:c>
      <x:c r="L219" s="4" t="str">
        <x:f>IFERROR(INDEX('Material routes'!$K$6:$K$1005,MATCH(U219,'Material routes'!$A$6:$A$1005,0)),"MISSING ID")</x:f>
        <x:v>Proposal</x:v>
      </x:c>
      <x:c r="M219" s="4" t="str">
        <x:f>IFERROR(INDEX('Material routes'!$M$6:$M$1005,MATCH(U219,'Material routes'!$A$6:$A$1005,0)),"MISSING ID")</x:f>
        <x:v>Partial proposal</x:v>
      </x:c>
      <x:c r="N219" s="4" t="str">
        <x:f>IF(IFERROR(INDEX('Material routes'!$I$6:$I$1005,MATCH(U219,'Material routes'!$A$6:$A$1005,0)),"MISSING ID")=0,"",IFERROR(INDEX('Material routes'!$I$6:$I$1005,MATCH(U219,'Material routes'!$A$6:$A$1005,0)),"MISSING ID"))</x:f>
      </x:c>
      <x:c r="O219" s="4" t="str">
        <x:f>IFERROR(INDEX('Material routes'!$J$6:$J$1005,MATCH(U219,'Material routes'!$A$6:$A$1005,0)),"MISSING ID")</x:f>
        <x:v>Unspecified</x:v>
      </x:c>
      <x:c r="P219" s="4" t="str">
        <x:f>IF(IFERROR(INDEX('Material routes'!$I$6:$I$1005,MATCH(V219,'Material routes'!$A$6:$A$1005,0)),"MISSING ID")=0,"",IFERROR(INDEX('Material routes'!$I$6:$I$1005,MATCH(V219,'Material routes'!$A$6:$A$1005,0)),"MISSING ID"))</x:f>
      </x:c>
      <x:c r="Q219" s="4" t="str">
        <x:f>IFERROR(INDEX('Material routes'!$J$6:$J$1005,MATCH(V219,'Material routes'!$A$6:$A$1005,0)),"MISSING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routes'!$D$6:$D$1005,MATCH(U219,'Material routes'!$A$6:$A$1005,0)),"MISSING ID")</x:f>
        <x:v>proposal.t3.gear_blank</x:v>
      </x:c>
      <x:c r="T219" s="4" t="str">
        <x:f>IFERROR(INDEX('Material routes'!$D$6:$D$1005,MATCH(V219,'Material routes'!$A$6:$A$1005,0)),"MISSING ID")</x:f>
        <x:v>proposal.t4.drive_cassette</x:v>
      </x:c>
      <x:c r="U219" s="4" t="str">
        <x:v>design.t4.drive_cassette.in.1</x:v>
      </x:c>
      <x:c r="V219" s="4" t="str">
        <x:v>design.t4.drive_cassette.out</x:v>
      </x:c>
    </x:row>
    <x:row r="220" ht="115" customHeight="1">
      <x:c r="A220" s="4" t="str">
        <x:f>IFERROR(INDEX('Material routes'!$E$6:$E$1005,MATCH(U220,'Material routes'!$A$6:$A$1005,0)),"MISSING ID")</x:f>
        <x:v>Lapped bronze bearing blanks</x:v>
      </x:c>
      <x:c r="B220" s="4" t="str">
        <x:f>IFERROR(INDEX('Material routes'!$F$6:$F$1005,MATCH(U220,'Material routes'!$A$6:$A$1005,0)),"MISSING ID")</x:f>
        <x:v>T3</x:v>
      </x:c>
      <x:c r="C220" s="4" t="str">
        <x:f>IFERROR(INDEX('Material routes'!$H$6:$H$1005,MATCH(U220,'Material routes'!$A$6:$A$1005,0)),"MISSING ID")</x:f>
        <x:v>Crafting component</x:v>
      </x:c>
      <x:c r="D220" s="4" t="str">
        <x:f>IFERROR(INDEX('Material routes'!$G$6:$G$1005,MATCH(U220,'Material routes'!$A$6:$A$1005,0)),"MISSING ID")</x:f>
        <x:v>Crafting components</x:v>
      </x:c>
      <x:c r="E220" s="4" t="str">
        <x:f>IFERROR(INDEX('Material routes'!$C$6:$C$1005,MATCH(U220,'Material routes'!$A$6:$A$1005,0)),"MISSING ID")</x:f>
        <x:v>Ingredient candidate</x:v>
      </x:c>
      <x:c r="F220" s="4" t="str">
        <x:f>IFERROR(INDEX('Material routes'!$E$6:$E$1005,MATCH(V220,'Material routes'!$A$6:$A$1005,0)),"MISSING ID")</x:f>
        <x:v>Matched mechanical drive cassette</x:v>
      </x:c>
      <x:c r="G220" s="4" t="str">
        <x:f>IFERROR(INDEX('Material routes'!$F$6:$F$1005,MATCH(V220,'Material routes'!$A$6:$A$1005,0)),"MISSING ID")</x:f>
        <x:v>T4</x:v>
      </x:c>
      <x:c r="H220" s="4" t="str">
        <x:f>IFERROR(INDEX('Material routes'!$H$6:$H$1005,MATCH(V220,'Material routes'!$A$6:$A$1005,0)),"MISSING ID")</x:f>
        <x:v>Crafting component</x:v>
      </x:c>
      <x:c r="I220" s="4" t="str">
        <x:f>IFERROR(INDEX('Material routes'!$G$6:$G$1005,MATCH(V220,'Material routes'!$A$6:$A$1005,0)),"MISSING ID")</x:f>
        <x:v>Crafting components</x:v>
      </x:c>
      <x:c r="J220" s="4" t="str">
        <x:f>IFERROR(INDEX('Material routes'!$B$6:$B$1005,MATCH(U220,'Material routes'!$A$6:$A$1005,0)),"MISSING ID")</x:f>
        <x:v>design.t4.drive_cassette</x:v>
      </x:c>
      <x:c r="K220" s="4" t="str">
        <x:f>IFERROR(INDEX('Crafting recipes'!$C$6:$C$1005,MATCH(J220,'Crafting recipes'!$A$6:$A$1005,0)),"MISSING ID")</x:f>
        <x:v>Material refinement</x:v>
      </x:c>
      <x:c r="L220" s="4" t="str">
        <x:f>IFERROR(INDEX('Material routes'!$K$6:$K$1005,MATCH(U220,'Material routes'!$A$6:$A$1005,0)),"MISSING ID")</x:f>
        <x:v>Proposal</x:v>
      </x:c>
      <x:c r="M220" s="4" t="str">
        <x:f>IFERROR(INDEX('Material routes'!$M$6:$M$1005,MATCH(U220,'Material routes'!$A$6:$A$1005,0)),"MISSING ID")</x:f>
        <x:v>Partial proposal</x:v>
      </x:c>
      <x:c r="N220" s="4" t="str">
        <x:f>IF(IFERROR(INDEX('Material routes'!$I$6:$I$1005,MATCH(U220,'Material routes'!$A$6:$A$1005,0)),"MISSING ID")=0,"",IFERROR(INDEX('Material routes'!$I$6:$I$1005,MATCH(U220,'Material routes'!$A$6:$A$1005,0)),"MISSING ID"))</x:f>
      </x:c>
      <x:c r="O220" s="4" t="str">
        <x:f>IFERROR(INDEX('Material routes'!$J$6:$J$1005,MATCH(U220,'Material routes'!$A$6:$A$1005,0)),"MISSING ID")</x:f>
        <x:v>Unspecified</x:v>
      </x:c>
      <x:c r="P220" s="4" t="str">
        <x:f>IF(IFERROR(INDEX('Material routes'!$I$6:$I$1005,MATCH(V220,'Material routes'!$A$6:$A$1005,0)),"MISSING ID")=0,"",IFERROR(INDEX('Material routes'!$I$6:$I$1005,MATCH(V220,'Material routes'!$A$6:$A$1005,0)),"MISSING ID"))</x:f>
      </x:c>
      <x:c r="Q220" s="4" t="str">
        <x:f>IFERROR(INDEX('Material routes'!$J$6:$J$1005,MATCH(V220,'Material routes'!$A$6:$A$1005,0)),"MISSING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routes'!$D$6:$D$1005,MATCH(U220,'Material routes'!$A$6:$A$1005,0)),"MISSING ID")</x:f>
        <x:v>proposal.t3.bearing_blank</x:v>
      </x:c>
      <x:c r="T220" s="4" t="str">
        <x:f>IFERROR(INDEX('Material routes'!$D$6:$D$1005,MATCH(V220,'Material routes'!$A$6:$A$1005,0)),"MISSING ID")</x:f>
        <x:v>proposal.t4.drive_cassette</x:v>
      </x:c>
      <x:c r="U220" s="4" t="str">
        <x:v>design.t4.drive_cassette.in.2</x:v>
      </x:c>
      <x:c r="V220" s="4" t="str">
        <x:v>design.t4.drive_cassette.out</x:v>
      </x:c>
    </x:row>
    <x:row r="221" ht="115" customHeight="1">
      <x:c r="A221" s="4" t="str">
        <x:f>IFERROR(INDEX('Material routes'!$E$6:$E$1005,MATCH(U221,'Material routes'!$A$6:$A$1005,0)),"MISSING ID")</x:f>
        <x:v>Drawn steel tube stock</x:v>
      </x:c>
      <x:c r="B221" s="4" t="str">
        <x:f>IFERROR(INDEX('Material routes'!$F$6:$F$1005,MATCH(U221,'Material routes'!$A$6:$A$1005,0)),"MISSING ID")</x:f>
        <x:v>T3</x:v>
      </x:c>
      <x:c r="C221" s="4" t="str">
        <x:f>IFERROR(INDEX('Material routes'!$H$6:$H$1005,MATCH(U221,'Material routes'!$A$6:$A$1005,0)),"MISSING ID")</x:f>
        <x:v>Processed material</x:v>
      </x:c>
      <x:c r="D221" s="4" t="str">
        <x:f>IFERROR(INDEX('Material routes'!$G$6:$G$1005,MATCH(U221,'Material routes'!$A$6:$A$1005,0)),"MISSING ID")</x:f>
        <x:v>Resources</x:v>
      </x:c>
      <x:c r="E221" s="4" t="str">
        <x:f>IFERROR(INDEX('Material routes'!$C$6:$C$1005,MATCH(U221,'Material routes'!$A$6:$A$1005,0)),"MISSING ID")</x:f>
        <x:v>Ingredient candidate</x:v>
      </x:c>
      <x:c r="F221" s="4" t="str">
        <x:f>IFERROR(INDEX('Material routes'!$E$6:$E$1005,MATCH(V221,'Material routes'!$A$6:$A$1005,0)),"MISSING ID")</x:f>
        <x:v>Matched mechanical drive cassette</x:v>
      </x:c>
      <x:c r="G221" s="4" t="str">
        <x:f>IFERROR(INDEX('Material routes'!$F$6:$F$1005,MATCH(V221,'Material routes'!$A$6:$A$1005,0)),"MISSING ID")</x:f>
        <x:v>T4</x:v>
      </x:c>
      <x:c r="H221" s="4" t="str">
        <x:f>IFERROR(INDEX('Material routes'!$H$6:$H$1005,MATCH(V221,'Material routes'!$A$6:$A$1005,0)),"MISSING ID")</x:f>
        <x:v>Crafting component</x:v>
      </x:c>
      <x:c r="I221" s="4" t="str">
        <x:f>IFERROR(INDEX('Material routes'!$G$6:$G$1005,MATCH(V221,'Material routes'!$A$6:$A$1005,0)),"MISSING ID")</x:f>
        <x:v>Crafting components</x:v>
      </x:c>
      <x:c r="J221" s="4" t="str">
        <x:f>IFERROR(INDEX('Material routes'!$B$6:$B$1005,MATCH(U221,'Material routes'!$A$6:$A$1005,0)),"MISSING ID")</x:f>
        <x:v>design.t4.drive_cassette</x:v>
      </x:c>
      <x:c r="K221" s="4" t="str">
        <x:f>IFERROR(INDEX('Crafting recipes'!$C$6:$C$1005,MATCH(J221,'Crafting recipes'!$A$6:$A$1005,0)),"MISSING ID")</x:f>
        <x:v>Material refinement</x:v>
      </x:c>
      <x:c r="L221" s="4" t="str">
        <x:f>IFERROR(INDEX('Material routes'!$K$6:$K$1005,MATCH(U221,'Material routes'!$A$6:$A$1005,0)),"MISSING ID")</x:f>
        <x:v>Proposal</x:v>
      </x:c>
      <x:c r="M221" s="4" t="str">
        <x:f>IFERROR(INDEX('Material routes'!$M$6:$M$1005,MATCH(U221,'Material routes'!$A$6:$A$1005,0)),"MISSING ID")</x:f>
        <x:v>Partial proposal</x:v>
      </x:c>
      <x:c r="N221" s="4" t="str">
        <x:f>IF(IFERROR(INDEX('Material routes'!$I$6:$I$1005,MATCH(U221,'Material routes'!$A$6:$A$1005,0)),"MISSING ID")=0,"",IFERROR(INDEX('Material routes'!$I$6:$I$1005,MATCH(U221,'Material routes'!$A$6:$A$1005,0)),"MISSING ID"))</x:f>
      </x:c>
      <x:c r="O221" s="4" t="str">
        <x:f>IFERROR(INDEX('Material routes'!$J$6:$J$1005,MATCH(U221,'Material routes'!$A$6:$A$1005,0)),"MISSING ID")</x:f>
        <x:v>Unspecified</x:v>
      </x:c>
      <x:c r="P221" s="4" t="str">
        <x:f>IF(IFERROR(INDEX('Material routes'!$I$6:$I$1005,MATCH(V221,'Material routes'!$A$6:$A$1005,0)),"MISSING ID")=0,"",IFERROR(INDEX('Material routes'!$I$6:$I$1005,MATCH(V221,'Material routes'!$A$6:$A$1005,0)),"MISSING ID"))</x:f>
      </x:c>
      <x:c r="Q221" s="4" t="str">
        <x:f>IFERROR(INDEX('Material routes'!$J$6:$J$1005,MATCH(V221,'Material routes'!$A$6:$A$1005,0)),"MISSING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routes'!$D$6:$D$1005,MATCH(U221,'Material routes'!$A$6:$A$1005,0)),"MISSING ID")</x:f>
        <x:v>proposal.t3.precision_tube</x:v>
      </x:c>
      <x:c r="T221" s="4" t="str">
        <x:f>IFERROR(INDEX('Material routes'!$D$6:$D$1005,MATCH(V221,'Material routes'!$A$6:$A$1005,0)),"MISSING ID")</x:f>
        <x:v>proposal.t4.drive_cassette</x:v>
      </x:c>
      <x:c r="U221" s="4" t="str">
        <x:v>design.t4.drive_cassette.in.3</x:v>
      </x:c>
      <x:c r="V221" s="4" t="str">
        <x:v>design.t4.drive_cassette.out</x:v>
      </x:c>
    </x:row>
    <x:row r="222" ht="115" customHeight="1">
      <x:c r="A222" s="4" t="str">
        <x:f>IFERROR(INDEX('Material routes'!$E$6:$E$1005,MATCH(U222,'Material routes'!$A$6:$A$1005,0)),"MISSING ID")</x:f>
        <x:v>Conditioned mechanism-service grease</x:v>
      </x:c>
      <x:c r="B222" s="4" t="str">
        <x:f>IFERROR(INDEX('Material routes'!$F$6:$F$1005,MATCH(U222,'Material routes'!$A$6:$A$1005,0)),"MISSING ID")</x:f>
        <x:v>T3</x:v>
      </x:c>
      <x:c r="C222" s="4" t="str">
        <x:f>IFERROR(INDEX('Material routes'!$H$6:$H$1005,MATCH(U222,'Material routes'!$A$6:$A$1005,0)),"MISSING ID")</x:f>
        <x:v>Chemical material</x:v>
      </x:c>
      <x:c r="D222" s="4" t="str">
        <x:f>IFERROR(INDEX('Material routes'!$G$6:$G$1005,MATCH(U222,'Material routes'!$A$6:$A$1005,0)),"MISSING ID")</x:f>
        <x:v>Resources</x:v>
      </x:c>
      <x:c r="E222" s="4" t="str">
        <x:f>IFERROR(INDEX('Material routes'!$C$6:$C$1005,MATCH(U222,'Material routes'!$A$6:$A$1005,0)),"MISSING ID")</x:f>
        <x:v>Ingredient candidate</x:v>
      </x:c>
      <x:c r="F222" s="4" t="str">
        <x:f>IFERROR(INDEX('Material routes'!$E$6:$E$1005,MATCH(V222,'Material routes'!$A$6:$A$1005,0)),"MISSING ID")</x:f>
        <x:v>Matched mechanical drive cassette</x:v>
      </x:c>
      <x:c r="G222" s="4" t="str">
        <x:f>IFERROR(INDEX('Material routes'!$F$6:$F$1005,MATCH(V222,'Material routes'!$A$6:$A$1005,0)),"MISSING ID")</x:f>
        <x:v>T4</x:v>
      </x:c>
      <x:c r="H222" s="4" t="str">
        <x:f>IFERROR(INDEX('Material routes'!$H$6:$H$1005,MATCH(V222,'Material routes'!$A$6:$A$1005,0)),"MISSING ID")</x:f>
        <x:v>Crafting component</x:v>
      </x:c>
      <x:c r="I222" s="4" t="str">
        <x:f>IFERROR(INDEX('Material routes'!$G$6:$G$1005,MATCH(V222,'Material routes'!$A$6:$A$1005,0)),"MISSING ID")</x:f>
        <x:v>Crafting components</x:v>
      </x:c>
      <x:c r="J222" s="4" t="str">
        <x:f>IFERROR(INDEX('Material routes'!$B$6:$B$1005,MATCH(U222,'Material routes'!$A$6:$A$1005,0)),"MISSING ID")</x:f>
        <x:v>design.t4.drive_cassette</x:v>
      </x:c>
      <x:c r="K222" s="4" t="str">
        <x:f>IFERROR(INDEX('Crafting recipes'!$C$6:$C$1005,MATCH(J222,'Crafting recipes'!$A$6:$A$1005,0)),"MISSING ID")</x:f>
        <x:v>Material refinement</x:v>
      </x:c>
      <x:c r="L222" s="4" t="str">
        <x:f>IFERROR(INDEX('Material routes'!$K$6:$K$1005,MATCH(U222,'Material routes'!$A$6:$A$1005,0)),"MISSING ID")</x:f>
        <x:v>Proposal</x:v>
      </x:c>
      <x:c r="M222" s="4" t="str">
        <x:f>IFERROR(INDEX('Material routes'!$M$6:$M$1005,MATCH(U222,'Material routes'!$A$6:$A$1005,0)),"MISSING ID")</x:f>
        <x:v>Partial proposal</x:v>
      </x:c>
      <x:c r="N222" s="4" t="str">
        <x:f>IF(IFERROR(INDEX('Material routes'!$I$6:$I$1005,MATCH(U222,'Material routes'!$A$6:$A$1005,0)),"MISSING ID")=0,"",IFERROR(INDEX('Material routes'!$I$6:$I$1005,MATCH(U222,'Material routes'!$A$6:$A$1005,0)),"MISSING ID"))</x:f>
      </x:c>
      <x:c r="O222" s="4" t="str">
        <x:f>IFERROR(INDEX('Material routes'!$J$6:$J$1005,MATCH(U222,'Material routes'!$A$6:$A$1005,0)),"MISSING ID")</x:f>
        <x:v>Unspecified</x:v>
      </x:c>
      <x:c r="P222" s="4" t="str">
        <x:f>IF(IFERROR(INDEX('Material routes'!$I$6:$I$1005,MATCH(V222,'Material routes'!$A$6:$A$1005,0)),"MISSING ID")=0,"",IFERROR(INDEX('Material routes'!$I$6:$I$1005,MATCH(V222,'Material routes'!$A$6:$A$1005,0)),"MISSING ID"))</x:f>
      </x:c>
      <x:c r="Q222" s="4" t="str">
        <x:f>IFERROR(INDEX('Material routes'!$J$6:$J$1005,MATCH(V222,'Material routes'!$A$6:$A$1005,0)),"MISSING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routes'!$D$6:$D$1005,MATCH(U222,'Material routes'!$A$6:$A$1005,0)),"MISSING ID")</x:f>
        <x:v>proposal.t3.service_grease</x:v>
      </x:c>
      <x:c r="T222" s="4" t="str">
        <x:f>IFERROR(INDEX('Material routes'!$D$6:$D$1005,MATCH(V222,'Material routes'!$A$6:$A$1005,0)),"MISSING ID")</x:f>
        <x:v>proposal.t4.drive_cassette</x:v>
      </x:c>
      <x:c r="U222" s="4" t="str">
        <x:v>design.t4.drive_cassette.in.4</x:v>
      </x:c>
      <x:c r="V222" s="4" t="str">
        <x:v>design.t4.drive_cassette.out</x:v>
      </x:c>
    </x:row>
    <x:row r="223" ht="115" customHeight="1">
      <x:c r="A223" s="4" t="str">
        <x:f>IFERROR(INDEX('Material routes'!$E$6:$E$1005,MATCH(U223,'Material routes'!$A$6:$A$1005,0)),"MISSING ID")</x:f>
        <x:v>Steel stock</x:v>
      </x:c>
      <x:c r="B223" s="4" t="str">
        <x:f>IFERROR(INDEX('Material routes'!$F$6:$F$1005,MATCH(U223,'Material routes'!$A$6:$A$1005,0)),"MISSING ID")</x:f>
        <x:v>T2</x:v>
      </x:c>
      <x:c r="C223" s="4" t="str">
        <x:f>IFERROR(INDEX('Material routes'!$H$6:$H$1005,MATCH(U223,'Material routes'!$A$6:$A$1005,0)),"MISSING ID")</x:f>
        <x:v>Processed material</x:v>
      </x:c>
      <x:c r="D223" s="4" t="str">
        <x:f>IFERROR(INDEX('Material routes'!$G$6:$G$1005,MATCH(U223,'Material routes'!$A$6:$A$1005,0)),"MISSING ID")</x:f>
        <x:v>Resources</x:v>
      </x:c>
      <x:c r="E223" s="4" t="str">
        <x:f>IFERROR(INDEX('Material routes'!$C$6:$C$1005,MATCH(U223,'Material routes'!$A$6:$A$1005,0)),"MISSING ID")</x:f>
        <x:v>Ingredient candidate</x:v>
      </x:c>
      <x:c r="F223" s="4" t="str">
        <x:f>IFERROR(INDEX('Material routes'!$E$6:$E$1005,MATCH(V223,'Material routes'!$A$6:$A$1005,0)),"MISSING ID")</x:f>
        <x:v>Matched mechanical drive cassette</x:v>
      </x:c>
      <x:c r="G223" s="4" t="str">
        <x:f>IFERROR(INDEX('Material routes'!$F$6:$F$1005,MATCH(V223,'Material routes'!$A$6:$A$1005,0)),"MISSING ID")</x:f>
        <x:v>T4</x:v>
      </x:c>
      <x:c r="H223" s="4" t="str">
        <x:f>IFERROR(INDEX('Material routes'!$H$6:$H$1005,MATCH(V223,'Material routes'!$A$6:$A$1005,0)),"MISSING ID")</x:f>
        <x:v>Crafting component</x:v>
      </x:c>
      <x:c r="I223" s="4" t="str">
        <x:f>IFERROR(INDEX('Material routes'!$G$6:$G$1005,MATCH(V223,'Material routes'!$A$6:$A$1005,0)),"MISSING ID")</x:f>
        <x:v>Crafting components</x:v>
      </x:c>
      <x:c r="J223" s="4" t="str">
        <x:f>IFERROR(INDEX('Material routes'!$B$6:$B$1005,MATCH(U223,'Material routes'!$A$6:$A$1005,0)),"MISSING ID")</x:f>
        <x:v>design.t4.drive_cassette</x:v>
      </x:c>
      <x:c r="K223" s="4" t="str">
        <x:f>IFERROR(INDEX('Crafting recipes'!$C$6:$C$1005,MATCH(J223,'Crafting recipes'!$A$6:$A$1005,0)),"MISSING ID")</x:f>
        <x:v>Material refinement</x:v>
      </x:c>
      <x:c r="L223" s="4" t="str">
        <x:f>IFERROR(INDEX('Material routes'!$K$6:$K$1005,MATCH(U223,'Material routes'!$A$6:$A$1005,0)),"MISSING ID")</x:f>
        <x:v>Proposal</x:v>
      </x:c>
      <x:c r="M223" s="4" t="str">
        <x:f>IFERROR(INDEX('Material routes'!$M$6:$M$1005,MATCH(U223,'Material routes'!$A$6:$A$1005,0)),"MISSING ID")</x:f>
        <x:v>Partial proposal</x:v>
      </x:c>
      <x:c r="N223" s="4" t="str">
        <x:f>IF(IFERROR(INDEX('Material routes'!$I$6:$I$1005,MATCH(U223,'Material routes'!$A$6:$A$1005,0)),"MISSING ID")=0,"",IFERROR(INDEX('Material routes'!$I$6:$I$1005,MATCH(U223,'Material routes'!$A$6:$A$1005,0)),"MISSING ID"))</x:f>
      </x:c>
      <x:c r="O223" s="4" t="str">
        <x:f>IFERROR(INDEX('Material routes'!$J$6:$J$1005,MATCH(U223,'Material routes'!$A$6:$A$1005,0)),"MISSING ID")</x:f>
        <x:v>Unspecified</x:v>
      </x:c>
      <x:c r="P223" s="4" t="str">
        <x:f>IF(IFERROR(INDEX('Material routes'!$I$6:$I$1005,MATCH(V223,'Material routes'!$A$6:$A$1005,0)),"MISSING ID")=0,"",IFERROR(INDEX('Material routes'!$I$6:$I$1005,MATCH(V223,'Material routes'!$A$6:$A$1005,0)),"MISSING ID"))</x:f>
      </x:c>
      <x:c r="Q223" s="4" t="str">
        <x:f>IFERROR(INDEX('Material routes'!$J$6:$J$1005,MATCH(V223,'Material routes'!$A$6:$A$1005,0)),"MISSING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routes'!$D$6:$D$1005,MATCH(U223,'Material routes'!$A$6:$A$1005,0)),"MISSING ID")</x:f>
        <x:v>author.metallurgy.steel_stock</x:v>
      </x:c>
      <x:c r="T223" s="4" t="str">
        <x:f>IFERROR(INDEX('Material routes'!$D$6:$D$1005,MATCH(V223,'Material routes'!$A$6:$A$1005,0)),"MISSING ID")</x:f>
        <x:v>proposal.t4.drive_cassette</x:v>
      </x:c>
      <x:c r="U223" s="4" t="str">
        <x:v>design.t4.drive_cassette.in.5</x:v>
      </x:c>
      <x:c r="V223" s="4" t="str">
        <x:v>design.t4.drive_cassette.out</x:v>
      </x:c>
    </x:row>
    <x:row r="224" ht="115" customHeight="1">
      <x:c r="A224" s="4" t="str">
        <x:f>IFERROR(INDEX('Material routes'!$E$6:$E$1005,MATCH(U224,'Material routes'!$A$6:$A$1005,0)),"MISSING ID")</x:f>
        <x:v>Lapped bronze bearing blanks</x:v>
      </x:c>
      <x:c r="B224" s="4" t="str">
        <x:f>IFERROR(INDEX('Material routes'!$F$6:$F$1005,MATCH(U224,'Material routes'!$A$6:$A$1005,0)),"MISSING ID")</x:f>
        <x:v>T3</x:v>
      </x:c>
      <x:c r="C224" s="4" t="str">
        <x:f>IFERROR(INDEX('Material routes'!$H$6:$H$1005,MATCH(U224,'Material routes'!$A$6:$A$1005,0)),"MISSING ID")</x:f>
        <x:v>Crafting component</x:v>
      </x:c>
      <x:c r="D224" s="4" t="str">
        <x:f>IFERROR(INDEX('Material routes'!$G$6:$G$1005,MATCH(U224,'Material routes'!$A$6:$A$1005,0)),"MISSING ID")</x:f>
        <x:v>Crafting components</x:v>
      </x:c>
      <x:c r="E224" s="4" t="str">
        <x:f>IFERROR(INDEX('Material routes'!$C$6:$C$1005,MATCH(U224,'Material routes'!$A$6:$A$1005,0)),"MISSING ID")</x:f>
        <x:v>Ingredient candidate</x:v>
      </x:c>
      <x:c r="F224" s="4" t="str">
        <x:f>IFERROR(INDEX('Material routes'!$E$6:$E$1005,MATCH(V224,'Material routes'!$A$6:$A$1005,0)),"MISSING ID")</x:f>
        <x:v>Dust-excluding bearing cartridge</x:v>
      </x:c>
      <x:c r="G224" s="4" t="str">
        <x:f>IFERROR(INDEX('Material routes'!$F$6:$F$1005,MATCH(V224,'Material routes'!$A$6:$A$1005,0)),"MISSING ID")</x:f>
        <x:v>T4</x:v>
      </x:c>
      <x:c r="H224" s="4" t="str">
        <x:f>IFERROR(INDEX('Material routes'!$H$6:$H$1005,MATCH(V224,'Material routes'!$A$6:$A$1005,0)),"MISSING ID")</x:f>
        <x:v>Crafting component</x:v>
      </x:c>
      <x:c r="I224" s="4" t="str">
        <x:f>IFERROR(INDEX('Material routes'!$G$6:$G$1005,MATCH(V224,'Material routes'!$A$6:$A$1005,0)),"MISSING ID")</x:f>
        <x:v>Crafting components</x:v>
      </x:c>
      <x:c r="J224" s="4" t="str">
        <x:f>IFERROR(INDEX('Material routes'!$B$6:$B$1005,MATCH(U224,'Material routes'!$A$6:$A$1005,0)),"MISSING ID")</x:f>
        <x:v>design.t4.bearing_cartridge</x:v>
      </x:c>
      <x:c r="K224" s="4" t="str">
        <x:f>IFERROR(INDEX('Crafting recipes'!$C$6:$C$1005,MATCH(J224,'Crafting recipes'!$A$6:$A$1005,0)),"MISSING ID")</x:f>
        <x:v>Material refinement</x:v>
      </x:c>
      <x:c r="L224" s="4" t="str">
        <x:f>IFERROR(INDEX('Material routes'!$K$6:$K$1005,MATCH(U224,'Material routes'!$A$6:$A$1005,0)),"MISSING ID")</x:f>
        <x:v>Proposal</x:v>
      </x:c>
      <x:c r="M224" s="4" t="str">
        <x:f>IFERROR(INDEX('Material routes'!$M$6:$M$1005,MATCH(U224,'Material routes'!$A$6:$A$1005,0)),"MISSING ID")</x:f>
        <x:v>Partial proposal</x:v>
      </x:c>
      <x:c r="N224" s="4" t="str">
        <x:f>IF(IFERROR(INDEX('Material routes'!$I$6:$I$1005,MATCH(U224,'Material routes'!$A$6:$A$1005,0)),"MISSING ID")=0,"",IFERROR(INDEX('Material routes'!$I$6:$I$1005,MATCH(U224,'Material routes'!$A$6:$A$1005,0)),"MISSING ID"))</x:f>
      </x:c>
      <x:c r="O224" s="4" t="str">
        <x:f>IFERROR(INDEX('Material routes'!$J$6:$J$1005,MATCH(U224,'Material routes'!$A$6:$A$1005,0)),"MISSING ID")</x:f>
        <x:v>Unspecified</x:v>
      </x:c>
      <x:c r="P224" s="4" t="str">
        <x:f>IF(IFERROR(INDEX('Material routes'!$I$6:$I$1005,MATCH(V224,'Material routes'!$A$6:$A$1005,0)),"MISSING ID")=0,"",IFERROR(INDEX('Material routes'!$I$6:$I$1005,MATCH(V224,'Material routes'!$A$6:$A$1005,0)),"MISSING ID"))</x:f>
      </x:c>
      <x:c r="Q224" s="4" t="str">
        <x:f>IFERROR(INDEX('Material routes'!$J$6:$J$1005,MATCH(V224,'Material routes'!$A$6:$A$1005,0)),"MISSING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routes'!$D$6:$D$1005,MATCH(U224,'Material routes'!$A$6:$A$1005,0)),"MISSING ID")</x:f>
        <x:v>proposal.t3.bearing_blank</x:v>
      </x:c>
      <x:c r="T224" s="4" t="str">
        <x:f>IFERROR(INDEX('Material routes'!$D$6:$D$1005,MATCH(V224,'Material routes'!$A$6:$A$1005,0)),"MISSING ID")</x:f>
        <x:v>proposal.t4.bearing_cartridge</x:v>
      </x:c>
      <x:c r="U224" s="4" t="str">
        <x:v>design.t4.bearing_cartridge.in.1</x:v>
      </x:c>
      <x:c r="V224" s="4" t="str">
        <x:v>design.t4.bearing_cartridge.out</x:v>
      </x:c>
    </x:row>
    <x:row r="225" ht="115" customHeight="1">
      <x:c r="A225" s="4" t="str">
        <x:f>IFERROR(INDEX('Material routes'!$E$6:$E$1005,MATCH(U225,'Material routes'!$A$6:$A$1005,0)),"MISSING ID")</x:f>
        <x:v>Husk-reinforced packing stock</x:v>
      </x:c>
      <x:c r="B225" s="4" t="str">
        <x:f>IFERROR(INDEX('Material routes'!$F$6:$F$1005,MATCH(U225,'Material routes'!$A$6:$A$1005,0)),"MISSING ID")</x:f>
        <x:v>T3</x:v>
      </x:c>
      <x:c r="C225" s="4" t="str">
        <x:f>IFERROR(INDEX('Material routes'!$H$6:$H$1005,MATCH(U225,'Material routes'!$A$6:$A$1005,0)),"MISSING ID")</x:f>
        <x:v>Processed material</x:v>
      </x:c>
      <x:c r="D225" s="4" t="str">
        <x:f>IFERROR(INDEX('Material routes'!$G$6:$G$1005,MATCH(U225,'Material routes'!$A$6:$A$1005,0)),"MISSING ID")</x:f>
        <x:v>Resources</x:v>
      </x:c>
      <x:c r="E225" s="4" t="str">
        <x:f>IFERROR(INDEX('Material routes'!$C$6:$C$1005,MATCH(U225,'Material routes'!$A$6:$A$1005,0)),"MISSING ID")</x:f>
        <x:v>Ingredient candidate</x:v>
      </x:c>
      <x:c r="F225" s="4" t="str">
        <x:f>IFERROR(INDEX('Material routes'!$E$6:$E$1005,MATCH(V225,'Material routes'!$A$6:$A$1005,0)),"MISSING ID")</x:f>
        <x:v>Dust-excluding bearing cartridge</x:v>
      </x:c>
      <x:c r="G225" s="4" t="str">
        <x:f>IFERROR(INDEX('Material routes'!$F$6:$F$1005,MATCH(V225,'Material routes'!$A$6:$A$1005,0)),"MISSING ID")</x:f>
        <x:v>T4</x:v>
      </x:c>
      <x:c r="H225" s="4" t="str">
        <x:f>IFERROR(INDEX('Material routes'!$H$6:$H$1005,MATCH(V225,'Material routes'!$A$6:$A$1005,0)),"MISSING ID")</x:f>
        <x:v>Crafting component</x:v>
      </x:c>
      <x:c r="I225" s="4" t="str">
        <x:f>IFERROR(INDEX('Material routes'!$G$6:$G$1005,MATCH(V225,'Material routes'!$A$6:$A$1005,0)),"MISSING ID")</x:f>
        <x:v>Crafting components</x:v>
      </x:c>
      <x:c r="J225" s="4" t="str">
        <x:f>IFERROR(INDEX('Material routes'!$B$6:$B$1005,MATCH(U225,'Material routes'!$A$6:$A$1005,0)),"MISSING ID")</x:f>
        <x:v>design.t4.bearing_cartridge</x:v>
      </x:c>
      <x:c r="K225" s="4" t="str">
        <x:f>IFERROR(INDEX('Crafting recipes'!$C$6:$C$1005,MATCH(J225,'Crafting recipes'!$A$6:$A$1005,0)),"MISSING ID")</x:f>
        <x:v>Material refinement</x:v>
      </x:c>
      <x:c r="L225" s="4" t="str">
        <x:f>IFERROR(INDEX('Material routes'!$K$6:$K$1005,MATCH(U225,'Material routes'!$A$6:$A$1005,0)),"MISSING ID")</x:f>
        <x:v>Proposal</x:v>
      </x:c>
      <x:c r="M225" s="4" t="str">
        <x:f>IFERROR(INDEX('Material routes'!$M$6:$M$1005,MATCH(U225,'Material routes'!$A$6:$A$1005,0)),"MISSING ID")</x:f>
        <x:v>Partial proposal</x:v>
      </x:c>
      <x:c r="N225" s="4" t="str">
        <x:f>IF(IFERROR(INDEX('Material routes'!$I$6:$I$1005,MATCH(U225,'Material routes'!$A$6:$A$1005,0)),"MISSING ID")=0,"",IFERROR(INDEX('Material routes'!$I$6:$I$1005,MATCH(U225,'Material routes'!$A$6:$A$1005,0)),"MISSING ID"))</x:f>
      </x:c>
      <x:c r="O225" s="4" t="str">
        <x:f>IFERROR(INDEX('Material routes'!$J$6:$J$1005,MATCH(U225,'Material routes'!$A$6:$A$1005,0)),"MISSING ID")</x:f>
        <x:v>Unspecified</x:v>
      </x:c>
      <x:c r="P225" s="4" t="str">
        <x:f>IF(IFERROR(INDEX('Material routes'!$I$6:$I$1005,MATCH(V225,'Material routes'!$A$6:$A$1005,0)),"MISSING ID")=0,"",IFERROR(INDEX('Material routes'!$I$6:$I$1005,MATCH(V225,'Material routes'!$A$6:$A$1005,0)),"MISSING ID"))</x:f>
      </x:c>
      <x:c r="Q225" s="4" t="str">
        <x:f>IFERROR(INDEX('Material routes'!$J$6:$J$1005,MATCH(V225,'Material routes'!$A$6:$A$1005,0)),"MISSING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routes'!$D$6:$D$1005,MATCH(U225,'Material routes'!$A$6:$A$1005,0)),"MISSING ID")</x:f>
        <x:v>proposal.t3.packing_stock</x:v>
      </x:c>
      <x:c r="T225" s="4" t="str">
        <x:f>IFERROR(INDEX('Material routes'!$D$6:$D$1005,MATCH(V225,'Material routes'!$A$6:$A$1005,0)),"MISSING ID")</x:f>
        <x:v>proposal.t4.bearing_cartridge</x:v>
      </x:c>
      <x:c r="U225" s="4" t="str">
        <x:v>design.t4.bearing_cartridge.in.2</x:v>
      </x:c>
      <x:c r="V225" s="4" t="str">
        <x:v>design.t4.bearing_cartridge.out</x:v>
      </x:c>
    </x:row>
    <x:row r="226" ht="115" customHeight="1">
      <x:c r="A226" s="4" t="str">
        <x:f>IFERROR(INDEX('Material routes'!$E$6:$E$1005,MATCH(U226,'Material routes'!$A$6:$A$1005,0)),"MISSING ID")</x:f>
        <x:v>Drawn steel tube stock</x:v>
      </x:c>
      <x:c r="B226" s="4" t="str">
        <x:f>IFERROR(INDEX('Material routes'!$F$6:$F$1005,MATCH(U226,'Material routes'!$A$6:$A$1005,0)),"MISSING ID")</x:f>
        <x:v>T3</x:v>
      </x:c>
      <x:c r="C226" s="4" t="str">
        <x:f>IFERROR(INDEX('Material routes'!$H$6:$H$1005,MATCH(U226,'Material routes'!$A$6:$A$1005,0)),"MISSING ID")</x:f>
        <x:v>Processed material</x:v>
      </x:c>
      <x:c r="D226" s="4" t="str">
        <x:f>IFERROR(INDEX('Material routes'!$G$6:$G$1005,MATCH(U226,'Material routes'!$A$6:$A$1005,0)),"MISSING ID")</x:f>
        <x:v>Resources</x:v>
      </x:c>
      <x:c r="E226" s="4" t="str">
        <x:f>IFERROR(INDEX('Material routes'!$C$6:$C$1005,MATCH(U226,'Material routes'!$A$6:$A$1005,0)),"MISSING ID")</x:f>
        <x:v>Ingredient candidate</x:v>
      </x:c>
      <x:c r="F226" s="4" t="str">
        <x:f>IFERROR(INDEX('Material routes'!$E$6:$E$1005,MATCH(V226,'Material routes'!$A$6:$A$1005,0)),"MISSING ID")</x:f>
        <x:v>Dust-excluding bearing cartridge</x:v>
      </x:c>
      <x:c r="G226" s="4" t="str">
        <x:f>IFERROR(INDEX('Material routes'!$F$6:$F$1005,MATCH(V226,'Material routes'!$A$6:$A$1005,0)),"MISSING ID")</x:f>
        <x:v>T4</x:v>
      </x:c>
      <x:c r="H226" s="4" t="str">
        <x:f>IFERROR(INDEX('Material routes'!$H$6:$H$1005,MATCH(V226,'Material routes'!$A$6:$A$1005,0)),"MISSING ID")</x:f>
        <x:v>Crafting component</x:v>
      </x:c>
      <x:c r="I226" s="4" t="str">
        <x:f>IFERROR(INDEX('Material routes'!$G$6:$G$1005,MATCH(V226,'Material routes'!$A$6:$A$1005,0)),"MISSING ID")</x:f>
        <x:v>Crafting components</x:v>
      </x:c>
      <x:c r="J226" s="4" t="str">
        <x:f>IFERROR(INDEX('Material routes'!$B$6:$B$1005,MATCH(U226,'Material routes'!$A$6:$A$1005,0)),"MISSING ID")</x:f>
        <x:v>design.t4.bearing_cartridge</x:v>
      </x:c>
      <x:c r="K226" s="4" t="str">
        <x:f>IFERROR(INDEX('Crafting recipes'!$C$6:$C$1005,MATCH(J226,'Crafting recipes'!$A$6:$A$1005,0)),"MISSING ID")</x:f>
        <x:v>Material refinement</x:v>
      </x:c>
      <x:c r="L226" s="4" t="str">
        <x:f>IFERROR(INDEX('Material routes'!$K$6:$K$1005,MATCH(U226,'Material routes'!$A$6:$A$1005,0)),"MISSING ID")</x:f>
        <x:v>Proposal</x:v>
      </x:c>
      <x:c r="M226" s="4" t="str">
        <x:f>IFERROR(INDEX('Material routes'!$M$6:$M$1005,MATCH(U226,'Material routes'!$A$6:$A$1005,0)),"MISSING ID")</x:f>
        <x:v>Partial proposal</x:v>
      </x:c>
      <x:c r="N226" s="4" t="str">
        <x:f>IF(IFERROR(INDEX('Material routes'!$I$6:$I$1005,MATCH(U226,'Material routes'!$A$6:$A$1005,0)),"MISSING ID")=0,"",IFERROR(INDEX('Material routes'!$I$6:$I$1005,MATCH(U226,'Material routes'!$A$6:$A$1005,0)),"MISSING ID"))</x:f>
      </x:c>
      <x:c r="O226" s="4" t="str">
        <x:f>IFERROR(INDEX('Material routes'!$J$6:$J$1005,MATCH(U226,'Material routes'!$A$6:$A$1005,0)),"MISSING ID")</x:f>
        <x:v>Unspecified</x:v>
      </x:c>
      <x:c r="P226" s="4" t="str">
        <x:f>IF(IFERROR(INDEX('Material routes'!$I$6:$I$1005,MATCH(V226,'Material routes'!$A$6:$A$1005,0)),"MISSING ID")=0,"",IFERROR(INDEX('Material routes'!$I$6:$I$1005,MATCH(V226,'Material routes'!$A$6:$A$1005,0)),"MISSING ID"))</x:f>
      </x:c>
      <x:c r="Q226" s="4" t="str">
        <x:f>IFERROR(INDEX('Material routes'!$J$6:$J$1005,MATCH(V226,'Material routes'!$A$6:$A$1005,0)),"MISSING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routes'!$D$6:$D$1005,MATCH(U226,'Material routes'!$A$6:$A$1005,0)),"MISSING ID")</x:f>
        <x:v>proposal.t3.precision_tube</x:v>
      </x:c>
      <x:c r="T226" s="4" t="str">
        <x:f>IFERROR(INDEX('Material routes'!$D$6:$D$1005,MATCH(V226,'Material routes'!$A$6:$A$1005,0)),"MISSING ID")</x:f>
        <x:v>proposal.t4.bearing_cartridge</x:v>
      </x:c>
      <x:c r="U226" s="4" t="str">
        <x:v>design.t4.bearing_cartridge.in.3</x:v>
      </x:c>
      <x:c r="V226" s="4" t="str">
        <x:v>design.t4.bearing_cartridge.out</x:v>
      </x:c>
    </x:row>
    <x:row r="227" ht="115" customHeight="1">
      <x:c r="A227" s="4" t="str">
        <x:f>IFERROR(INDEX('Material routes'!$E$6:$E$1005,MATCH(U227,'Material routes'!$A$6:$A$1005,0)),"MISSING ID")</x:f>
        <x:v>Conditioned mechanism-service grease</x:v>
      </x:c>
      <x:c r="B227" s="4" t="str">
        <x:f>IFERROR(INDEX('Material routes'!$F$6:$F$1005,MATCH(U227,'Material routes'!$A$6:$A$1005,0)),"MISSING ID")</x:f>
        <x:v>T3</x:v>
      </x:c>
      <x:c r="C227" s="4" t="str">
        <x:f>IFERROR(INDEX('Material routes'!$H$6:$H$1005,MATCH(U227,'Material routes'!$A$6:$A$1005,0)),"MISSING ID")</x:f>
        <x:v>Chemical material</x:v>
      </x:c>
      <x:c r="D227" s="4" t="str">
        <x:f>IFERROR(INDEX('Material routes'!$G$6:$G$1005,MATCH(U227,'Material routes'!$A$6:$A$1005,0)),"MISSING ID")</x:f>
        <x:v>Resources</x:v>
      </x:c>
      <x:c r="E227" s="4" t="str">
        <x:f>IFERROR(INDEX('Material routes'!$C$6:$C$1005,MATCH(U227,'Material routes'!$A$6:$A$1005,0)),"MISSING ID")</x:f>
        <x:v>Ingredient candidate</x:v>
      </x:c>
      <x:c r="F227" s="4" t="str">
        <x:f>IFERROR(INDEX('Material routes'!$E$6:$E$1005,MATCH(V227,'Material routes'!$A$6:$A$1005,0)),"MISSING ID")</x:f>
        <x:v>Dust-excluding bearing cartridge</x:v>
      </x:c>
      <x:c r="G227" s="4" t="str">
        <x:f>IFERROR(INDEX('Material routes'!$F$6:$F$1005,MATCH(V227,'Material routes'!$A$6:$A$1005,0)),"MISSING ID")</x:f>
        <x:v>T4</x:v>
      </x:c>
      <x:c r="H227" s="4" t="str">
        <x:f>IFERROR(INDEX('Material routes'!$H$6:$H$1005,MATCH(V227,'Material routes'!$A$6:$A$1005,0)),"MISSING ID")</x:f>
        <x:v>Crafting component</x:v>
      </x:c>
      <x:c r="I227" s="4" t="str">
        <x:f>IFERROR(INDEX('Material routes'!$G$6:$G$1005,MATCH(V227,'Material routes'!$A$6:$A$1005,0)),"MISSING ID")</x:f>
        <x:v>Crafting components</x:v>
      </x:c>
      <x:c r="J227" s="4" t="str">
        <x:f>IFERROR(INDEX('Material routes'!$B$6:$B$1005,MATCH(U227,'Material routes'!$A$6:$A$1005,0)),"MISSING ID")</x:f>
        <x:v>design.t4.bearing_cartridge</x:v>
      </x:c>
      <x:c r="K227" s="4" t="str">
        <x:f>IFERROR(INDEX('Crafting recipes'!$C$6:$C$1005,MATCH(J227,'Crafting recipes'!$A$6:$A$1005,0)),"MISSING ID")</x:f>
        <x:v>Material refinement</x:v>
      </x:c>
      <x:c r="L227" s="4" t="str">
        <x:f>IFERROR(INDEX('Material routes'!$K$6:$K$1005,MATCH(U227,'Material routes'!$A$6:$A$1005,0)),"MISSING ID")</x:f>
        <x:v>Proposal</x:v>
      </x:c>
      <x:c r="M227" s="4" t="str">
        <x:f>IFERROR(INDEX('Material routes'!$M$6:$M$1005,MATCH(U227,'Material routes'!$A$6:$A$1005,0)),"MISSING ID")</x:f>
        <x:v>Partial proposal</x:v>
      </x:c>
      <x:c r="N227" s="4" t="str">
        <x:f>IF(IFERROR(INDEX('Material routes'!$I$6:$I$1005,MATCH(U227,'Material routes'!$A$6:$A$1005,0)),"MISSING ID")=0,"",IFERROR(INDEX('Material routes'!$I$6:$I$1005,MATCH(U227,'Material routes'!$A$6:$A$1005,0)),"MISSING ID"))</x:f>
      </x:c>
      <x:c r="O227" s="4" t="str">
        <x:f>IFERROR(INDEX('Material routes'!$J$6:$J$1005,MATCH(U227,'Material routes'!$A$6:$A$1005,0)),"MISSING ID")</x:f>
        <x:v>Unspecified</x:v>
      </x:c>
      <x:c r="P227" s="4" t="str">
        <x:f>IF(IFERROR(INDEX('Material routes'!$I$6:$I$1005,MATCH(V227,'Material routes'!$A$6:$A$1005,0)),"MISSING ID")=0,"",IFERROR(INDEX('Material routes'!$I$6:$I$1005,MATCH(V227,'Material routes'!$A$6:$A$1005,0)),"MISSING ID"))</x:f>
      </x:c>
      <x:c r="Q227" s="4" t="str">
        <x:f>IFERROR(INDEX('Material routes'!$J$6:$J$1005,MATCH(V227,'Material routes'!$A$6:$A$1005,0)),"MISSING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routes'!$D$6:$D$1005,MATCH(U227,'Material routes'!$A$6:$A$1005,0)),"MISSING ID")</x:f>
        <x:v>proposal.t3.service_grease</x:v>
      </x:c>
      <x:c r="T227" s="4" t="str">
        <x:f>IFERROR(INDEX('Material routes'!$D$6:$D$1005,MATCH(V227,'Material routes'!$A$6:$A$1005,0)),"MISSING ID")</x:f>
        <x:v>proposal.t4.bearing_cartridge</x:v>
      </x:c>
      <x:c r="U227" s="4" t="str">
        <x:v>design.t4.bearing_cartridge.in.4</x:v>
      </x:c>
      <x:c r="V227" s="4" t="str">
        <x:v>design.t4.bearing_cartridge.out</x:v>
      </x:c>
    </x:row>
    <x:row r="228" ht="115" customHeight="1">
      <x:c r="A228" s="4" t="str">
        <x:f>IFERROR(INDEX('Material routes'!$E$6:$E$1005,MATCH(U228,'Material routes'!$A$6:$A$1005,0)),"MISSING ID")</x:f>
        <x:v>Braided copper grounding stock</x:v>
      </x:c>
      <x:c r="B228" s="4" t="str">
        <x:f>IFERROR(INDEX('Material routes'!$F$6:$F$1005,MATCH(U228,'Material routes'!$A$6:$A$1005,0)),"MISSING ID")</x:f>
        <x:v>T3</x:v>
      </x:c>
      <x:c r="C228" s="4" t="str">
        <x:f>IFERROR(INDEX('Material routes'!$H$6:$H$1005,MATCH(U228,'Material routes'!$A$6:$A$1005,0)),"MISSING ID")</x:f>
        <x:v>Processed material</x:v>
      </x:c>
      <x:c r="D228" s="4" t="str">
        <x:f>IFERROR(INDEX('Material routes'!$G$6:$G$1005,MATCH(U228,'Material routes'!$A$6:$A$1005,0)),"MISSING ID")</x:f>
        <x:v>Resources</x:v>
      </x:c>
      <x:c r="E228" s="4" t="str">
        <x:f>IFERROR(INDEX('Material routes'!$C$6:$C$1005,MATCH(U228,'Material routes'!$A$6:$A$1005,0)),"MISSING ID")</x:f>
        <x:v>Ingredient candidate</x:v>
      </x:c>
      <x:c r="F228" s="4" t="str">
        <x:f>IFERROR(INDEX('Material routes'!$E$6:$E$1005,MATCH(V228,'Material routes'!$A$6:$A$1005,0)),"MISSING ID")</x:f>
        <x:v>Terminated grounding harness</x:v>
      </x:c>
      <x:c r="G228" s="4" t="str">
        <x:f>IFERROR(INDEX('Material routes'!$F$6:$F$1005,MATCH(V228,'Material routes'!$A$6:$A$1005,0)),"MISSING ID")</x:f>
        <x:v>T4</x:v>
      </x:c>
      <x:c r="H228" s="4" t="str">
        <x:f>IFERROR(INDEX('Material routes'!$H$6:$H$1005,MATCH(V228,'Material routes'!$A$6:$A$1005,0)),"MISSING ID")</x:f>
        <x:v>Crafting component</x:v>
      </x:c>
      <x:c r="I228" s="4" t="str">
        <x:f>IFERROR(INDEX('Material routes'!$G$6:$G$1005,MATCH(V228,'Material routes'!$A$6:$A$1005,0)),"MISSING ID")</x:f>
        <x:v>Crafting components</x:v>
      </x:c>
      <x:c r="J228" s="4" t="str">
        <x:f>IFERROR(INDEX('Material routes'!$B$6:$B$1005,MATCH(U228,'Material routes'!$A$6:$A$1005,0)),"MISSING ID")</x:f>
        <x:v>design.t4.grounding_harness</x:v>
      </x:c>
      <x:c r="K228" s="4" t="str">
        <x:f>IFERROR(INDEX('Crafting recipes'!$C$6:$C$1005,MATCH(J228,'Crafting recipes'!$A$6:$A$1005,0)),"MISSING ID")</x:f>
        <x:v>Material refinement</x:v>
      </x:c>
      <x:c r="L228" s="4" t="str">
        <x:f>IFERROR(INDEX('Material routes'!$K$6:$K$1005,MATCH(U228,'Material routes'!$A$6:$A$1005,0)),"MISSING ID")</x:f>
        <x:v>Proposal</x:v>
      </x:c>
      <x:c r="M228" s="4" t="str">
        <x:f>IFERROR(INDEX('Material routes'!$M$6:$M$1005,MATCH(U228,'Material routes'!$A$6:$A$1005,0)),"MISSING ID")</x:f>
        <x:v>Partial proposal</x:v>
      </x:c>
      <x:c r="N228" s="4" t="str">
        <x:f>IF(IFERROR(INDEX('Material routes'!$I$6:$I$1005,MATCH(U228,'Material routes'!$A$6:$A$1005,0)),"MISSING ID")=0,"",IFERROR(INDEX('Material routes'!$I$6:$I$1005,MATCH(U228,'Material routes'!$A$6:$A$1005,0)),"MISSING ID"))</x:f>
      </x:c>
      <x:c r="O228" s="4" t="str">
        <x:f>IFERROR(INDEX('Material routes'!$J$6:$J$1005,MATCH(U228,'Material routes'!$A$6:$A$1005,0)),"MISSING ID")</x:f>
        <x:v>Unspecified</x:v>
      </x:c>
      <x:c r="P228" s="4" t="str">
        <x:f>IF(IFERROR(INDEX('Material routes'!$I$6:$I$1005,MATCH(V228,'Material routes'!$A$6:$A$1005,0)),"MISSING ID")=0,"",IFERROR(INDEX('Material routes'!$I$6:$I$1005,MATCH(V228,'Material routes'!$A$6:$A$1005,0)),"MISSING ID"))</x:f>
      </x:c>
      <x:c r="Q228" s="4" t="str">
        <x:f>IFERROR(INDEX('Material routes'!$J$6:$J$1005,MATCH(V228,'Material routes'!$A$6:$A$1005,0)),"MISSING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routes'!$D$6:$D$1005,MATCH(U228,'Material routes'!$A$6:$A$1005,0)),"MISSING ID")</x:f>
        <x:v>proposal.t3.grounding_braid</x:v>
      </x:c>
      <x:c r="T228" s="4" t="str">
        <x:f>IFERROR(INDEX('Material routes'!$D$6:$D$1005,MATCH(V228,'Material routes'!$A$6:$A$1005,0)),"MISSING ID")</x:f>
        <x:v>proposal.t4.grounding_harness</x:v>
      </x:c>
      <x:c r="U228" s="4" t="str">
        <x:v>design.t4.grounding_harness.in.1</x:v>
      </x:c>
      <x:c r="V228" s="4" t="str">
        <x:v>design.t4.grounding_harness.out</x:v>
      </x:c>
    </x:row>
    <x:row r="229" ht="115" customHeight="1">
      <x:c r="A229" s="4" t="str">
        <x:f>IFERROR(INDEX('Material routes'!$E$6:$E$1005,MATCH(U229,'Material routes'!$A$6:$A$1005,0)),"MISSING ID")</x:f>
        <x:v>Fitted ceramic contact mounts</x:v>
      </x:c>
      <x:c r="B229" s="4" t="str">
        <x:f>IFERROR(INDEX('Material routes'!$F$6:$F$1005,MATCH(U229,'Material routes'!$A$6:$A$1005,0)),"MISSING ID")</x:f>
        <x:v>T3</x:v>
      </x:c>
      <x:c r="C229" s="4" t="str">
        <x:f>IFERROR(INDEX('Material routes'!$H$6:$H$1005,MATCH(U229,'Material routes'!$A$6:$A$1005,0)),"MISSING ID")</x:f>
        <x:v>Crafting component</x:v>
      </x:c>
      <x:c r="D229" s="4" t="str">
        <x:f>IFERROR(INDEX('Material routes'!$G$6:$G$1005,MATCH(U229,'Material routes'!$A$6:$A$1005,0)),"MISSING ID")</x:f>
        <x:v>Crafting components</x:v>
      </x:c>
      <x:c r="E229" s="4" t="str">
        <x:f>IFERROR(INDEX('Material routes'!$C$6:$C$1005,MATCH(U229,'Material routes'!$A$6:$A$1005,0)),"MISSING ID")</x:f>
        <x:v>Ingredient candidate</x:v>
      </x:c>
      <x:c r="F229" s="4" t="str">
        <x:f>IFERROR(INDEX('Material routes'!$E$6:$E$1005,MATCH(V229,'Material routes'!$A$6:$A$1005,0)),"MISSING ID")</x:f>
        <x:v>Terminated grounding harness</x:v>
      </x:c>
      <x:c r="G229" s="4" t="str">
        <x:f>IFERROR(INDEX('Material routes'!$F$6:$F$1005,MATCH(V229,'Material routes'!$A$6:$A$1005,0)),"MISSING ID")</x:f>
        <x:v>T4</x:v>
      </x:c>
      <x:c r="H229" s="4" t="str">
        <x:f>IFERROR(INDEX('Material routes'!$H$6:$H$1005,MATCH(V229,'Material routes'!$A$6:$A$1005,0)),"MISSING ID")</x:f>
        <x:v>Crafting component</x:v>
      </x:c>
      <x:c r="I229" s="4" t="str">
        <x:f>IFERROR(INDEX('Material routes'!$G$6:$G$1005,MATCH(V229,'Material routes'!$A$6:$A$1005,0)),"MISSING ID")</x:f>
        <x:v>Crafting components</x:v>
      </x:c>
      <x:c r="J229" s="4" t="str">
        <x:f>IFERROR(INDEX('Material routes'!$B$6:$B$1005,MATCH(U229,'Material routes'!$A$6:$A$1005,0)),"MISSING ID")</x:f>
        <x:v>design.t4.grounding_harness</x:v>
      </x:c>
      <x:c r="K229" s="4" t="str">
        <x:f>IFERROR(INDEX('Crafting recipes'!$C$6:$C$1005,MATCH(J229,'Crafting recipes'!$A$6:$A$1005,0)),"MISSING ID")</x:f>
        <x:v>Material refinement</x:v>
      </x:c>
      <x:c r="L229" s="4" t="str">
        <x:f>IFERROR(INDEX('Material routes'!$K$6:$K$1005,MATCH(U229,'Material routes'!$A$6:$A$1005,0)),"MISSING ID")</x:f>
        <x:v>Proposal</x:v>
      </x:c>
      <x:c r="M229" s="4" t="str">
        <x:f>IFERROR(INDEX('Material routes'!$M$6:$M$1005,MATCH(U229,'Material routes'!$A$6:$A$1005,0)),"MISSING ID")</x:f>
        <x:v>Partial proposal</x:v>
      </x:c>
      <x:c r="N229" s="4" t="str">
        <x:f>IF(IFERROR(INDEX('Material routes'!$I$6:$I$1005,MATCH(U229,'Material routes'!$A$6:$A$1005,0)),"MISSING ID")=0,"",IFERROR(INDEX('Material routes'!$I$6:$I$1005,MATCH(U229,'Material routes'!$A$6:$A$1005,0)),"MISSING ID"))</x:f>
      </x:c>
      <x:c r="O229" s="4" t="str">
        <x:f>IFERROR(INDEX('Material routes'!$J$6:$J$1005,MATCH(U229,'Material routes'!$A$6:$A$1005,0)),"MISSING ID")</x:f>
        <x:v>Unspecified</x:v>
      </x:c>
      <x:c r="P229" s="4" t="str">
        <x:f>IF(IFERROR(INDEX('Material routes'!$I$6:$I$1005,MATCH(V229,'Material routes'!$A$6:$A$1005,0)),"MISSING ID")=0,"",IFERROR(INDEX('Material routes'!$I$6:$I$1005,MATCH(V229,'Material routes'!$A$6:$A$1005,0)),"MISSING ID"))</x:f>
      </x:c>
      <x:c r="Q229" s="4" t="str">
        <x:f>IFERROR(INDEX('Material routes'!$J$6:$J$1005,MATCH(V229,'Material routes'!$A$6:$A$1005,0)),"MISSING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routes'!$D$6:$D$1005,MATCH(U229,'Material routes'!$A$6:$A$1005,0)),"MISSING ID")</x:f>
        <x:v>proposal.t3.contact_mount</x:v>
      </x:c>
      <x:c r="T229" s="4" t="str">
        <x:f>IFERROR(INDEX('Material routes'!$D$6:$D$1005,MATCH(V229,'Material routes'!$A$6:$A$1005,0)),"MISSING ID")</x:f>
        <x:v>proposal.t4.grounding_harness</x:v>
      </x:c>
      <x:c r="U229" s="4" t="str">
        <x:v>design.t4.grounding_harness.in.2</x:v>
      </x:c>
      <x:c r="V229" s="4" t="str">
        <x:v>design.t4.grounding_harness.out</x:v>
      </x:c>
    </x:row>
    <x:row r="230" ht="115" customHeight="1">
      <x:c r="A230" s="4" t="str">
        <x:f>IFERROR(INDEX('Material routes'!$E$6:$E$1005,MATCH(U230,'Material routes'!$A$6:$A$1005,0)),"MISSING ID")</x:f>
        <x:v>Steel stock</x:v>
      </x:c>
      <x:c r="B230" s="4" t="str">
        <x:f>IFERROR(INDEX('Material routes'!$F$6:$F$1005,MATCH(U230,'Material routes'!$A$6:$A$1005,0)),"MISSING ID")</x:f>
        <x:v>T2</x:v>
      </x:c>
      <x:c r="C230" s="4" t="str">
        <x:f>IFERROR(INDEX('Material routes'!$H$6:$H$1005,MATCH(U230,'Material routes'!$A$6:$A$1005,0)),"MISSING ID")</x:f>
        <x:v>Processed material</x:v>
      </x:c>
      <x:c r="D230" s="4" t="str">
        <x:f>IFERROR(INDEX('Material routes'!$G$6:$G$1005,MATCH(U230,'Material routes'!$A$6:$A$1005,0)),"MISSING ID")</x:f>
        <x:v>Resources</x:v>
      </x:c>
      <x:c r="E230" s="4" t="str">
        <x:f>IFERROR(INDEX('Material routes'!$C$6:$C$1005,MATCH(U230,'Material routes'!$A$6:$A$1005,0)),"MISSING ID")</x:f>
        <x:v>Ingredient candidate</x:v>
      </x:c>
      <x:c r="F230" s="4" t="str">
        <x:f>IFERROR(INDEX('Material routes'!$E$6:$E$1005,MATCH(V230,'Material routes'!$A$6:$A$1005,0)),"MISSING ID")</x:f>
        <x:v>Terminated grounding harness</x:v>
      </x:c>
      <x:c r="G230" s="4" t="str">
        <x:f>IFERROR(INDEX('Material routes'!$F$6:$F$1005,MATCH(V230,'Material routes'!$A$6:$A$1005,0)),"MISSING ID")</x:f>
        <x:v>T4</x:v>
      </x:c>
      <x:c r="H230" s="4" t="str">
        <x:f>IFERROR(INDEX('Material routes'!$H$6:$H$1005,MATCH(V230,'Material routes'!$A$6:$A$1005,0)),"MISSING ID")</x:f>
        <x:v>Crafting component</x:v>
      </x:c>
      <x:c r="I230" s="4" t="str">
        <x:f>IFERROR(INDEX('Material routes'!$G$6:$G$1005,MATCH(V230,'Material routes'!$A$6:$A$1005,0)),"MISSING ID")</x:f>
        <x:v>Crafting components</x:v>
      </x:c>
      <x:c r="J230" s="4" t="str">
        <x:f>IFERROR(INDEX('Material routes'!$B$6:$B$1005,MATCH(U230,'Material routes'!$A$6:$A$1005,0)),"MISSING ID")</x:f>
        <x:v>design.t4.grounding_harness</x:v>
      </x:c>
      <x:c r="K230" s="4" t="str">
        <x:f>IFERROR(INDEX('Crafting recipes'!$C$6:$C$1005,MATCH(J230,'Crafting recipes'!$A$6:$A$1005,0)),"MISSING ID")</x:f>
        <x:v>Material refinement</x:v>
      </x:c>
      <x:c r="L230" s="4" t="str">
        <x:f>IFERROR(INDEX('Material routes'!$K$6:$K$1005,MATCH(U230,'Material routes'!$A$6:$A$1005,0)),"MISSING ID")</x:f>
        <x:v>Proposal</x:v>
      </x:c>
      <x:c r="M230" s="4" t="str">
        <x:f>IFERROR(INDEX('Material routes'!$M$6:$M$1005,MATCH(U230,'Material routes'!$A$6:$A$1005,0)),"MISSING ID")</x:f>
        <x:v>Partial proposal</x:v>
      </x:c>
      <x:c r="N230" s="4" t="str">
        <x:f>IF(IFERROR(INDEX('Material routes'!$I$6:$I$1005,MATCH(U230,'Material routes'!$A$6:$A$1005,0)),"MISSING ID")=0,"",IFERROR(INDEX('Material routes'!$I$6:$I$1005,MATCH(U230,'Material routes'!$A$6:$A$1005,0)),"MISSING ID"))</x:f>
      </x:c>
      <x:c r="O230" s="4" t="str">
        <x:f>IFERROR(INDEX('Material routes'!$J$6:$J$1005,MATCH(U230,'Material routes'!$A$6:$A$1005,0)),"MISSING ID")</x:f>
        <x:v>Unspecified</x:v>
      </x:c>
      <x:c r="P230" s="4" t="str">
        <x:f>IF(IFERROR(INDEX('Material routes'!$I$6:$I$1005,MATCH(V230,'Material routes'!$A$6:$A$1005,0)),"MISSING ID")=0,"",IFERROR(INDEX('Material routes'!$I$6:$I$1005,MATCH(V230,'Material routes'!$A$6:$A$1005,0)),"MISSING ID"))</x:f>
      </x:c>
      <x:c r="Q230" s="4" t="str">
        <x:f>IFERROR(INDEX('Material routes'!$J$6:$J$1005,MATCH(V230,'Material routes'!$A$6:$A$1005,0)),"MISSING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routes'!$D$6:$D$1005,MATCH(U230,'Material routes'!$A$6:$A$1005,0)),"MISSING ID")</x:f>
        <x:v>author.metallurgy.steel_stock</x:v>
      </x:c>
      <x:c r="T230" s="4" t="str">
        <x:f>IFERROR(INDEX('Material routes'!$D$6:$D$1005,MATCH(V230,'Material routes'!$A$6:$A$1005,0)),"MISSING ID")</x:f>
        <x:v>proposal.t4.grounding_harness</x:v>
      </x:c>
      <x:c r="U230" s="4" t="str">
        <x:v>design.t4.grounding_harness.in.3</x:v>
      </x:c>
      <x:c r="V230" s="4" t="str">
        <x:v>design.t4.grounding_harness.out</x:v>
      </x:c>
    </x:row>
    <x:row r="231" ht="115" customHeight="1">
      <x:c r="A231" s="4" t="str">
        <x:f>IFERROR(INDEX('Material routes'!$E$6:$E$1005,MATCH(U231,'Material routes'!$A$6:$A$1005,0)),"MISSING ID")</x:f>
        <x:v>Wound copper coil blanks</x:v>
      </x:c>
      <x:c r="B231" s="4" t="str">
        <x:f>IFERROR(INDEX('Material routes'!$F$6:$F$1005,MATCH(U231,'Material routes'!$A$6:$A$1005,0)),"MISSING ID")</x:f>
        <x:v>T3</x:v>
      </x:c>
      <x:c r="C231" s="4" t="str">
        <x:f>IFERROR(INDEX('Material routes'!$H$6:$H$1005,MATCH(U231,'Material routes'!$A$6:$A$1005,0)),"MISSING ID")</x:f>
        <x:v>Crafting component</x:v>
      </x:c>
      <x:c r="D231" s="4" t="str">
        <x:f>IFERROR(INDEX('Material routes'!$G$6:$G$1005,MATCH(U231,'Material routes'!$A$6:$A$1005,0)),"MISSING ID")</x:f>
        <x:v>Crafting components</x:v>
      </x:c>
      <x:c r="E231" s="4" t="str">
        <x:f>IFERROR(INDEX('Material routes'!$C$6:$C$1005,MATCH(U231,'Material routes'!$A$6:$A$1005,0)),"MISSING ID")</x:f>
        <x:v>Ingredient candidate</x:v>
      </x:c>
      <x:c r="F231" s="4" t="str">
        <x:f>IFERROR(INDEX('Material routes'!$E$6:$E$1005,MATCH(V231,'Material routes'!$A$6:$A$1005,0)),"MISSING ID")</x:f>
        <x:v>Insulated winding subassembly</x:v>
      </x:c>
      <x:c r="G231" s="4" t="str">
        <x:f>IFERROR(INDEX('Material routes'!$F$6:$F$1005,MATCH(V231,'Material routes'!$A$6:$A$1005,0)),"MISSING ID")</x:f>
        <x:v>T4</x:v>
      </x:c>
      <x:c r="H231" s="4" t="str">
        <x:f>IFERROR(INDEX('Material routes'!$H$6:$H$1005,MATCH(V231,'Material routes'!$A$6:$A$1005,0)),"MISSING ID")</x:f>
        <x:v>Crafting component</x:v>
      </x:c>
      <x:c r="I231" s="4" t="str">
        <x:f>IFERROR(INDEX('Material routes'!$G$6:$G$1005,MATCH(V231,'Material routes'!$A$6:$A$1005,0)),"MISSING ID")</x:f>
        <x:v>Crafting components</x:v>
      </x:c>
      <x:c r="J231" s="4" t="str">
        <x:f>IFERROR(INDEX('Material routes'!$B$6:$B$1005,MATCH(U231,'Material routes'!$A$6:$A$1005,0)),"MISSING ID")</x:f>
        <x:v>design.t4.insulated_winding</x:v>
      </x:c>
      <x:c r="K231" s="4" t="str">
        <x:f>IFERROR(INDEX('Crafting recipes'!$C$6:$C$1005,MATCH(J231,'Crafting recipes'!$A$6:$A$1005,0)),"MISSING ID")</x:f>
        <x:v>Material refinement</x:v>
      </x:c>
      <x:c r="L231" s="4" t="str">
        <x:f>IFERROR(INDEX('Material routes'!$K$6:$K$1005,MATCH(U231,'Material routes'!$A$6:$A$1005,0)),"MISSING ID")</x:f>
        <x:v>Proposal</x:v>
      </x:c>
      <x:c r="M231" s="4" t="str">
        <x:f>IFERROR(INDEX('Material routes'!$M$6:$M$1005,MATCH(U231,'Material routes'!$A$6:$A$1005,0)),"MISSING ID")</x:f>
        <x:v>Partial proposal</x:v>
      </x:c>
      <x:c r="N231" s="4" t="str">
        <x:f>IF(IFERROR(INDEX('Material routes'!$I$6:$I$1005,MATCH(U231,'Material routes'!$A$6:$A$1005,0)),"MISSING ID")=0,"",IFERROR(INDEX('Material routes'!$I$6:$I$1005,MATCH(U231,'Material routes'!$A$6:$A$1005,0)),"MISSING ID"))</x:f>
      </x:c>
      <x:c r="O231" s="4" t="str">
        <x:f>IFERROR(INDEX('Material routes'!$J$6:$J$1005,MATCH(U231,'Material routes'!$A$6:$A$1005,0)),"MISSING ID")</x:f>
        <x:v>Unspecified</x:v>
      </x:c>
      <x:c r="P231" s="4" t="str">
        <x:f>IF(IFERROR(INDEX('Material routes'!$I$6:$I$1005,MATCH(V231,'Material routes'!$A$6:$A$1005,0)),"MISSING ID")=0,"",IFERROR(INDEX('Material routes'!$I$6:$I$1005,MATCH(V231,'Material routes'!$A$6:$A$1005,0)),"MISSING ID"))</x:f>
      </x:c>
      <x:c r="Q231" s="4" t="str">
        <x:f>IFERROR(INDEX('Material routes'!$J$6:$J$1005,MATCH(V231,'Material routes'!$A$6:$A$1005,0)),"MISSING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routes'!$D$6:$D$1005,MATCH(U231,'Material routes'!$A$6:$A$1005,0)),"MISSING ID")</x:f>
        <x:v>proposal.t3.wound_coil</x:v>
      </x:c>
      <x:c r="T231" s="4" t="str">
        <x:f>IFERROR(INDEX('Material routes'!$D$6:$D$1005,MATCH(V231,'Material routes'!$A$6:$A$1005,0)),"MISSING ID")</x:f>
        <x:v>proposal.t4.insulated_winding</x:v>
      </x:c>
      <x:c r="U231" s="4" t="str">
        <x:v>design.t4.insulated_winding.in.1</x:v>
      </x:c>
      <x:c r="V231" s="4" t="str">
        <x:v>design.t4.insulated_winding.out</x:v>
      </x:c>
    </x:row>
    <x:row r="232" ht="115" customHeight="1">
      <x:c r="A232" s="4" t="str">
        <x:f>IFERROR(INDEX('Material routes'!$E$6:$E$1005,MATCH(U232,'Material routes'!$A$6:$A$1005,0)),"MISSING ID")</x:f>
        <x:v>Matched ceramic spacer sets</x:v>
      </x:c>
      <x:c r="B232" s="4" t="str">
        <x:f>IFERROR(INDEX('Material routes'!$F$6:$F$1005,MATCH(U232,'Material routes'!$A$6:$A$1005,0)),"MISSING ID")</x:f>
        <x:v>T3</x:v>
      </x:c>
      <x:c r="C232" s="4" t="str">
        <x:f>IFERROR(INDEX('Material routes'!$H$6:$H$1005,MATCH(U232,'Material routes'!$A$6:$A$1005,0)),"MISSING ID")</x:f>
        <x:v>Crafting component</x:v>
      </x:c>
      <x:c r="D232" s="4" t="str">
        <x:f>IFERROR(INDEX('Material routes'!$G$6:$G$1005,MATCH(U232,'Material routes'!$A$6:$A$1005,0)),"MISSING ID")</x:f>
        <x:v>Crafting components</x:v>
      </x:c>
      <x:c r="E232" s="4" t="str">
        <x:f>IFERROR(INDEX('Material routes'!$C$6:$C$1005,MATCH(U232,'Material routes'!$A$6:$A$1005,0)),"MISSING ID")</x:f>
        <x:v>Ingredient candidate</x:v>
      </x:c>
      <x:c r="F232" s="4" t="str">
        <x:f>IFERROR(INDEX('Material routes'!$E$6:$E$1005,MATCH(V232,'Material routes'!$A$6:$A$1005,0)),"MISSING ID")</x:f>
        <x:v>Insulated winding subassembly</x:v>
      </x:c>
      <x:c r="G232" s="4" t="str">
        <x:f>IFERROR(INDEX('Material routes'!$F$6:$F$1005,MATCH(V232,'Material routes'!$A$6:$A$1005,0)),"MISSING ID")</x:f>
        <x:v>T4</x:v>
      </x:c>
      <x:c r="H232" s="4" t="str">
        <x:f>IFERROR(INDEX('Material routes'!$H$6:$H$1005,MATCH(V232,'Material routes'!$A$6:$A$1005,0)),"MISSING ID")</x:f>
        <x:v>Crafting component</x:v>
      </x:c>
      <x:c r="I232" s="4" t="str">
        <x:f>IFERROR(INDEX('Material routes'!$G$6:$G$1005,MATCH(V232,'Material routes'!$A$6:$A$1005,0)),"MISSING ID")</x:f>
        <x:v>Crafting components</x:v>
      </x:c>
      <x:c r="J232" s="4" t="str">
        <x:f>IFERROR(INDEX('Material routes'!$B$6:$B$1005,MATCH(U232,'Material routes'!$A$6:$A$1005,0)),"MISSING ID")</x:f>
        <x:v>design.t4.insulated_winding</x:v>
      </x:c>
      <x:c r="K232" s="4" t="str">
        <x:f>IFERROR(INDEX('Crafting recipes'!$C$6:$C$1005,MATCH(J232,'Crafting recipes'!$A$6:$A$1005,0)),"MISSING ID")</x:f>
        <x:v>Material refinement</x:v>
      </x:c>
      <x:c r="L232" s="4" t="str">
        <x:f>IFERROR(INDEX('Material routes'!$K$6:$K$1005,MATCH(U232,'Material routes'!$A$6:$A$1005,0)),"MISSING ID")</x:f>
        <x:v>Proposal</x:v>
      </x:c>
      <x:c r="M232" s="4" t="str">
        <x:f>IFERROR(INDEX('Material routes'!$M$6:$M$1005,MATCH(U232,'Material routes'!$A$6:$A$1005,0)),"MISSING ID")</x:f>
        <x:v>Partial proposal</x:v>
      </x:c>
      <x:c r="N232" s="4" t="str">
        <x:f>IF(IFERROR(INDEX('Material routes'!$I$6:$I$1005,MATCH(U232,'Material routes'!$A$6:$A$1005,0)),"MISSING ID")=0,"",IFERROR(INDEX('Material routes'!$I$6:$I$1005,MATCH(U232,'Material routes'!$A$6:$A$1005,0)),"MISSING ID"))</x:f>
      </x:c>
      <x:c r="O232" s="4" t="str">
        <x:f>IFERROR(INDEX('Material routes'!$J$6:$J$1005,MATCH(U232,'Material routes'!$A$6:$A$1005,0)),"MISSING ID")</x:f>
        <x:v>Unspecified</x:v>
      </x:c>
      <x:c r="P232" s="4" t="str">
        <x:f>IF(IFERROR(INDEX('Material routes'!$I$6:$I$1005,MATCH(V232,'Material routes'!$A$6:$A$1005,0)),"MISSING ID")=0,"",IFERROR(INDEX('Material routes'!$I$6:$I$1005,MATCH(V232,'Material routes'!$A$6:$A$1005,0)),"MISSING ID"))</x:f>
      </x:c>
      <x:c r="Q232" s="4" t="str">
        <x:f>IFERROR(INDEX('Material routes'!$J$6:$J$1005,MATCH(V232,'Material routes'!$A$6:$A$1005,0)),"MISSING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routes'!$D$6:$D$1005,MATCH(U232,'Material routes'!$A$6:$A$1005,0)),"MISSING ID")</x:f>
        <x:v>proposal.t3.spacer_set</x:v>
      </x:c>
      <x:c r="T232" s="4" t="str">
        <x:f>IFERROR(INDEX('Material routes'!$D$6:$D$1005,MATCH(V232,'Material routes'!$A$6:$A$1005,0)),"MISSING ID")</x:f>
        <x:v>proposal.t4.insulated_winding</x:v>
      </x:c>
      <x:c r="U232" s="4" t="str">
        <x:v>design.t4.insulated_winding.in.2</x:v>
      </x:c>
      <x:c r="V232" s="4" t="str">
        <x:v>design.t4.insulated_winding.out</x:v>
      </x:c>
    </x:row>
    <x:row r="233" ht="115" customHeight="1">
      <x:c r="A233" s="4" t="str">
        <x:f>IFERROR(INDEX('Material routes'!$E$6:$E$1005,MATCH(U233,'Material routes'!$A$6:$A$1005,0)),"MISSING ID")</x:f>
        <x:v>Insulated conductor stock</x:v>
      </x:c>
      <x:c r="B233" s="4" t="str">
        <x:f>IFERROR(INDEX('Material routes'!$F$6:$F$1005,MATCH(U233,'Material routes'!$A$6:$A$1005,0)),"MISSING ID")</x:f>
        <x:v>T3</x:v>
      </x:c>
      <x:c r="C233" s="4" t="str">
        <x:f>IFERROR(INDEX('Material routes'!$H$6:$H$1005,MATCH(U233,'Material routes'!$A$6:$A$1005,0)),"MISSING ID")</x:f>
        <x:v>Processed material</x:v>
      </x:c>
      <x:c r="D233" s="4" t="str">
        <x:f>IFERROR(INDEX('Material routes'!$G$6:$G$1005,MATCH(U233,'Material routes'!$A$6:$A$1005,0)),"MISSING ID")</x:f>
        <x:v>Resources</x:v>
      </x:c>
      <x:c r="E233" s="4" t="str">
        <x:f>IFERROR(INDEX('Material routes'!$C$6:$C$1005,MATCH(U233,'Material routes'!$A$6:$A$1005,0)),"MISSING ID")</x:f>
        <x:v>Ingredient candidate</x:v>
      </x:c>
      <x:c r="F233" s="4" t="str">
        <x:f>IFERROR(INDEX('Material routes'!$E$6:$E$1005,MATCH(V233,'Material routes'!$A$6:$A$1005,0)),"MISSING ID")</x:f>
        <x:v>Insulated winding subassembly</x:v>
      </x:c>
      <x:c r="G233" s="4" t="str">
        <x:f>IFERROR(INDEX('Material routes'!$F$6:$F$1005,MATCH(V233,'Material routes'!$A$6:$A$1005,0)),"MISSING ID")</x:f>
        <x:v>T4</x:v>
      </x:c>
      <x:c r="H233" s="4" t="str">
        <x:f>IFERROR(INDEX('Material routes'!$H$6:$H$1005,MATCH(V233,'Material routes'!$A$6:$A$1005,0)),"MISSING ID")</x:f>
        <x:v>Crafting component</x:v>
      </x:c>
      <x:c r="I233" s="4" t="str">
        <x:f>IFERROR(INDEX('Material routes'!$G$6:$G$1005,MATCH(V233,'Material routes'!$A$6:$A$1005,0)),"MISSING ID")</x:f>
        <x:v>Crafting components</x:v>
      </x:c>
      <x:c r="J233" s="4" t="str">
        <x:f>IFERROR(INDEX('Material routes'!$B$6:$B$1005,MATCH(U233,'Material routes'!$A$6:$A$1005,0)),"MISSING ID")</x:f>
        <x:v>design.t4.insulated_winding</x:v>
      </x:c>
      <x:c r="K233" s="4" t="str">
        <x:f>IFERROR(INDEX('Crafting recipes'!$C$6:$C$1005,MATCH(J233,'Crafting recipes'!$A$6:$A$1005,0)),"MISSING ID")</x:f>
        <x:v>Material refinement</x:v>
      </x:c>
      <x:c r="L233" s="4" t="str">
        <x:f>IFERROR(INDEX('Material routes'!$K$6:$K$1005,MATCH(U233,'Material routes'!$A$6:$A$1005,0)),"MISSING ID")</x:f>
        <x:v>Proposal</x:v>
      </x:c>
      <x:c r="M233" s="4" t="str">
        <x:f>IFERROR(INDEX('Material routes'!$M$6:$M$1005,MATCH(U233,'Material routes'!$A$6:$A$1005,0)),"MISSING ID")</x:f>
        <x:v>Partial proposal</x:v>
      </x:c>
      <x:c r="N233" s="4" t="str">
        <x:f>IF(IFERROR(INDEX('Material routes'!$I$6:$I$1005,MATCH(U233,'Material routes'!$A$6:$A$1005,0)),"MISSING ID")=0,"",IFERROR(INDEX('Material routes'!$I$6:$I$1005,MATCH(U233,'Material routes'!$A$6:$A$1005,0)),"MISSING ID"))</x:f>
      </x:c>
      <x:c r="O233" s="4" t="str">
        <x:f>IFERROR(INDEX('Material routes'!$J$6:$J$1005,MATCH(U233,'Material routes'!$A$6:$A$1005,0)),"MISSING ID")</x:f>
        <x:v>Unspecified</x:v>
      </x:c>
      <x:c r="P233" s="4" t="str">
        <x:f>IF(IFERROR(INDEX('Material routes'!$I$6:$I$1005,MATCH(V233,'Material routes'!$A$6:$A$1005,0)),"MISSING ID")=0,"",IFERROR(INDEX('Material routes'!$I$6:$I$1005,MATCH(V233,'Material routes'!$A$6:$A$1005,0)),"MISSING ID"))</x:f>
      </x:c>
      <x:c r="Q233" s="4" t="str">
        <x:f>IFERROR(INDEX('Material routes'!$J$6:$J$1005,MATCH(V233,'Material routes'!$A$6:$A$1005,0)),"MISSING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routes'!$D$6:$D$1005,MATCH(U233,'Material routes'!$A$6:$A$1005,0)),"MISSING ID")</x:f>
        <x:v>proposal.branch.insulated_conductor</x:v>
      </x:c>
      <x:c r="T233" s="4" t="str">
        <x:f>IFERROR(INDEX('Material routes'!$D$6:$D$1005,MATCH(V233,'Material routes'!$A$6:$A$1005,0)),"MISSING ID")</x:f>
        <x:v>proposal.t4.insulated_winding</x:v>
      </x:c>
      <x:c r="U233" s="4" t="str">
        <x:v>design.t4.insulated_winding.in.3</x:v>
      </x:c>
      <x:c r="V233" s="4" t="str">
        <x:v>design.t4.insulated_winding.out</x:v>
      </x:c>
    </x:row>
    <x:row r="234" ht="115" customHeight="1">
      <x:c r="A234" s="4" t="str">
        <x:f>IFERROR(INDEX('Material routes'!$E$6:$E$1005,MATCH(U234,'Material routes'!$A$6:$A$1005,0)),"MISSING ID")</x:f>
        <x:v>Wound copper coil blanks</x:v>
      </x:c>
      <x:c r="B234" s="4" t="str">
        <x:f>IFERROR(INDEX('Material routes'!$F$6:$F$1005,MATCH(U234,'Material routes'!$A$6:$A$1005,0)),"MISSING ID")</x:f>
        <x:v>T3</x:v>
      </x:c>
      <x:c r="C234" s="4" t="str">
        <x:f>IFERROR(INDEX('Material routes'!$H$6:$H$1005,MATCH(U234,'Material routes'!$A$6:$A$1005,0)),"MISSING ID")</x:f>
        <x:v>Crafting component</x:v>
      </x:c>
      <x:c r="D234" s="4" t="str">
        <x:f>IFERROR(INDEX('Material routes'!$G$6:$G$1005,MATCH(U234,'Material routes'!$A$6:$A$1005,0)),"MISSING ID")</x:f>
        <x:v>Crafting components</x:v>
      </x:c>
      <x:c r="E234" s="4" t="str">
        <x:f>IFERROR(INDEX('Material routes'!$C$6:$C$1005,MATCH(U234,'Material routes'!$A$6:$A$1005,0)),"MISSING ID")</x:f>
        <x:v>Ingredient candidate</x:v>
      </x:c>
      <x:c r="F234" s="4" t="str">
        <x:f>IFERROR(INDEX('Material routes'!$E$6:$E$1005,MATCH(V234,'Material routes'!$A$6:$A$1005,0)),"MISSING ID")</x:f>
        <x:v>Radio tuning support block</x:v>
      </x:c>
      <x:c r="G234" s="4" t="str">
        <x:f>IFERROR(INDEX('Material routes'!$F$6:$F$1005,MATCH(V234,'Material routes'!$A$6:$A$1005,0)),"MISSING ID")</x:f>
        <x:v>T4</x:v>
      </x:c>
      <x:c r="H234" s="4" t="str">
        <x:f>IFERROR(INDEX('Material routes'!$H$6:$H$1005,MATCH(V234,'Material routes'!$A$6:$A$1005,0)),"MISSING ID")</x:f>
        <x:v>Crafting component</x:v>
      </x:c>
      <x:c r="I234" s="4" t="str">
        <x:f>IFERROR(INDEX('Material routes'!$G$6:$G$1005,MATCH(V234,'Material routes'!$A$6:$A$1005,0)),"MISSING ID")</x:f>
        <x:v>Crafting components</x:v>
      </x:c>
      <x:c r="J234" s="4" t="str">
        <x:f>IFERROR(INDEX('Material routes'!$B$6:$B$1005,MATCH(U234,'Material routes'!$A$6:$A$1005,0)),"MISSING ID")</x:f>
        <x:v>design.t4.radio_tuning</x:v>
      </x:c>
      <x:c r="K234" s="4" t="str">
        <x:f>IFERROR(INDEX('Crafting recipes'!$C$6:$C$1005,MATCH(J234,'Crafting recipes'!$A$6:$A$1005,0)),"MISSING ID")</x:f>
        <x:v>Material refinement</x:v>
      </x:c>
      <x:c r="L234" s="4" t="str">
        <x:f>IFERROR(INDEX('Material routes'!$K$6:$K$1005,MATCH(U234,'Material routes'!$A$6:$A$1005,0)),"MISSING ID")</x:f>
        <x:v>Proposal</x:v>
      </x:c>
      <x:c r="M234" s="4" t="str">
        <x:f>IFERROR(INDEX('Material routes'!$M$6:$M$1005,MATCH(U234,'Material routes'!$A$6:$A$1005,0)),"MISSING ID")</x:f>
        <x:v>Partial proposal</x:v>
      </x:c>
      <x:c r="N234" s="4" t="str">
        <x:f>IF(IFERROR(INDEX('Material routes'!$I$6:$I$1005,MATCH(U234,'Material routes'!$A$6:$A$1005,0)),"MISSING ID")=0,"",IFERROR(INDEX('Material routes'!$I$6:$I$1005,MATCH(U234,'Material routes'!$A$6:$A$1005,0)),"MISSING ID"))</x:f>
      </x:c>
      <x:c r="O234" s="4" t="str">
        <x:f>IFERROR(INDEX('Material routes'!$J$6:$J$1005,MATCH(U234,'Material routes'!$A$6:$A$1005,0)),"MISSING ID")</x:f>
        <x:v>Unspecified</x:v>
      </x:c>
      <x:c r="P234" s="4" t="str">
        <x:f>IF(IFERROR(INDEX('Material routes'!$I$6:$I$1005,MATCH(V234,'Material routes'!$A$6:$A$1005,0)),"MISSING ID")=0,"",IFERROR(INDEX('Material routes'!$I$6:$I$1005,MATCH(V234,'Material routes'!$A$6:$A$1005,0)),"MISSING ID"))</x:f>
      </x:c>
      <x:c r="Q234" s="4" t="str">
        <x:f>IFERROR(INDEX('Material routes'!$J$6:$J$1005,MATCH(V234,'Material routes'!$A$6:$A$1005,0)),"MISSING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routes'!$D$6:$D$1005,MATCH(U234,'Material routes'!$A$6:$A$1005,0)),"MISSING ID")</x:f>
        <x:v>proposal.t3.wound_coil</x:v>
      </x:c>
      <x:c r="T234" s="4" t="str">
        <x:f>IFERROR(INDEX('Material routes'!$D$6:$D$1005,MATCH(V234,'Material routes'!$A$6:$A$1005,0)),"MISSING ID")</x:f>
        <x:v>proposal.t4.radio_tuning</x:v>
      </x:c>
      <x:c r="U234" s="4" t="str">
        <x:v>design.t4.radio_tuning.in.1</x:v>
      </x:c>
      <x:c r="V234" s="4" t="str">
        <x:v>design.t4.radio_tuning.out</x:v>
      </x:c>
    </x:row>
    <x:row r="235" ht="115" customHeight="1">
      <x:c r="A235" s="4" t="str">
        <x:f>IFERROR(INDEX('Material routes'!$E$6:$E$1005,MATCH(U235,'Material routes'!$A$6:$A$1005,0)),"MISSING ID")</x:f>
        <x:v>Fitted ceramic contact mounts</x:v>
      </x:c>
      <x:c r="B235" s="4" t="str">
        <x:f>IFERROR(INDEX('Material routes'!$F$6:$F$1005,MATCH(U235,'Material routes'!$A$6:$A$1005,0)),"MISSING ID")</x:f>
        <x:v>T3</x:v>
      </x:c>
      <x:c r="C235" s="4" t="str">
        <x:f>IFERROR(INDEX('Material routes'!$H$6:$H$1005,MATCH(U235,'Material routes'!$A$6:$A$1005,0)),"MISSING ID")</x:f>
        <x:v>Crafting component</x:v>
      </x:c>
      <x:c r="D235" s="4" t="str">
        <x:f>IFERROR(INDEX('Material routes'!$G$6:$G$1005,MATCH(U235,'Material routes'!$A$6:$A$1005,0)),"MISSING ID")</x:f>
        <x:v>Crafting components</x:v>
      </x:c>
      <x:c r="E235" s="4" t="str">
        <x:f>IFERROR(INDEX('Material routes'!$C$6:$C$1005,MATCH(U235,'Material routes'!$A$6:$A$1005,0)),"MISSING ID")</x:f>
        <x:v>Ingredient candidate</x:v>
      </x:c>
      <x:c r="F235" s="4" t="str">
        <x:f>IFERROR(INDEX('Material routes'!$E$6:$E$1005,MATCH(V235,'Material routes'!$A$6:$A$1005,0)),"MISSING ID")</x:f>
        <x:v>Radio tuning support block</x:v>
      </x:c>
      <x:c r="G235" s="4" t="str">
        <x:f>IFERROR(INDEX('Material routes'!$F$6:$F$1005,MATCH(V235,'Material routes'!$A$6:$A$1005,0)),"MISSING ID")</x:f>
        <x:v>T4</x:v>
      </x:c>
      <x:c r="H235" s="4" t="str">
        <x:f>IFERROR(INDEX('Material routes'!$H$6:$H$1005,MATCH(V235,'Material routes'!$A$6:$A$1005,0)),"MISSING ID")</x:f>
        <x:v>Crafting component</x:v>
      </x:c>
      <x:c r="I235" s="4" t="str">
        <x:f>IFERROR(INDEX('Material routes'!$G$6:$G$1005,MATCH(V235,'Material routes'!$A$6:$A$1005,0)),"MISSING ID")</x:f>
        <x:v>Crafting components</x:v>
      </x:c>
      <x:c r="J235" s="4" t="str">
        <x:f>IFERROR(INDEX('Material routes'!$B$6:$B$1005,MATCH(U235,'Material routes'!$A$6:$A$1005,0)),"MISSING ID")</x:f>
        <x:v>design.t4.radio_tuning</x:v>
      </x:c>
      <x:c r="K235" s="4" t="str">
        <x:f>IFERROR(INDEX('Crafting recipes'!$C$6:$C$1005,MATCH(J235,'Crafting recipes'!$A$6:$A$1005,0)),"MISSING ID")</x:f>
        <x:v>Material refinement</x:v>
      </x:c>
      <x:c r="L235" s="4" t="str">
        <x:f>IFERROR(INDEX('Material routes'!$K$6:$K$1005,MATCH(U235,'Material routes'!$A$6:$A$1005,0)),"MISSING ID")</x:f>
        <x:v>Proposal</x:v>
      </x:c>
      <x:c r="M235" s="4" t="str">
        <x:f>IFERROR(INDEX('Material routes'!$M$6:$M$1005,MATCH(U235,'Material routes'!$A$6:$A$1005,0)),"MISSING ID")</x:f>
        <x:v>Partial proposal</x:v>
      </x:c>
      <x:c r="N235" s="4" t="str">
        <x:f>IF(IFERROR(INDEX('Material routes'!$I$6:$I$1005,MATCH(U235,'Material routes'!$A$6:$A$1005,0)),"MISSING ID")=0,"",IFERROR(INDEX('Material routes'!$I$6:$I$1005,MATCH(U235,'Material routes'!$A$6:$A$1005,0)),"MISSING ID"))</x:f>
      </x:c>
      <x:c r="O235" s="4" t="str">
        <x:f>IFERROR(INDEX('Material routes'!$J$6:$J$1005,MATCH(U235,'Material routes'!$A$6:$A$1005,0)),"MISSING ID")</x:f>
        <x:v>Unspecified</x:v>
      </x:c>
      <x:c r="P235" s="4" t="str">
        <x:f>IF(IFERROR(INDEX('Material routes'!$I$6:$I$1005,MATCH(V235,'Material routes'!$A$6:$A$1005,0)),"MISSING ID")=0,"",IFERROR(INDEX('Material routes'!$I$6:$I$1005,MATCH(V235,'Material routes'!$A$6:$A$1005,0)),"MISSING ID"))</x:f>
      </x:c>
      <x:c r="Q235" s="4" t="str">
        <x:f>IFERROR(INDEX('Material routes'!$J$6:$J$1005,MATCH(V235,'Material routes'!$A$6:$A$1005,0)),"MISSING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routes'!$D$6:$D$1005,MATCH(U235,'Material routes'!$A$6:$A$1005,0)),"MISSING ID")</x:f>
        <x:v>proposal.t3.contact_mount</x:v>
      </x:c>
      <x:c r="T235" s="4" t="str">
        <x:f>IFERROR(INDEX('Material routes'!$D$6:$D$1005,MATCH(V235,'Material routes'!$A$6:$A$1005,0)),"MISSING ID")</x:f>
        <x:v>proposal.t4.radio_tuning</x:v>
      </x:c>
      <x:c r="U235" s="4" t="str">
        <x:v>design.t4.radio_tuning.in.2</x:v>
      </x:c>
      <x:c r="V235" s="4" t="str">
        <x:v>design.t4.radio_tuning.out</x:v>
      </x:c>
    </x:row>
    <x:row r="236" ht="115" customHeight="1">
      <x:c r="A236" s="4" t="str">
        <x:f>IFERROR(INDEX('Material routes'!$E$6:$E$1005,MATCH(U236,'Material routes'!$A$6:$A$1005,0)),"MISSING ID")</x:f>
        <x:v>Matched ceramic spacer sets</x:v>
      </x:c>
      <x:c r="B236" s="4" t="str">
        <x:f>IFERROR(INDEX('Material routes'!$F$6:$F$1005,MATCH(U236,'Material routes'!$A$6:$A$1005,0)),"MISSING ID")</x:f>
        <x:v>T3</x:v>
      </x:c>
      <x:c r="C236" s="4" t="str">
        <x:f>IFERROR(INDEX('Material routes'!$H$6:$H$1005,MATCH(U236,'Material routes'!$A$6:$A$1005,0)),"MISSING ID")</x:f>
        <x:v>Crafting component</x:v>
      </x:c>
      <x:c r="D236" s="4" t="str">
        <x:f>IFERROR(INDEX('Material routes'!$G$6:$G$1005,MATCH(U236,'Material routes'!$A$6:$A$1005,0)),"MISSING ID")</x:f>
        <x:v>Crafting components</x:v>
      </x:c>
      <x:c r="E236" s="4" t="str">
        <x:f>IFERROR(INDEX('Material routes'!$C$6:$C$1005,MATCH(U236,'Material routes'!$A$6:$A$1005,0)),"MISSING ID")</x:f>
        <x:v>Ingredient candidate</x:v>
      </x:c>
      <x:c r="F236" s="4" t="str">
        <x:f>IFERROR(INDEX('Material routes'!$E$6:$E$1005,MATCH(V236,'Material routes'!$A$6:$A$1005,0)),"MISSING ID")</x:f>
        <x:v>Radio tuning support block</x:v>
      </x:c>
      <x:c r="G236" s="4" t="str">
        <x:f>IFERROR(INDEX('Material routes'!$F$6:$F$1005,MATCH(V236,'Material routes'!$A$6:$A$1005,0)),"MISSING ID")</x:f>
        <x:v>T4</x:v>
      </x:c>
      <x:c r="H236" s="4" t="str">
        <x:f>IFERROR(INDEX('Material routes'!$H$6:$H$1005,MATCH(V236,'Material routes'!$A$6:$A$1005,0)),"MISSING ID")</x:f>
        <x:v>Crafting component</x:v>
      </x:c>
      <x:c r="I236" s="4" t="str">
        <x:f>IFERROR(INDEX('Material routes'!$G$6:$G$1005,MATCH(V236,'Material routes'!$A$6:$A$1005,0)),"MISSING ID")</x:f>
        <x:v>Crafting components</x:v>
      </x:c>
      <x:c r="J236" s="4" t="str">
        <x:f>IFERROR(INDEX('Material routes'!$B$6:$B$1005,MATCH(U236,'Material routes'!$A$6:$A$1005,0)),"MISSING ID")</x:f>
        <x:v>design.t4.radio_tuning</x:v>
      </x:c>
      <x:c r="K236" s="4" t="str">
        <x:f>IFERROR(INDEX('Crafting recipes'!$C$6:$C$1005,MATCH(J236,'Crafting recipes'!$A$6:$A$1005,0)),"MISSING ID")</x:f>
        <x:v>Material refinement</x:v>
      </x:c>
      <x:c r="L236" s="4" t="str">
        <x:f>IFERROR(INDEX('Material routes'!$K$6:$K$1005,MATCH(U236,'Material routes'!$A$6:$A$1005,0)),"MISSING ID")</x:f>
        <x:v>Proposal</x:v>
      </x:c>
      <x:c r="M236" s="4" t="str">
        <x:f>IFERROR(INDEX('Material routes'!$M$6:$M$1005,MATCH(U236,'Material routes'!$A$6:$A$1005,0)),"MISSING ID")</x:f>
        <x:v>Partial proposal</x:v>
      </x:c>
      <x:c r="N236" s="4" t="str">
        <x:f>IF(IFERROR(INDEX('Material routes'!$I$6:$I$1005,MATCH(U236,'Material routes'!$A$6:$A$1005,0)),"MISSING ID")=0,"",IFERROR(INDEX('Material routes'!$I$6:$I$1005,MATCH(U236,'Material routes'!$A$6:$A$1005,0)),"MISSING ID"))</x:f>
      </x:c>
      <x:c r="O236" s="4" t="str">
        <x:f>IFERROR(INDEX('Material routes'!$J$6:$J$1005,MATCH(U236,'Material routes'!$A$6:$A$1005,0)),"MISSING ID")</x:f>
        <x:v>Unspecified</x:v>
      </x:c>
      <x:c r="P236" s="4" t="str">
        <x:f>IF(IFERROR(INDEX('Material routes'!$I$6:$I$1005,MATCH(V236,'Material routes'!$A$6:$A$1005,0)),"MISSING ID")=0,"",IFERROR(INDEX('Material routes'!$I$6:$I$1005,MATCH(V236,'Material routes'!$A$6:$A$1005,0)),"MISSING ID"))</x:f>
      </x:c>
      <x:c r="Q236" s="4" t="str">
        <x:f>IFERROR(INDEX('Material routes'!$J$6:$J$1005,MATCH(V236,'Material routes'!$A$6:$A$1005,0)),"MISSING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routes'!$D$6:$D$1005,MATCH(U236,'Material routes'!$A$6:$A$1005,0)),"MISSING ID")</x:f>
        <x:v>proposal.t3.spacer_set</x:v>
      </x:c>
      <x:c r="T236" s="4" t="str">
        <x:f>IFERROR(INDEX('Material routes'!$D$6:$D$1005,MATCH(V236,'Material routes'!$A$6:$A$1005,0)),"MISSING ID")</x:f>
        <x:v>proposal.t4.radio_tuning</x:v>
      </x:c>
      <x:c r="U236" s="4" t="str">
        <x:v>design.t4.radio_tuning.in.3</x:v>
      </x:c>
      <x:c r="V236" s="4" t="str">
        <x:v>design.t4.radio_tuning.out</x:v>
      </x:c>
    </x:row>
    <x:row r="237" ht="115" customHeight="1">
      <x:c r="A237" s="4" t="str">
        <x:f>IFERROR(INDEX('Material routes'!$E$6:$E$1005,MATCH(U237,'Material routes'!$A$6:$A$1005,0)),"MISSING ID")</x:f>
        <x:v>Drawn copper stock</x:v>
      </x:c>
      <x:c r="B237" s="4" t="str">
        <x:f>IFERROR(INDEX('Material routes'!$F$6:$F$1005,MATCH(U237,'Material routes'!$A$6:$A$1005,0)),"MISSING ID")</x:f>
        <x:v>T2</x:v>
      </x:c>
      <x:c r="C237" s="4" t="str">
        <x:f>IFERROR(INDEX('Material routes'!$H$6:$H$1005,MATCH(U237,'Material routes'!$A$6:$A$1005,0)),"MISSING ID")</x:f>
        <x:v>Processed material</x:v>
      </x:c>
      <x:c r="D237" s="4" t="str">
        <x:f>IFERROR(INDEX('Material routes'!$G$6:$G$1005,MATCH(U237,'Material routes'!$A$6:$A$1005,0)),"MISSING ID")</x:f>
        <x:v>Resources</x:v>
      </x:c>
      <x:c r="E237" s="4" t="str">
        <x:f>IFERROR(INDEX('Material routes'!$C$6:$C$1005,MATCH(U237,'Material routes'!$A$6:$A$1005,0)),"MISSING ID")</x:f>
        <x:v>Ingredient candidate</x:v>
      </x:c>
      <x:c r="F237" s="4" t="str">
        <x:f>IFERROR(INDEX('Material routes'!$E$6:$E$1005,MATCH(V237,'Material routes'!$A$6:$A$1005,0)),"MISSING ID")</x:f>
        <x:v>Radio tuning support block</x:v>
      </x:c>
      <x:c r="G237" s="4" t="str">
        <x:f>IFERROR(INDEX('Material routes'!$F$6:$F$1005,MATCH(V237,'Material routes'!$A$6:$A$1005,0)),"MISSING ID")</x:f>
        <x:v>T4</x:v>
      </x:c>
      <x:c r="H237" s="4" t="str">
        <x:f>IFERROR(INDEX('Material routes'!$H$6:$H$1005,MATCH(V237,'Material routes'!$A$6:$A$1005,0)),"MISSING ID")</x:f>
        <x:v>Crafting component</x:v>
      </x:c>
      <x:c r="I237" s="4" t="str">
        <x:f>IFERROR(INDEX('Material routes'!$G$6:$G$1005,MATCH(V237,'Material routes'!$A$6:$A$1005,0)),"MISSING ID")</x:f>
        <x:v>Crafting components</x:v>
      </x:c>
      <x:c r="J237" s="4" t="str">
        <x:f>IFERROR(INDEX('Material routes'!$B$6:$B$1005,MATCH(U237,'Material routes'!$A$6:$A$1005,0)),"MISSING ID")</x:f>
        <x:v>design.t4.radio_tuning</x:v>
      </x:c>
      <x:c r="K237" s="4" t="str">
        <x:f>IFERROR(INDEX('Crafting recipes'!$C$6:$C$1005,MATCH(J237,'Crafting recipes'!$A$6:$A$1005,0)),"MISSING ID")</x:f>
        <x:v>Material refinement</x:v>
      </x:c>
      <x:c r="L237" s="4" t="str">
        <x:f>IFERROR(INDEX('Material routes'!$K$6:$K$1005,MATCH(U237,'Material routes'!$A$6:$A$1005,0)),"MISSING ID")</x:f>
        <x:v>Proposal</x:v>
      </x:c>
      <x:c r="M237" s="4" t="str">
        <x:f>IFERROR(INDEX('Material routes'!$M$6:$M$1005,MATCH(U237,'Material routes'!$A$6:$A$1005,0)),"MISSING ID")</x:f>
        <x:v>Partial proposal</x:v>
      </x:c>
      <x:c r="N237" s="4" t="str">
        <x:f>IF(IFERROR(INDEX('Material routes'!$I$6:$I$1005,MATCH(U237,'Material routes'!$A$6:$A$1005,0)),"MISSING ID")=0,"",IFERROR(INDEX('Material routes'!$I$6:$I$1005,MATCH(U237,'Material routes'!$A$6:$A$1005,0)),"MISSING ID"))</x:f>
      </x:c>
      <x:c r="O237" s="4" t="str">
        <x:f>IFERROR(INDEX('Material routes'!$J$6:$J$1005,MATCH(U237,'Material routes'!$A$6:$A$1005,0)),"MISSING ID")</x:f>
        <x:v>Unspecified</x:v>
      </x:c>
      <x:c r="P237" s="4" t="str">
        <x:f>IF(IFERROR(INDEX('Material routes'!$I$6:$I$1005,MATCH(V237,'Material routes'!$A$6:$A$1005,0)),"MISSING ID")=0,"",IFERROR(INDEX('Material routes'!$I$6:$I$1005,MATCH(V237,'Material routes'!$A$6:$A$1005,0)),"MISSING ID"))</x:f>
      </x:c>
      <x:c r="Q237" s="4" t="str">
        <x:f>IFERROR(INDEX('Material routes'!$J$6:$J$1005,MATCH(V237,'Material routes'!$A$6:$A$1005,0)),"MISSING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routes'!$D$6:$D$1005,MATCH(U237,'Material routes'!$A$6:$A$1005,0)),"MISSING ID")</x:f>
        <x:v>proposal.branch.drawn_copper</x:v>
      </x:c>
      <x:c r="T237" s="4" t="str">
        <x:f>IFERROR(INDEX('Material routes'!$D$6:$D$1005,MATCH(V237,'Material routes'!$A$6:$A$1005,0)),"MISSING ID")</x:f>
        <x:v>proposal.t4.radio_tuning</x:v>
      </x:c>
      <x:c r="U237" s="4" t="str">
        <x:v>design.t4.radio_tuning.in.4</x:v>
      </x:c>
      <x:c r="V237" s="4" t="str">
        <x:v>design.t4.radio_tuning.out</x:v>
      </x:c>
    </x:row>
    <x:row r="238" ht="115" customHeight="1">
      <x:c r="A238" s="4" t="str">
        <x:f>IFERROR(INDEX('Material routes'!$E$6:$E$1005,MATCH(U238,'Material routes'!$A$6:$A$1005,0)),"MISSING ID")</x:f>
        <x:v>Woven copper mesh stock</x:v>
      </x:c>
      <x:c r="B238" s="4" t="str">
        <x:f>IFERROR(INDEX('Material routes'!$F$6:$F$1005,MATCH(U238,'Material routes'!$A$6:$A$1005,0)),"MISSING ID")</x:f>
        <x:v>T3</x:v>
      </x:c>
      <x:c r="C238" s="4" t="str">
        <x:f>IFERROR(INDEX('Material routes'!$H$6:$H$1005,MATCH(U238,'Material routes'!$A$6:$A$1005,0)),"MISSING ID")</x:f>
        <x:v>Processed material</x:v>
      </x:c>
      <x:c r="D238" s="4" t="str">
        <x:f>IFERROR(INDEX('Material routes'!$G$6:$G$1005,MATCH(U238,'Material routes'!$A$6:$A$1005,0)),"MISSING ID")</x:f>
        <x:v>Resources</x:v>
      </x:c>
      <x:c r="E238" s="4" t="str">
        <x:f>IFERROR(INDEX('Material routes'!$C$6:$C$1005,MATCH(U238,'Material routes'!$A$6:$A$1005,0)),"MISSING ID")</x:f>
        <x:v>Ingredient candidate</x:v>
      </x:c>
      <x:c r="F238" s="4" t="str">
        <x:f>IFERROR(INDEX('Material routes'!$E$6:$E$1005,MATCH(V238,'Material routes'!$A$6:$A$1005,0)),"MISSING ID")</x:f>
        <x:v>Screened radio chassis insert</x:v>
      </x:c>
      <x:c r="G238" s="4" t="str">
        <x:f>IFERROR(INDEX('Material routes'!$F$6:$F$1005,MATCH(V238,'Material routes'!$A$6:$A$1005,0)),"MISSING ID")</x:f>
        <x:v>T4</x:v>
      </x:c>
      <x:c r="H238" s="4" t="str">
        <x:f>IFERROR(INDEX('Material routes'!$H$6:$H$1005,MATCH(V238,'Material routes'!$A$6:$A$1005,0)),"MISSING ID")</x:f>
        <x:v>Crafting component</x:v>
      </x:c>
      <x:c r="I238" s="4" t="str">
        <x:f>IFERROR(INDEX('Material routes'!$G$6:$G$1005,MATCH(V238,'Material routes'!$A$6:$A$1005,0)),"MISSING ID")</x:f>
        <x:v>Crafting components</x:v>
      </x:c>
      <x:c r="J238" s="4" t="str">
        <x:f>IFERROR(INDEX('Material routes'!$B$6:$B$1005,MATCH(U238,'Material routes'!$A$6:$A$1005,0)),"MISSING ID")</x:f>
        <x:v>design.t4.screened_chassis</x:v>
      </x:c>
      <x:c r="K238" s="4" t="str">
        <x:f>IFERROR(INDEX('Crafting recipes'!$C$6:$C$1005,MATCH(J238,'Crafting recipes'!$A$6:$A$1005,0)),"MISSING ID")</x:f>
        <x:v>Material refinement</x:v>
      </x:c>
      <x:c r="L238" s="4" t="str">
        <x:f>IFERROR(INDEX('Material routes'!$K$6:$K$1005,MATCH(U238,'Material routes'!$A$6:$A$1005,0)),"MISSING ID")</x:f>
        <x:v>Proposal</x:v>
      </x:c>
      <x:c r="M238" s="4" t="str">
        <x:f>IFERROR(INDEX('Material routes'!$M$6:$M$1005,MATCH(U238,'Material routes'!$A$6:$A$1005,0)),"MISSING ID")</x:f>
        <x:v>Partial proposal</x:v>
      </x:c>
      <x:c r="N238" s="4" t="str">
        <x:f>IF(IFERROR(INDEX('Material routes'!$I$6:$I$1005,MATCH(U238,'Material routes'!$A$6:$A$1005,0)),"MISSING ID")=0,"",IFERROR(INDEX('Material routes'!$I$6:$I$1005,MATCH(U238,'Material routes'!$A$6:$A$1005,0)),"MISSING ID"))</x:f>
      </x:c>
      <x:c r="O238" s="4" t="str">
        <x:f>IFERROR(INDEX('Material routes'!$J$6:$J$1005,MATCH(U238,'Material routes'!$A$6:$A$1005,0)),"MISSING ID")</x:f>
        <x:v>Unspecified</x:v>
      </x:c>
      <x:c r="P238" s="4" t="str">
        <x:f>IF(IFERROR(INDEX('Material routes'!$I$6:$I$1005,MATCH(V238,'Material routes'!$A$6:$A$1005,0)),"MISSING ID")=0,"",IFERROR(INDEX('Material routes'!$I$6:$I$1005,MATCH(V238,'Material routes'!$A$6:$A$1005,0)),"MISSING ID"))</x:f>
      </x:c>
      <x:c r="Q238" s="4" t="str">
        <x:f>IFERROR(INDEX('Material routes'!$J$6:$J$1005,MATCH(V238,'Material routes'!$A$6:$A$1005,0)),"MISSING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routes'!$D$6:$D$1005,MATCH(U238,'Material routes'!$A$6:$A$1005,0)),"MISSING ID")</x:f>
        <x:v>proposal.t3.copper_mesh</x:v>
      </x:c>
      <x:c r="T238" s="4" t="str">
        <x:f>IFERROR(INDEX('Material routes'!$D$6:$D$1005,MATCH(V238,'Material routes'!$A$6:$A$1005,0)),"MISSING ID")</x:f>
        <x:v>proposal.t4.screened_chassis</x:v>
      </x:c>
      <x:c r="U238" s="4" t="str">
        <x:v>design.t4.screened_chassis.in.1</x:v>
      </x:c>
      <x:c r="V238" s="4" t="str">
        <x:v>design.t4.screened_chassis.out</x:v>
      </x:c>
    </x:row>
    <x:row r="239" ht="115" customHeight="1">
      <x:c r="A239" s="4" t="str">
        <x:f>IFERROR(INDEX('Material routes'!$E$6:$E$1005,MATCH(U239,'Material routes'!$A$6:$A$1005,0)),"MISSING ID")</x:f>
        <x:v>Fitted ceramic contact mounts</x:v>
      </x:c>
      <x:c r="B239" s="4" t="str">
        <x:f>IFERROR(INDEX('Material routes'!$F$6:$F$1005,MATCH(U239,'Material routes'!$A$6:$A$1005,0)),"MISSING ID")</x:f>
        <x:v>T3</x:v>
      </x:c>
      <x:c r="C239" s="4" t="str">
        <x:f>IFERROR(INDEX('Material routes'!$H$6:$H$1005,MATCH(U239,'Material routes'!$A$6:$A$1005,0)),"MISSING ID")</x:f>
        <x:v>Crafting component</x:v>
      </x:c>
      <x:c r="D239" s="4" t="str">
        <x:f>IFERROR(INDEX('Material routes'!$G$6:$G$1005,MATCH(U239,'Material routes'!$A$6:$A$1005,0)),"MISSING ID")</x:f>
        <x:v>Crafting components</x:v>
      </x:c>
      <x:c r="E239" s="4" t="str">
        <x:f>IFERROR(INDEX('Material routes'!$C$6:$C$1005,MATCH(U239,'Material routes'!$A$6:$A$1005,0)),"MISSING ID")</x:f>
        <x:v>Ingredient candidate</x:v>
      </x:c>
      <x:c r="F239" s="4" t="str">
        <x:f>IFERROR(INDEX('Material routes'!$E$6:$E$1005,MATCH(V239,'Material routes'!$A$6:$A$1005,0)),"MISSING ID")</x:f>
        <x:v>Screened radio chassis insert</x:v>
      </x:c>
      <x:c r="G239" s="4" t="str">
        <x:f>IFERROR(INDEX('Material routes'!$F$6:$F$1005,MATCH(V239,'Material routes'!$A$6:$A$1005,0)),"MISSING ID")</x:f>
        <x:v>T4</x:v>
      </x:c>
      <x:c r="H239" s="4" t="str">
        <x:f>IFERROR(INDEX('Material routes'!$H$6:$H$1005,MATCH(V239,'Material routes'!$A$6:$A$1005,0)),"MISSING ID")</x:f>
        <x:v>Crafting component</x:v>
      </x:c>
      <x:c r="I239" s="4" t="str">
        <x:f>IFERROR(INDEX('Material routes'!$G$6:$G$1005,MATCH(V239,'Material routes'!$A$6:$A$1005,0)),"MISSING ID")</x:f>
        <x:v>Crafting components</x:v>
      </x:c>
      <x:c r="J239" s="4" t="str">
        <x:f>IFERROR(INDEX('Material routes'!$B$6:$B$1005,MATCH(U239,'Material routes'!$A$6:$A$1005,0)),"MISSING ID")</x:f>
        <x:v>design.t4.screened_chassis</x:v>
      </x:c>
      <x:c r="K239" s="4" t="str">
        <x:f>IFERROR(INDEX('Crafting recipes'!$C$6:$C$1005,MATCH(J239,'Crafting recipes'!$A$6:$A$1005,0)),"MISSING ID")</x:f>
        <x:v>Material refinement</x:v>
      </x:c>
      <x:c r="L239" s="4" t="str">
        <x:f>IFERROR(INDEX('Material routes'!$K$6:$K$1005,MATCH(U239,'Material routes'!$A$6:$A$1005,0)),"MISSING ID")</x:f>
        <x:v>Proposal</x:v>
      </x:c>
      <x:c r="M239" s="4" t="str">
        <x:f>IFERROR(INDEX('Material routes'!$M$6:$M$1005,MATCH(U239,'Material routes'!$A$6:$A$1005,0)),"MISSING ID")</x:f>
        <x:v>Partial proposal</x:v>
      </x:c>
      <x:c r="N239" s="4" t="str">
        <x:f>IF(IFERROR(INDEX('Material routes'!$I$6:$I$1005,MATCH(U239,'Material routes'!$A$6:$A$1005,0)),"MISSING ID")=0,"",IFERROR(INDEX('Material routes'!$I$6:$I$1005,MATCH(U239,'Material routes'!$A$6:$A$1005,0)),"MISSING ID"))</x:f>
      </x:c>
      <x:c r="O239" s="4" t="str">
        <x:f>IFERROR(INDEX('Material routes'!$J$6:$J$1005,MATCH(U239,'Material routes'!$A$6:$A$1005,0)),"MISSING ID")</x:f>
        <x:v>Unspecified</x:v>
      </x:c>
      <x:c r="P239" s="4" t="str">
        <x:f>IF(IFERROR(INDEX('Material routes'!$I$6:$I$1005,MATCH(V239,'Material routes'!$A$6:$A$1005,0)),"MISSING ID")=0,"",IFERROR(INDEX('Material routes'!$I$6:$I$1005,MATCH(V239,'Material routes'!$A$6:$A$1005,0)),"MISSING ID"))</x:f>
      </x:c>
      <x:c r="Q239" s="4" t="str">
        <x:f>IFERROR(INDEX('Material routes'!$J$6:$J$1005,MATCH(V239,'Material routes'!$A$6:$A$1005,0)),"MISSING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routes'!$D$6:$D$1005,MATCH(U239,'Material routes'!$A$6:$A$1005,0)),"MISSING ID")</x:f>
        <x:v>proposal.t3.contact_mount</x:v>
      </x:c>
      <x:c r="T239" s="4" t="str">
        <x:f>IFERROR(INDEX('Material routes'!$D$6:$D$1005,MATCH(V239,'Material routes'!$A$6:$A$1005,0)),"MISSING ID")</x:f>
        <x:v>proposal.t4.screened_chassis</x:v>
      </x:c>
      <x:c r="U239" s="4" t="str">
        <x:v>design.t4.screened_chassis.in.2</x:v>
      </x:c>
      <x:c r="V239" s="4" t="str">
        <x:v>design.t4.screened_chassis.out</x:v>
      </x:c>
    </x:row>
    <x:row r="240" ht="115" customHeight="1">
      <x:c r="A240" s="4" t="str">
        <x:f>IFERROR(INDEX('Material routes'!$E$6:$E$1005,MATCH(U240,'Material routes'!$A$6:$A$1005,0)),"MISSING ID")</x:f>
        <x:v>Layered husk composite stock</x:v>
      </x:c>
      <x:c r="B240" s="4" t="str">
        <x:f>IFERROR(INDEX('Material routes'!$F$6:$F$1005,MATCH(U240,'Material routes'!$A$6:$A$1005,0)),"MISSING ID")</x:f>
        <x:v>T3</x:v>
      </x:c>
      <x:c r="C240" s="4" t="str">
        <x:f>IFERROR(INDEX('Material routes'!$H$6:$H$1005,MATCH(U240,'Material routes'!$A$6:$A$1005,0)),"MISSING ID")</x:f>
        <x:v>Processed material</x:v>
      </x:c>
      <x:c r="D240" s="4" t="str">
        <x:f>IFERROR(INDEX('Material routes'!$G$6:$G$1005,MATCH(U240,'Material routes'!$A$6:$A$1005,0)),"MISSING ID")</x:f>
        <x:v>Resources</x:v>
      </x:c>
      <x:c r="E240" s="4" t="str">
        <x:f>IFERROR(INDEX('Material routes'!$C$6:$C$1005,MATCH(U240,'Material routes'!$A$6:$A$1005,0)),"MISSING ID")</x:f>
        <x:v>Ingredient candidate</x:v>
      </x:c>
      <x:c r="F240" s="4" t="str">
        <x:f>IFERROR(INDEX('Material routes'!$E$6:$E$1005,MATCH(V240,'Material routes'!$A$6:$A$1005,0)),"MISSING ID")</x:f>
        <x:v>Screened radio chassis insert</x:v>
      </x:c>
      <x:c r="G240" s="4" t="str">
        <x:f>IFERROR(INDEX('Material routes'!$F$6:$F$1005,MATCH(V240,'Material routes'!$A$6:$A$1005,0)),"MISSING ID")</x:f>
        <x:v>T4</x:v>
      </x:c>
      <x:c r="H240" s="4" t="str">
        <x:f>IFERROR(INDEX('Material routes'!$H$6:$H$1005,MATCH(V240,'Material routes'!$A$6:$A$1005,0)),"MISSING ID")</x:f>
        <x:v>Crafting component</x:v>
      </x:c>
      <x:c r="I240" s="4" t="str">
        <x:f>IFERROR(INDEX('Material routes'!$G$6:$G$1005,MATCH(V240,'Material routes'!$A$6:$A$1005,0)),"MISSING ID")</x:f>
        <x:v>Crafting components</x:v>
      </x:c>
      <x:c r="J240" s="4" t="str">
        <x:f>IFERROR(INDEX('Material routes'!$B$6:$B$1005,MATCH(U240,'Material routes'!$A$6:$A$1005,0)),"MISSING ID")</x:f>
        <x:v>design.t4.screened_chassis</x:v>
      </x:c>
      <x:c r="K240" s="4" t="str">
        <x:f>IFERROR(INDEX('Crafting recipes'!$C$6:$C$1005,MATCH(J240,'Crafting recipes'!$A$6:$A$1005,0)),"MISSING ID")</x:f>
        <x:v>Material refinement</x:v>
      </x:c>
      <x:c r="L240" s="4" t="str">
        <x:f>IFERROR(INDEX('Material routes'!$K$6:$K$1005,MATCH(U240,'Material routes'!$A$6:$A$1005,0)),"MISSING ID")</x:f>
        <x:v>Proposal</x:v>
      </x:c>
      <x:c r="M240" s="4" t="str">
        <x:f>IFERROR(INDEX('Material routes'!$M$6:$M$1005,MATCH(U240,'Material routes'!$A$6:$A$1005,0)),"MISSING ID")</x:f>
        <x:v>Partial proposal</x:v>
      </x:c>
      <x:c r="N240" s="4" t="str">
        <x:f>IF(IFERROR(INDEX('Material routes'!$I$6:$I$1005,MATCH(U240,'Material routes'!$A$6:$A$1005,0)),"MISSING ID")=0,"",IFERROR(INDEX('Material routes'!$I$6:$I$1005,MATCH(U240,'Material routes'!$A$6:$A$1005,0)),"MISSING ID"))</x:f>
      </x:c>
      <x:c r="O240" s="4" t="str">
        <x:f>IFERROR(INDEX('Material routes'!$J$6:$J$1005,MATCH(U240,'Material routes'!$A$6:$A$1005,0)),"MISSING ID")</x:f>
        <x:v>Unspecified</x:v>
      </x:c>
      <x:c r="P240" s="4" t="str">
        <x:f>IF(IFERROR(INDEX('Material routes'!$I$6:$I$1005,MATCH(V240,'Material routes'!$A$6:$A$1005,0)),"MISSING ID")=0,"",IFERROR(INDEX('Material routes'!$I$6:$I$1005,MATCH(V240,'Material routes'!$A$6:$A$1005,0)),"MISSING ID"))</x:f>
      </x:c>
      <x:c r="Q240" s="4" t="str">
        <x:f>IFERROR(INDEX('Material routes'!$J$6:$J$1005,MATCH(V240,'Material routes'!$A$6:$A$1005,0)),"MISSING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routes'!$D$6:$D$1005,MATCH(U240,'Material routes'!$A$6:$A$1005,0)),"MISSING ID")</x:f>
        <x:v>proposal.branch.husk_composite</x:v>
      </x:c>
      <x:c r="T240" s="4" t="str">
        <x:f>IFERROR(INDEX('Material routes'!$D$6:$D$1005,MATCH(V240,'Material routes'!$A$6:$A$1005,0)),"MISSING ID")</x:f>
        <x:v>proposal.t4.screened_chassis</x:v>
      </x:c>
      <x:c r="U240" s="4" t="str">
        <x:v>design.t4.screened_chassis.in.3</x:v>
      </x:c>
      <x:c r="V240" s="4" t="str">
        <x:v>design.t4.screened_chassis.out</x:v>
      </x:c>
    </x:row>
    <x:row r="241" ht="115" customHeight="1">
      <x:c r="A241" s="4" t="str">
        <x:f>IFERROR(INDEX('Material routes'!$E$6:$E$1005,MATCH(U241,'Material routes'!$A$6:$A$1005,0)),"MISSING ID")</x:f>
        <x:v>Ceramic-metal feedthrough blanks</x:v>
      </x:c>
      <x:c r="B241" s="4" t="str">
        <x:f>IFERROR(INDEX('Material routes'!$F$6:$F$1005,MATCH(U241,'Material routes'!$A$6:$A$1005,0)),"MISSING ID")</x:f>
        <x:v>T3</x:v>
      </x:c>
      <x:c r="C241" s="4" t="str">
        <x:f>IFERROR(INDEX('Material routes'!$H$6:$H$1005,MATCH(U241,'Material routes'!$A$6:$A$1005,0)),"MISSING ID")</x:f>
        <x:v>Crafting component</x:v>
      </x:c>
      <x:c r="D241" s="4" t="str">
        <x:f>IFERROR(INDEX('Material routes'!$G$6:$G$1005,MATCH(U241,'Material routes'!$A$6:$A$1005,0)),"MISSING ID")</x:f>
        <x:v>Crafting components</x:v>
      </x:c>
      <x:c r="E241" s="4" t="str">
        <x:f>IFERROR(INDEX('Material routes'!$C$6:$C$1005,MATCH(U241,'Material routes'!$A$6:$A$1005,0)),"MISSING ID")</x:f>
        <x:v>Ingredient candidate</x:v>
      </x:c>
      <x:c r="F241" s="4" t="str">
        <x:f>IFERROR(INDEX('Material routes'!$E$6:$E$1005,MATCH(V241,'Material routes'!$A$6:$A$1005,0)),"MISSING ID")</x:f>
        <x:v>Sealed electrical bulkhead insert</x:v>
      </x:c>
      <x:c r="G241" s="4" t="str">
        <x:f>IFERROR(INDEX('Material routes'!$F$6:$F$1005,MATCH(V241,'Material routes'!$A$6:$A$1005,0)),"MISSING ID")</x:f>
        <x:v>T4</x:v>
      </x:c>
      <x:c r="H241" s="4" t="str">
        <x:f>IFERROR(INDEX('Material routes'!$H$6:$H$1005,MATCH(V241,'Material routes'!$A$6:$A$1005,0)),"MISSING ID")</x:f>
        <x:v>Crafting component</x:v>
      </x:c>
      <x:c r="I241" s="4" t="str">
        <x:f>IFERROR(INDEX('Material routes'!$G$6:$G$1005,MATCH(V241,'Material routes'!$A$6:$A$1005,0)),"MISSING ID")</x:f>
        <x:v>Crafting components</x:v>
      </x:c>
      <x:c r="J241" s="4" t="str">
        <x:f>IFERROR(INDEX('Material routes'!$B$6:$B$1005,MATCH(U241,'Material routes'!$A$6:$A$1005,0)),"MISSING ID")</x:f>
        <x:v>design.t4.electrical_bulkhead</x:v>
      </x:c>
      <x:c r="K241" s="4" t="str">
        <x:f>IFERROR(INDEX('Crafting recipes'!$C$6:$C$1005,MATCH(J241,'Crafting recipes'!$A$6:$A$1005,0)),"MISSING ID")</x:f>
        <x:v>Material refinement</x:v>
      </x:c>
      <x:c r="L241" s="4" t="str">
        <x:f>IFERROR(INDEX('Material routes'!$K$6:$K$1005,MATCH(U241,'Material routes'!$A$6:$A$1005,0)),"MISSING ID")</x:f>
        <x:v>Proposal</x:v>
      </x:c>
      <x:c r="M241" s="4" t="str">
        <x:f>IFERROR(INDEX('Material routes'!$M$6:$M$1005,MATCH(U241,'Material routes'!$A$6:$A$1005,0)),"MISSING ID")</x:f>
        <x:v>Partial proposal</x:v>
      </x:c>
      <x:c r="N241" s="4" t="str">
        <x:f>IF(IFERROR(INDEX('Material routes'!$I$6:$I$1005,MATCH(U241,'Material routes'!$A$6:$A$1005,0)),"MISSING ID")=0,"",IFERROR(INDEX('Material routes'!$I$6:$I$1005,MATCH(U241,'Material routes'!$A$6:$A$1005,0)),"MISSING ID"))</x:f>
      </x:c>
      <x:c r="O241" s="4" t="str">
        <x:f>IFERROR(INDEX('Material routes'!$J$6:$J$1005,MATCH(U241,'Material routes'!$A$6:$A$1005,0)),"MISSING ID")</x:f>
        <x:v>Unspecified</x:v>
      </x:c>
      <x:c r="P241" s="4" t="str">
        <x:f>IF(IFERROR(INDEX('Material routes'!$I$6:$I$1005,MATCH(V241,'Material routes'!$A$6:$A$1005,0)),"MISSING ID")=0,"",IFERROR(INDEX('Material routes'!$I$6:$I$1005,MATCH(V241,'Material routes'!$A$6:$A$1005,0)),"MISSING ID"))</x:f>
      </x:c>
      <x:c r="Q241" s="4" t="str">
        <x:f>IFERROR(INDEX('Material routes'!$J$6:$J$1005,MATCH(V241,'Material routes'!$A$6:$A$1005,0)),"MISSING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routes'!$D$6:$D$1005,MATCH(U241,'Material routes'!$A$6:$A$1005,0)),"MISSING ID")</x:f>
        <x:v>proposal.t3.feedthrough_blank</x:v>
      </x:c>
      <x:c r="T241" s="4" t="str">
        <x:f>IFERROR(INDEX('Material routes'!$D$6:$D$1005,MATCH(V241,'Material routes'!$A$6:$A$1005,0)),"MISSING ID")</x:f>
        <x:v>proposal.t4.electrical_bulkhead</x:v>
      </x:c>
      <x:c r="U241" s="4" t="str">
        <x:v>design.t4.electrical_bulkhead.in.1</x:v>
      </x:c>
      <x:c r="V241" s="4" t="str">
        <x:v>design.t4.electrical_bulkhead.out</x:v>
      </x:c>
    </x:row>
    <x:row r="242" ht="115" customHeight="1">
      <x:c r="A242" s="4" t="str">
        <x:f>IFERROR(INDEX('Material routes'!$E$6:$E$1005,MATCH(U242,'Material routes'!$A$6:$A$1005,0)),"MISSING ID")</x:f>
        <x:v>Fitted ceramic contact mounts</x:v>
      </x:c>
      <x:c r="B242" s="4" t="str">
        <x:f>IFERROR(INDEX('Material routes'!$F$6:$F$1005,MATCH(U242,'Material routes'!$A$6:$A$1005,0)),"MISSING ID")</x:f>
        <x:v>T3</x:v>
      </x:c>
      <x:c r="C242" s="4" t="str">
        <x:f>IFERROR(INDEX('Material routes'!$H$6:$H$1005,MATCH(U242,'Material routes'!$A$6:$A$1005,0)),"MISSING ID")</x:f>
        <x:v>Crafting component</x:v>
      </x:c>
      <x:c r="D242" s="4" t="str">
        <x:f>IFERROR(INDEX('Material routes'!$G$6:$G$1005,MATCH(U242,'Material routes'!$A$6:$A$1005,0)),"MISSING ID")</x:f>
        <x:v>Crafting components</x:v>
      </x:c>
      <x:c r="E242" s="4" t="str">
        <x:f>IFERROR(INDEX('Material routes'!$C$6:$C$1005,MATCH(U242,'Material routes'!$A$6:$A$1005,0)),"MISSING ID")</x:f>
        <x:v>Ingredient candidate</x:v>
      </x:c>
      <x:c r="F242" s="4" t="str">
        <x:f>IFERROR(INDEX('Material routes'!$E$6:$E$1005,MATCH(V242,'Material routes'!$A$6:$A$1005,0)),"MISSING ID")</x:f>
        <x:v>Sealed electrical bulkhead insert</x:v>
      </x:c>
      <x:c r="G242" s="4" t="str">
        <x:f>IFERROR(INDEX('Material routes'!$F$6:$F$1005,MATCH(V242,'Material routes'!$A$6:$A$1005,0)),"MISSING ID")</x:f>
        <x:v>T4</x:v>
      </x:c>
      <x:c r="H242" s="4" t="str">
        <x:f>IFERROR(INDEX('Material routes'!$H$6:$H$1005,MATCH(V242,'Material routes'!$A$6:$A$1005,0)),"MISSING ID")</x:f>
        <x:v>Crafting component</x:v>
      </x:c>
      <x:c r="I242" s="4" t="str">
        <x:f>IFERROR(INDEX('Material routes'!$G$6:$G$1005,MATCH(V242,'Material routes'!$A$6:$A$1005,0)),"MISSING ID")</x:f>
        <x:v>Crafting components</x:v>
      </x:c>
      <x:c r="J242" s="4" t="str">
        <x:f>IFERROR(INDEX('Material routes'!$B$6:$B$1005,MATCH(U242,'Material routes'!$A$6:$A$1005,0)),"MISSING ID")</x:f>
        <x:v>design.t4.electrical_bulkhead</x:v>
      </x:c>
      <x:c r="K242" s="4" t="str">
        <x:f>IFERROR(INDEX('Crafting recipes'!$C$6:$C$1005,MATCH(J242,'Crafting recipes'!$A$6:$A$1005,0)),"MISSING ID")</x:f>
        <x:v>Material refinement</x:v>
      </x:c>
      <x:c r="L242" s="4" t="str">
        <x:f>IFERROR(INDEX('Material routes'!$K$6:$K$1005,MATCH(U242,'Material routes'!$A$6:$A$1005,0)),"MISSING ID")</x:f>
        <x:v>Proposal</x:v>
      </x:c>
      <x:c r="M242" s="4" t="str">
        <x:f>IFERROR(INDEX('Material routes'!$M$6:$M$1005,MATCH(U242,'Material routes'!$A$6:$A$1005,0)),"MISSING ID")</x:f>
        <x:v>Partial proposal</x:v>
      </x:c>
      <x:c r="N242" s="4" t="str">
        <x:f>IF(IFERROR(INDEX('Material routes'!$I$6:$I$1005,MATCH(U242,'Material routes'!$A$6:$A$1005,0)),"MISSING ID")=0,"",IFERROR(INDEX('Material routes'!$I$6:$I$1005,MATCH(U242,'Material routes'!$A$6:$A$1005,0)),"MISSING ID"))</x:f>
      </x:c>
      <x:c r="O242" s="4" t="str">
        <x:f>IFERROR(INDEX('Material routes'!$J$6:$J$1005,MATCH(U242,'Material routes'!$A$6:$A$1005,0)),"MISSING ID")</x:f>
        <x:v>Unspecified</x:v>
      </x:c>
      <x:c r="P242" s="4" t="str">
        <x:f>IF(IFERROR(INDEX('Material routes'!$I$6:$I$1005,MATCH(V242,'Material routes'!$A$6:$A$1005,0)),"MISSING ID")=0,"",IFERROR(INDEX('Material routes'!$I$6:$I$1005,MATCH(V242,'Material routes'!$A$6:$A$1005,0)),"MISSING ID"))</x:f>
      </x:c>
      <x:c r="Q242" s="4" t="str">
        <x:f>IFERROR(INDEX('Material routes'!$J$6:$J$1005,MATCH(V242,'Material routes'!$A$6:$A$1005,0)),"MISSING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routes'!$D$6:$D$1005,MATCH(U242,'Material routes'!$A$6:$A$1005,0)),"MISSING ID")</x:f>
        <x:v>proposal.t3.contact_mount</x:v>
      </x:c>
      <x:c r="T242" s="4" t="str">
        <x:f>IFERROR(INDEX('Material routes'!$D$6:$D$1005,MATCH(V242,'Material routes'!$A$6:$A$1005,0)),"MISSING ID")</x:f>
        <x:v>proposal.t4.electrical_bulkhead</x:v>
      </x:c>
      <x:c r="U242" s="4" t="str">
        <x:v>design.t4.electrical_bulkhead.in.2</x:v>
      </x:c>
      <x:c r="V242" s="4" t="str">
        <x:v>design.t4.electrical_bulkhead.out</x:v>
      </x:c>
    </x:row>
    <x:row r="243" ht="115" customHeight="1">
      <x:c r="A243" s="4" t="str">
        <x:f>IFERROR(INDEX('Material routes'!$E$6:$E$1005,MATCH(U243,'Material routes'!$A$6:$A$1005,0)),"MISSING ID")</x:f>
        <x:v>Reinforced sealing sheet</x:v>
      </x:c>
      <x:c r="B243" s="4" t="str">
        <x:f>IFERROR(INDEX('Material routes'!$F$6:$F$1005,MATCH(U243,'Material routes'!$A$6:$A$1005,0)),"MISSING ID")</x:f>
        <x:v>T3</x:v>
      </x:c>
      <x:c r="C243" s="4" t="str">
        <x:f>IFERROR(INDEX('Material routes'!$H$6:$H$1005,MATCH(U243,'Material routes'!$A$6:$A$1005,0)),"MISSING ID")</x:f>
        <x:v>Processed material</x:v>
      </x:c>
      <x:c r="D243" s="4" t="str">
        <x:f>IFERROR(INDEX('Material routes'!$G$6:$G$1005,MATCH(U243,'Material routes'!$A$6:$A$1005,0)),"MISSING ID")</x:f>
        <x:v>Resources</x:v>
      </x:c>
      <x:c r="E243" s="4" t="str">
        <x:f>IFERROR(INDEX('Material routes'!$C$6:$C$1005,MATCH(U243,'Material routes'!$A$6:$A$1005,0)),"MISSING ID")</x:f>
        <x:v>Ingredient candidate</x:v>
      </x:c>
      <x:c r="F243" s="4" t="str">
        <x:f>IFERROR(INDEX('Material routes'!$E$6:$E$1005,MATCH(V243,'Material routes'!$A$6:$A$1005,0)),"MISSING ID")</x:f>
        <x:v>Sealed electrical bulkhead insert</x:v>
      </x:c>
      <x:c r="G243" s="4" t="str">
        <x:f>IFERROR(INDEX('Material routes'!$F$6:$F$1005,MATCH(V243,'Material routes'!$A$6:$A$1005,0)),"MISSING ID")</x:f>
        <x:v>T4</x:v>
      </x:c>
      <x:c r="H243" s="4" t="str">
        <x:f>IFERROR(INDEX('Material routes'!$H$6:$H$1005,MATCH(V243,'Material routes'!$A$6:$A$1005,0)),"MISSING ID")</x:f>
        <x:v>Crafting component</x:v>
      </x:c>
      <x:c r="I243" s="4" t="str">
        <x:f>IFERROR(INDEX('Material routes'!$G$6:$G$1005,MATCH(V243,'Material routes'!$A$6:$A$1005,0)),"MISSING ID")</x:f>
        <x:v>Crafting components</x:v>
      </x:c>
      <x:c r="J243" s="4" t="str">
        <x:f>IFERROR(INDEX('Material routes'!$B$6:$B$1005,MATCH(U243,'Material routes'!$A$6:$A$1005,0)),"MISSING ID")</x:f>
        <x:v>design.t4.electrical_bulkhead</x:v>
      </x:c>
      <x:c r="K243" s="4" t="str">
        <x:f>IFERROR(INDEX('Crafting recipes'!$C$6:$C$1005,MATCH(J243,'Crafting recipes'!$A$6:$A$1005,0)),"MISSING ID")</x:f>
        <x:v>Material refinement</x:v>
      </x:c>
      <x:c r="L243" s="4" t="str">
        <x:f>IFERROR(INDEX('Material routes'!$K$6:$K$1005,MATCH(U243,'Material routes'!$A$6:$A$1005,0)),"MISSING ID")</x:f>
        <x:v>Proposal</x:v>
      </x:c>
      <x:c r="M243" s="4" t="str">
        <x:f>IFERROR(INDEX('Material routes'!$M$6:$M$1005,MATCH(U243,'Material routes'!$A$6:$A$1005,0)),"MISSING ID")</x:f>
        <x:v>Partial proposal</x:v>
      </x:c>
      <x:c r="N243" s="4" t="str">
        <x:f>IF(IFERROR(INDEX('Material routes'!$I$6:$I$1005,MATCH(U243,'Material routes'!$A$6:$A$1005,0)),"MISSING ID")=0,"",IFERROR(INDEX('Material routes'!$I$6:$I$1005,MATCH(U243,'Material routes'!$A$6:$A$1005,0)),"MISSING ID"))</x:f>
      </x:c>
      <x:c r="O243" s="4" t="str">
        <x:f>IFERROR(INDEX('Material routes'!$J$6:$J$1005,MATCH(U243,'Material routes'!$A$6:$A$1005,0)),"MISSING ID")</x:f>
        <x:v>Unspecified</x:v>
      </x:c>
      <x:c r="P243" s="4" t="str">
        <x:f>IF(IFERROR(INDEX('Material routes'!$I$6:$I$1005,MATCH(V243,'Material routes'!$A$6:$A$1005,0)),"MISSING ID")=0,"",IFERROR(INDEX('Material routes'!$I$6:$I$1005,MATCH(V243,'Material routes'!$A$6:$A$1005,0)),"MISSING ID"))</x:f>
      </x:c>
      <x:c r="Q243" s="4" t="str">
        <x:f>IFERROR(INDEX('Material routes'!$J$6:$J$1005,MATCH(V243,'Material routes'!$A$6:$A$1005,0)),"MISSING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routes'!$D$6:$D$1005,MATCH(U243,'Material routes'!$A$6:$A$1005,0)),"MISSING ID")</x:f>
        <x:v>proposal.branch.sealing_sheet</x:v>
      </x:c>
      <x:c r="T243" s="4" t="str">
        <x:f>IFERROR(INDEX('Material routes'!$D$6:$D$1005,MATCH(V243,'Material routes'!$A$6:$A$1005,0)),"MISSING ID")</x:f>
        <x:v>proposal.t4.electrical_bulkhead</x:v>
      </x:c>
      <x:c r="U243" s="4" t="str">
        <x:v>design.t4.electrical_bulkhead.in.3</x:v>
      </x:c>
      <x:c r="V243" s="4" t="str">
        <x:v>design.t4.electrical_bulkhead.out</x:v>
      </x:c>
    </x:row>
    <x:row r="244" ht="115" customHeight="1">
      <x:c r="A244" s="4" t="str">
        <x:f>IFERROR(INDEX('Material routes'!$E$6:$E$1005,MATCH(U244,'Material routes'!$A$6:$A$1005,0)),"MISSING ID")</x:f>
        <x:v>Fitted ceramic contact mounts</x:v>
      </x:c>
      <x:c r="B244" s="4" t="str">
        <x:f>IFERROR(INDEX('Material routes'!$F$6:$F$1005,MATCH(U244,'Material routes'!$A$6:$A$1005,0)),"MISSING ID")</x:f>
        <x:v>T3</x:v>
      </x:c>
      <x:c r="C244" s="4" t="str">
        <x:f>IFERROR(INDEX('Material routes'!$H$6:$H$1005,MATCH(U244,'Material routes'!$A$6:$A$1005,0)),"MISSING ID")</x:f>
        <x:v>Crafting component</x:v>
      </x:c>
      <x:c r="D244" s="4" t="str">
        <x:f>IFERROR(INDEX('Material routes'!$G$6:$G$1005,MATCH(U244,'Material routes'!$A$6:$A$1005,0)),"MISSING ID")</x:f>
        <x:v>Crafting components</x:v>
      </x:c>
      <x:c r="E244" s="4" t="str">
        <x:f>IFERROR(INDEX('Material routes'!$C$6:$C$1005,MATCH(U244,'Material routes'!$A$6:$A$1005,0)),"MISSING ID")</x:f>
        <x:v>Ingredient candidate</x:v>
      </x:c>
      <x:c r="F244" s="4" t="str">
        <x:f>IFERROR(INDEX('Material routes'!$E$6:$E$1005,MATCH(V244,'Material routes'!$A$6:$A$1005,0)),"MISSING ID")</x:f>
        <x:v>Serviceable insulated contact block</x:v>
      </x:c>
      <x:c r="G244" s="4" t="str">
        <x:f>IFERROR(INDEX('Material routes'!$F$6:$F$1005,MATCH(V244,'Material routes'!$A$6:$A$1005,0)),"MISSING ID")</x:f>
        <x:v>T4</x:v>
      </x:c>
      <x:c r="H244" s="4" t="str">
        <x:f>IFERROR(INDEX('Material routes'!$H$6:$H$1005,MATCH(V244,'Material routes'!$A$6:$A$1005,0)),"MISSING ID")</x:f>
        <x:v>Crafting component</x:v>
      </x:c>
      <x:c r="I244" s="4" t="str">
        <x:f>IFERROR(INDEX('Material routes'!$G$6:$G$1005,MATCH(V244,'Material routes'!$A$6:$A$1005,0)),"MISSING ID")</x:f>
        <x:v>Crafting components</x:v>
      </x:c>
      <x:c r="J244" s="4" t="str">
        <x:f>IFERROR(INDEX('Material routes'!$B$6:$B$1005,MATCH(U244,'Material routes'!$A$6:$A$1005,0)),"MISSING ID")</x:f>
        <x:v>design.t4.contact_block</x:v>
      </x:c>
      <x:c r="K244" s="4" t="str">
        <x:f>IFERROR(INDEX('Crafting recipes'!$C$6:$C$1005,MATCH(J244,'Crafting recipes'!$A$6:$A$1005,0)),"MISSING ID")</x:f>
        <x:v>Material refinement</x:v>
      </x:c>
      <x:c r="L244" s="4" t="str">
        <x:f>IFERROR(INDEX('Material routes'!$K$6:$K$1005,MATCH(U244,'Material routes'!$A$6:$A$1005,0)),"MISSING ID")</x:f>
        <x:v>Proposal</x:v>
      </x:c>
      <x:c r="M244" s="4" t="str">
        <x:f>IFERROR(INDEX('Material routes'!$M$6:$M$1005,MATCH(U244,'Material routes'!$A$6:$A$1005,0)),"MISSING ID")</x:f>
        <x:v>Partial proposal</x:v>
      </x:c>
      <x:c r="N244" s="4" t="str">
        <x:f>IF(IFERROR(INDEX('Material routes'!$I$6:$I$1005,MATCH(U244,'Material routes'!$A$6:$A$1005,0)),"MISSING ID")=0,"",IFERROR(INDEX('Material routes'!$I$6:$I$1005,MATCH(U244,'Material routes'!$A$6:$A$1005,0)),"MISSING ID"))</x:f>
      </x:c>
      <x:c r="O244" s="4" t="str">
        <x:f>IFERROR(INDEX('Material routes'!$J$6:$J$1005,MATCH(U244,'Material routes'!$A$6:$A$1005,0)),"MISSING ID")</x:f>
        <x:v>Unspecified</x:v>
      </x:c>
      <x:c r="P244" s="4" t="str">
        <x:f>IF(IFERROR(INDEX('Material routes'!$I$6:$I$1005,MATCH(V244,'Material routes'!$A$6:$A$1005,0)),"MISSING ID")=0,"",IFERROR(INDEX('Material routes'!$I$6:$I$1005,MATCH(V244,'Material routes'!$A$6:$A$1005,0)),"MISSING ID"))</x:f>
      </x:c>
      <x:c r="Q244" s="4" t="str">
        <x:f>IFERROR(INDEX('Material routes'!$J$6:$J$1005,MATCH(V244,'Material routes'!$A$6:$A$1005,0)),"MISSING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routes'!$D$6:$D$1005,MATCH(U244,'Material routes'!$A$6:$A$1005,0)),"MISSING ID")</x:f>
        <x:v>proposal.t3.contact_mount</x:v>
      </x:c>
      <x:c r="T244" s="4" t="str">
        <x:f>IFERROR(INDEX('Material routes'!$D$6:$D$1005,MATCH(V244,'Material routes'!$A$6:$A$1005,0)),"MISSING ID")</x:f>
        <x:v>proposal.t4.contact_block</x:v>
      </x:c>
      <x:c r="U244" s="4" t="str">
        <x:v>design.t4.contact_block.in.1</x:v>
      </x:c>
      <x:c r="V244" s="4" t="str">
        <x:v>design.t4.contact_block.out</x:v>
      </x:c>
    </x:row>
    <x:row r="245" ht="115" customHeight="1">
      <x:c r="A245" s="4" t="str">
        <x:f>IFERROR(INDEX('Material routes'!$E$6:$E$1005,MATCH(U245,'Material routes'!$A$6:$A$1005,0)),"MISSING ID")</x:f>
        <x:v>Matched ceramic spacer sets</x:v>
      </x:c>
      <x:c r="B245" s="4" t="str">
        <x:f>IFERROR(INDEX('Material routes'!$F$6:$F$1005,MATCH(U245,'Material routes'!$A$6:$A$1005,0)),"MISSING ID")</x:f>
        <x:v>T3</x:v>
      </x:c>
      <x:c r="C245" s="4" t="str">
        <x:f>IFERROR(INDEX('Material routes'!$H$6:$H$1005,MATCH(U245,'Material routes'!$A$6:$A$1005,0)),"MISSING ID")</x:f>
        <x:v>Crafting component</x:v>
      </x:c>
      <x:c r="D245" s="4" t="str">
        <x:f>IFERROR(INDEX('Material routes'!$G$6:$G$1005,MATCH(U245,'Material routes'!$A$6:$A$1005,0)),"MISSING ID")</x:f>
        <x:v>Crafting components</x:v>
      </x:c>
      <x:c r="E245" s="4" t="str">
        <x:f>IFERROR(INDEX('Material routes'!$C$6:$C$1005,MATCH(U245,'Material routes'!$A$6:$A$1005,0)),"MISSING ID")</x:f>
        <x:v>Ingredient candidate</x:v>
      </x:c>
      <x:c r="F245" s="4" t="str">
        <x:f>IFERROR(INDEX('Material routes'!$E$6:$E$1005,MATCH(V245,'Material routes'!$A$6:$A$1005,0)),"MISSING ID")</x:f>
        <x:v>Serviceable insulated contact block</x:v>
      </x:c>
      <x:c r="G245" s="4" t="str">
        <x:f>IFERROR(INDEX('Material routes'!$F$6:$F$1005,MATCH(V245,'Material routes'!$A$6:$A$1005,0)),"MISSING ID")</x:f>
        <x:v>T4</x:v>
      </x:c>
      <x:c r="H245" s="4" t="str">
        <x:f>IFERROR(INDEX('Material routes'!$H$6:$H$1005,MATCH(V245,'Material routes'!$A$6:$A$1005,0)),"MISSING ID")</x:f>
        <x:v>Crafting component</x:v>
      </x:c>
      <x:c r="I245" s="4" t="str">
        <x:f>IFERROR(INDEX('Material routes'!$G$6:$G$1005,MATCH(V245,'Material routes'!$A$6:$A$1005,0)),"MISSING ID")</x:f>
        <x:v>Crafting components</x:v>
      </x:c>
      <x:c r="J245" s="4" t="str">
        <x:f>IFERROR(INDEX('Material routes'!$B$6:$B$1005,MATCH(U245,'Material routes'!$A$6:$A$1005,0)),"MISSING ID")</x:f>
        <x:v>design.t4.contact_block</x:v>
      </x:c>
      <x:c r="K245" s="4" t="str">
        <x:f>IFERROR(INDEX('Crafting recipes'!$C$6:$C$1005,MATCH(J245,'Crafting recipes'!$A$6:$A$1005,0)),"MISSING ID")</x:f>
        <x:v>Material refinement</x:v>
      </x:c>
      <x:c r="L245" s="4" t="str">
        <x:f>IFERROR(INDEX('Material routes'!$K$6:$K$1005,MATCH(U245,'Material routes'!$A$6:$A$1005,0)),"MISSING ID")</x:f>
        <x:v>Proposal</x:v>
      </x:c>
      <x:c r="M245" s="4" t="str">
        <x:f>IFERROR(INDEX('Material routes'!$M$6:$M$1005,MATCH(U245,'Material routes'!$A$6:$A$1005,0)),"MISSING ID")</x:f>
        <x:v>Partial proposal</x:v>
      </x:c>
      <x:c r="N245" s="4" t="str">
        <x:f>IF(IFERROR(INDEX('Material routes'!$I$6:$I$1005,MATCH(U245,'Material routes'!$A$6:$A$1005,0)),"MISSING ID")=0,"",IFERROR(INDEX('Material routes'!$I$6:$I$1005,MATCH(U245,'Material routes'!$A$6:$A$1005,0)),"MISSING ID"))</x:f>
      </x:c>
      <x:c r="O245" s="4" t="str">
        <x:f>IFERROR(INDEX('Material routes'!$J$6:$J$1005,MATCH(U245,'Material routes'!$A$6:$A$1005,0)),"MISSING ID")</x:f>
        <x:v>Unspecified</x:v>
      </x:c>
      <x:c r="P245" s="4" t="str">
        <x:f>IF(IFERROR(INDEX('Material routes'!$I$6:$I$1005,MATCH(V245,'Material routes'!$A$6:$A$1005,0)),"MISSING ID")=0,"",IFERROR(INDEX('Material routes'!$I$6:$I$1005,MATCH(V245,'Material routes'!$A$6:$A$1005,0)),"MISSING ID"))</x:f>
      </x:c>
      <x:c r="Q245" s="4" t="str">
        <x:f>IFERROR(INDEX('Material routes'!$J$6:$J$1005,MATCH(V245,'Material routes'!$A$6:$A$1005,0)),"MISSING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routes'!$D$6:$D$1005,MATCH(U245,'Material routes'!$A$6:$A$1005,0)),"MISSING ID")</x:f>
        <x:v>proposal.t3.spacer_set</x:v>
      </x:c>
      <x:c r="T245" s="4" t="str">
        <x:f>IFERROR(INDEX('Material routes'!$D$6:$D$1005,MATCH(V245,'Material routes'!$A$6:$A$1005,0)),"MISSING ID")</x:f>
        <x:v>proposal.t4.contact_block</x:v>
      </x:c>
      <x:c r="U245" s="4" t="str">
        <x:v>design.t4.contact_block.in.2</x:v>
      </x:c>
      <x:c r="V245" s="4" t="str">
        <x:v>design.t4.contact_block.out</x:v>
      </x:c>
    </x:row>
    <x:row r="246" ht="115" customHeight="1">
      <x:c r="A246" s="4" t="str">
        <x:f>IFERROR(INDEX('Material routes'!$E$6:$E$1005,MATCH(U246,'Material routes'!$A$6:$A$1005,0)),"MISSING ID")</x:f>
        <x:v>Insulated conductor stock</x:v>
      </x:c>
      <x:c r="B246" s="4" t="str">
        <x:f>IFERROR(INDEX('Material routes'!$F$6:$F$1005,MATCH(U246,'Material routes'!$A$6:$A$1005,0)),"MISSING ID")</x:f>
        <x:v>T3</x:v>
      </x:c>
      <x:c r="C246" s="4" t="str">
        <x:f>IFERROR(INDEX('Material routes'!$H$6:$H$1005,MATCH(U246,'Material routes'!$A$6:$A$1005,0)),"MISSING ID")</x:f>
        <x:v>Processed material</x:v>
      </x:c>
      <x:c r="D246" s="4" t="str">
        <x:f>IFERROR(INDEX('Material routes'!$G$6:$G$1005,MATCH(U246,'Material routes'!$A$6:$A$1005,0)),"MISSING ID")</x:f>
        <x:v>Resources</x:v>
      </x:c>
      <x:c r="E246" s="4" t="str">
        <x:f>IFERROR(INDEX('Material routes'!$C$6:$C$1005,MATCH(U246,'Material routes'!$A$6:$A$1005,0)),"MISSING ID")</x:f>
        <x:v>Ingredient candidate</x:v>
      </x:c>
      <x:c r="F246" s="4" t="str">
        <x:f>IFERROR(INDEX('Material routes'!$E$6:$E$1005,MATCH(V246,'Material routes'!$A$6:$A$1005,0)),"MISSING ID")</x:f>
        <x:v>Serviceable insulated contact block</x:v>
      </x:c>
      <x:c r="G246" s="4" t="str">
        <x:f>IFERROR(INDEX('Material routes'!$F$6:$F$1005,MATCH(V246,'Material routes'!$A$6:$A$1005,0)),"MISSING ID")</x:f>
        <x:v>T4</x:v>
      </x:c>
      <x:c r="H246" s="4" t="str">
        <x:f>IFERROR(INDEX('Material routes'!$H$6:$H$1005,MATCH(V246,'Material routes'!$A$6:$A$1005,0)),"MISSING ID")</x:f>
        <x:v>Crafting component</x:v>
      </x:c>
      <x:c r="I246" s="4" t="str">
        <x:f>IFERROR(INDEX('Material routes'!$G$6:$G$1005,MATCH(V246,'Material routes'!$A$6:$A$1005,0)),"MISSING ID")</x:f>
        <x:v>Crafting components</x:v>
      </x:c>
      <x:c r="J246" s="4" t="str">
        <x:f>IFERROR(INDEX('Material routes'!$B$6:$B$1005,MATCH(U246,'Material routes'!$A$6:$A$1005,0)),"MISSING ID")</x:f>
        <x:v>design.t4.contact_block</x:v>
      </x:c>
      <x:c r="K246" s="4" t="str">
        <x:f>IFERROR(INDEX('Crafting recipes'!$C$6:$C$1005,MATCH(J246,'Crafting recipes'!$A$6:$A$1005,0)),"MISSING ID")</x:f>
        <x:v>Material refinement</x:v>
      </x:c>
      <x:c r="L246" s="4" t="str">
        <x:f>IFERROR(INDEX('Material routes'!$K$6:$K$1005,MATCH(U246,'Material routes'!$A$6:$A$1005,0)),"MISSING ID")</x:f>
        <x:v>Proposal</x:v>
      </x:c>
      <x:c r="M246" s="4" t="str">
        <x:f>IFERROR(INDEX('Material routes'!$M$6:$M$1005,MATCH(U246,'Material routes'!$A$6:$A$1005,0)),"MISSING ID")</x:f>
        <x:v>Partial proposal</x:v>
      </x:c>
      <x:c r="N246" s="4" t="str">
        <x:f>IF(IFERROR(INDEX('Material routes'!$I$6:$I$1005,MATCH(U246,'Material routes'!$A$6:$A$1005,0)),"MISSING ID")=0,"",IFERROR(INDEX('Material routes'!$I$6:$I$1005,MATCH(U246,'Material routes'!$A$6:$A$1005,0)),"MISSING ID"))</x:f>
      </x:c>
      <x:c r="O246" s="4" t="str">
        <x:f>IFERROR(INDEX('Material routes'!$J$6:$J$1005,MATCH(U246,'Material routes'!$A$6:$A$1005,0)),"MISSING ID")</x:f>
        <x:v>Unspecified</x:v>
      </x:c>
      <x:c r="P246" s="4" t="str">
        <x:f>IF(IFERROR(INDEX('Material routes'!$I$6:$I$1005,MATCH(V246,'Material routes'!$A$6:$A$1005,0)),"MISSING ID")=0,"",IFERROR(INDEX('Material routes'!$I$6:$I$1005,MATCH(V246,'Material routes'!$A$6:$A$1005,0)),"MISSING ID"))</x:f>
      </x:c>
      <x:c r="Q246" s="4" t="str">
        <x:f>IFERROR(INDEX('Material routes'!$J$6:$J$1005,MATCH(V246,'Material routes'!$A$6:$A$1005,0)),"MISSING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routes'!$D$6:$D$1005,MATCH(U246,'Material routes'!$A$6:$A$1005,0)),"MISSING ID")</x:f>
        <x:v>proposal.branch.insulated_conductor</x:v>
      </x:c>
      <x:c r="T246" s="4" t="str">
        <x:f>IFERROR(INDEX('Material routes'!$D$6:$D$1005,MATCH(V246,'Material routes'!$A$6:$A$1005,0)),"MISSING ID")</x:f>
        <x:v>proposal.t4.contact_block</x:v>
      </x:c>
      <x:c r="U246" s="4" t="str">
        <x:v>design.t4.contact_block.in.3</x:v>
      </x:c>
      <x:c r="V246" s="4" t="str">
        <x:v>design.t4.contact_block.out</x:v>
      </x:c>
    </x:row>
    <x:row r="247" ht="115" customHeight="1">
      <x:c r="A247" s="4" t="str">
        <x:f>IFERROR(INDEX('Material routes'!$E$6:$E$1005,MATCH(U247,'Material routes'!$A$6:$A$1005,0)),"MISSING ID")</x:f>
        <x:v>Hinged shell-panel sets</x:v>
      </x:c>
      <x:c r="B247" s="4" t="str">
        <x:f>IFERROR(INDEX('Material routes'!$F$6:$F$1005,MATCH(U247,'Material routes'!$A$6:$A$1005,0)),"MISSING ID")</x:f>
        <x:v>T3</x:v>
      </x:c>
      <x:c r="C247" s="4" t="str">
        <x:f>IFERROR(INDEX('Material routes'!$H$6:$H$1005,MATCH(U247,'Material routes'!$A$6:$A$1005,0)),"MISSING ID")</x:f>
        <x:v>Crafting component</x:v>
      </x:c>
      <x:c r="D247" s="4" t="str">
        <x:f>IFERROR(INDEX('Material routes'!$G$6:$G$1005,MATCH(U247,'Material routes'!$A$6:$A$1005,0)),"MISSING ID")</x:f>
        <x:v>Crafting components</x:v>
      </x:c>
      <x:c r="E247" s="4" t="str">
        <x:f>IFERROR(INDEX('Material routes'!$C$6:$C$1005,MATCH(U247,'Material routes'!$A$6:$A$1005,0)),"MISSING ID")</x:f>
        <x:v>Ingredient candidate</x:v>
      </x:c>
      <x:c r="F247" s="4" t="str">
        <x:f>IFERROR(INDEX('Material routes'!$E$6:$E$1005,MATCH(V247,'Material routes'!$A$6:$A$1005,0)),"MISSING ID")</x:f>
        <x:v>Articulated guard-panel subassembly</x:v>
      </x:c>
      <x:c r="G247" s="4" t="str">
        <x:f>IFERROR(INDEX('Material routes'!$F$6:$F$1005,MATCH(V247,'Material routes'!$A$6:$A$1005,0)),"MISSING ID")</x:f>
        <x:v>T4</x:v>
      </x:c>
      <x:c r="H247" s="4" t="str">
        <x:f>IFERROR(INDEX('Material routes'!$H$6:$H$1005,MATCH(V247,'Material routes'!$A$6:$A$1005,0)),"MISSING ID")</x:f>
        <x:v>Crafting component</x:v>
      </x:c>
      <x:c r="I247" s="4" t="str">
        <x:f>IFERROR(INDEX('Material routes'!$G$6:$G$1005,MATCH(V247,'Material routes'!$A$6:$A$1005,0)),"MISSING ID")</x:f>
        <x:v>Crafting components</x:v>
      </x:c>
      <x:c r="J247" s="4" t="str">
        <x:f>IFERROR(INDEX('Material routes'!$B$6:$B$1005,MATCH(U247,'Material routes'!$A$6:$A$1005,0)),"MISSING ID")</x:f>
        <x:v>design.t4.articulated_guard</x:v>
      </x:c>
      <x:c r="K247" s="4" t="str">
        <x:f>IFERROR(INDEX('Crafting recipes'!$C$6:$C$1005,MATCH(J247,'Crafting recipes'!$A$6:$A$1005,0)),"MISSING ID")</x:f>
        <x:v>Material refinement</x:v>
      </x:c>
      <x:c r="L247" s="4" t="str">
        <x:f>IFERROR(INDEX('Material routes'!$K$6:$K$1005,MATCH(U247,'Material routes'!$A$6:$A$1005,0)),"MISSING ID")</x:f>
        <x:v>Proposal</x:v>
      </x:c>
      <x:c r="M247" s="4" t="str">
        <x:f>IFERROR(INDEX('Material routes'!$M$6:$M$1005,MATCH(U247,'Material routes'!$A$6:$A$1005,0)),"MISSING ID")</x:f>
        <x:v>Partial proposal</x:v>
      </x:c>
      <x:c r="N247" s="4" t="str">
        <x:f>IF(IFERROR(INDEX('Material routes'!$I$6:$I$1005,MATCH(U247,'Material routes'!$A$6:$A$1005,0)),"MISSING ID")=0,"",IFERROR(INDEX('Material routes'!$I$6:$I$1005,MATCH(U247,'Material routes'!$A$6:$A$1005,0)),"MISSING ID"))</x:f>
      </x:c>
      <x:c r="O247" s="4" t="str">
        <x:f>IFERROR(INDEX('Material routes'!$J$6:$J$1005,MATCH(U247,'Material routes'!$A$6:$A$1005,0)),"MISSING ID")</x:f>
        <x:v>Unspecified</x:v>
      </x:c>
      <x:c r="P247" s="4" t="str">
        <x:f>IF(IFERROR(INDEX('Material routes'!$I$6:$I$1005,MATCH(V247,'Material routes'!$A$6:$A$1005,0)),"MISSING ID")=0,"",IFERROR(INDEX('Material routes'!$I$6:$I$1005,MATCH(V247,'Material routes'!$A$6:$A$1005,0)),"MISSING ID"))</x:f>
      </x:c>
      <x:c r="Q247" s="4" t="str">
        <x:f>IFERROR(INDEX('Material routes'!$J$6:$J$1005,MATCH(V247,'Material routes'!$A$6:$A$1005,0)),"MISSING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routes'!$D$6:$D$1005,MATCH(U247,'Material routes'!$A$6:$A$1005,0)),"MISSING ID")</x:f>
        <x:v>proposal.t3.hinged_shell</x:v>
      </x:c>
      <x:c r="T247" s="4" t="str">
        <x:f>IFERROR(INDEX('Material routes'!$D$6:$D$1005,MATCH(V247,'Material routes'!$A$6:$A$1005,0)),"MISSING ID")</x:f>
        <x:v>proposal.t4.articulated_guard</x:v>
      </x:c>
      <x:c r="U247" s="4" t="str">
        <x:v>design.t4.articulated_guard.in.1</x:v>
      </x:c>
      <x:c r="V247" s="4" t="str">
        <x:v>design.t4.articulated_guard.out</x:v>
      </x:c>
    </x:row>
    <x:row r="248" ht="115" customHeight="1">
      <x:c r="A248" s="4" t="str">
        <x:f>IFERROR(INDEX('Material routes'!$E$6:$E$1005,MATCH(U248,'Material routes'!$A$6:$A$1005,0)),"MISSING ID")</x:f>
        <x:v>Steel-faced shell composite</x:v>
      </x:c>
      <x:c r="B248" s="4" t="str">
        <x:f>IFERROR(INDEX('Material routes'!$F$6:$F$1005,MATCH(U248,'Material routes'!$A$6:$A$1005,0)),"MISSING ID")</x:f>
        <x:v>T3</x:v>
      </x:c>
      <x:c r="C248" s="4" t="str">
        <x:f>IFERROR(INDEX('Material routes'!$H$6:$H$1005,MATCH(U248,'Material routes'!$A$6:$A$1005,0)),"MISSING ID")</x:f>
        <x:v>Processed material</x:v>
      </x:c>
      <x:c r="D248" s="4" t="str">
        <x:f>IFERROR(INDEX('Material routes'!$G$6:$G$1005,MATCH(U248,'Material routes'!$A$6:$A$1005,0)),"MISSING ID")</x:f>
        <x:v>Resources</x:v>
      </x:c>
      <x:c r="E248" s="4" t="str">
        <x:f>IFERROR(INDEX('Material routes'!$C$6:$C$1005,MATCH(U248,'Material routes'!$A$6:$A$1005,0)),"MISSING ID")</x:f>
        <x:v>Ingredient candidate</x:v>
      </x:c>
      <x:c r="F248" s="4" t="str">
        <x:f>IFERROR(INDEX('Material routes'!$E$6:$E$1005,MATCH(V248,'Material routes'!$A$6:$A$1005,0)),"MISSING ID")</x:f>
        <x:v>Articulated guard-panel subassembly</x:v>
      </x:c>
      <x:c r="G248" s="4" t="str">
        <x:f>IFERROR(INDEX('Material routes'!$F$6:$F$1005,MATCH(V248,'Material routes'!$A$6:$A$1005,0)),"MISSING ID")</x:f>
        <x:v>T4</x:v>
      </x:c>
      <x:c r="H248" s="4" t="str">
        <x:f>IFERROR(INDEX('Material routes'!$H$6:$H$1005,MATCH(V248,'Material routes'!$A$6:$A$1005,0)),"MISSING ID")</x:f>
        <x:v>Crafting component</x:v>
      </x:c>
      <x:c r="I248" s="4" t="str">
        <x:f>IFERROR(INDEX('Material routes'!$G$6:$G$1005,MATCH(V248,'Material routes'!$A$6:$A$1005,0)),"MISSING ID")</x:f>
        <x:v>Crafting components</x:v>
      </x:c>
      <x:c r="J248" s="4" t="str">
        <x:f>IFERROR(INDEX('Material routes'!$B$6:$B$1005,MATCH(U248,'Material routes'!$A$6:$A$1005,0)),"MISSING ID")</x:f>
        <x:v>design.t4.articulated_guard</x:v>
      </x:c>
      <x:c r="K248" s="4" t="str">
        <x:f>IFERROR(INDEX('Crafting recipes'!$C$6:$C$1005,MATCH(J248,'Crafting recipes'!$A$6:$A$1005,0)),"MISSING ID")</x:f>
        <x:v>Material refinement</x:v>
      </x:c>
      <x:c r="L248" s="4" t="str">
        <x:f>IFERROR(INDEX('Material routes'!$K$6:$K$1005,MATCH(U248,'Material routes'!$A$6:$A$1005,0)),"MISSING ID")</x:f>
        <x:v>Proposal</x:v>
      </x:c>
      <x:c r="M248" s="4" t="str">
        <x:f>IFERROR(INDEX('Material routes'!$M$6:$M$1005,MATCH(U248,'Material routes'!$A$6:$A$1005,0)),"MISSING ID")</x:f>
        <x:v>Partial proposal</x:v>
      </x:c>
      <x:c r="N248" s="4" t="str">
        <x:f>IF(IFERROR(INDEX('Material routes'!$I$6:$I$1005,MATCH(U248,'Material routes'!$A$6:$A$1005,0)),"MISSING ID")=0,"",IFERROR(INDEX('Material routes'!$I$6:$I$1005,MATCH(U248,'Material routes'!$A$6:$A$1005,0)),"MISSING ID"))</x:f>
      </x:c>
      <x:c r="O248" s="4" t="str">
        <x:f>IFERROR(INDEX('Material routes'!$J$6:$J$1005,MATCH(U248,'Material routes'!$A$6:$A$1005,0)),"MISSING ID")</x:f>
        <x:v>Unspecified</x:v>
      </x:c>
      <x:c r="P248" s="4" t="str">
        <x:f>IF(IFERROR(INDEX('Material routes'!$I$6:$I$1005,MATCH(V248,'Material routes'!$A$6:$A$1005,0)),"MISSING ID")=0,"",IFERROR(INDEX('Material routes'!$I$6:$I$1005,MATCH(V248,'Material routes'!$A$6:$A$1005,0)),"MISSING ID"))</x:f>
      </x:c>
      <x:c r="Q248" s="4" t="str">
        <x:f>IFERROR(INDEX('Material routes'!$J$6:$J$1005,MATCH(V248,'Material routes'!$A$6:$A$1005,0)),"MISSING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routes'!$D$6:$D$1005,MATCH(U248,'Material routes'!$A$6:$A$1005,0)),"MISSING ID")</x:f>
        <x:v>proposal.branch.steel_shell</x:v>
      </x:c>
      <x:c r="T248" s="4" t="str">
        <x:f>IFERROR(INDEX('Material routes'!$D$6:$D$1005,MATCH(V248,'Material routes'!$A$6:$A$1005,0)),"MISSING ID")</x:f>
        <x:v>proposal.t4.articulated_guard</x:v>
      </x:c>
      <x:c r="U248" s="4" t="str">
        <x:v>design.t4.articulated_guard.in.2</x:v>
      </x:c>
      <x:c r="V248" s="4" t="str">
        <x:v>design.t4.articulated_guard.out</x:v>
      </x:c>
    </x:row>
    <x:row r="249" ht="115" customHeight="1">
      <x:c r="A249" s="4" t="str">
        <x:f>IFERROR(INDEX('Material routes'!$E$6:$E$1005,MATCH(U249,'Material routes'!$A$6:$A$1005,0)),"MISSING ID")</x:f>
        <x:v>Spring-grade steel stock</x:v>
      </x:c>
      <x:c r="B249" s="4" t="str">
        <x:f>IFERROR(INDEX('Material routes'!$F$6:$F$1005,MATCH(U249,'Material routes'!$A$6:$A$1005,0)),"MISSING ID")</x:f>
        <x:v>T3</x:v>
      </x:c>
      <x:c r="C249" s="4" t="str">
        <x:f>IFERROR(INDEX('Material routes'!$H$6:$H$1005,MATCH(U249,'Material routes'!$A$6:$A$1005,0)),"MISSING ID")</x:f>
        <x:v>Processed material</x:v>
      </x:c>
      <x:c r="D249" s="4" t="str">
        <x:f>IFERROR(INDEX('Material routes'!$G$6:$G$1005,MATCH(U249,'Material routes'!$A$6:$A$1005,0)),"MISSING ID")</x:f>
        <x:v>Resources</x:v>
      </x:c>
      <x:c r="E249" s="4" t="str">
        <x:f>IFERROR(INDEX('Material routes'!$C$6:$C$1005,MATCH(U249,'Material routes'!$A$6:$A$1005,0)),"MISSING ID")</x:f>
        <x:v>Ingredient candidate</x:v>
      </x:c>
      <x:c r="F249" s="4" t="str">
        <x:f>IFERROR(INDEX('Material routes'!$E$6:$E$1005,MATCH(V249,'Material routes'!$A$6:$A$1005,0)),"MISSING ID")</x:f>
        <x:v>Articulated guard-panel subassembly</x:v>
      </x:c>
      <x:c r="G249" s="4" t="str">
        <x:f>IFERROR(INDEX('Material routes'!$F$6:$F$1005,MATCH(V249,'Material routes'!$A$6:$A$1005,0)),"MISSING ID")</x:f>
        <x:v>T4</x:v>
      </x:c>
      <x:c r="H249" s="4" t="str">
        <x:f>IFERROR(INDEX('Material routes'!$H$6:$H$1005,MATCH(V249,'Material routes'!$A$6:$A$1005,0)),"MISSING ID")</x:f>
        <x:v>Crafting component</x:v>
      </x:c>
      <x:c r="I249" s="4" t="str">
        <x:f>IFERROR(INDEX('Material routes'!$G$6:$G$1005,MATCH(V249,'Material routes'!$A$6:$A$1005,0)),"MISSING ID")</x:f>
        <x:v>Crafting components</x:v>
      </x:c>
      <x:c r="J249" s="4" t="str">
        <x:f>IFERROR(INDEX('Material routes'!$B$6:$B$1005,MATCH(U249,'Material routes'!$A$6:$A$1005,0)),"MISSING ID")</x:f>
        <x:v>design.t4.articulated_guard</x:v>
      </x:c>
      <x:c r="K249" s="4" t="str">
        <x:f>IFERROR(INDEX('Crafting recipes'!$C$6:$C$1005,MATCH(J249,'Crafting recipes'!$A$6:$A$1005,0)),"MISSING ID")</x:f>
        <x:v>Material refinement</x:v>
      </x:c>
      <x:c r="L249" s="4" t="str">
        <x:f>IFERROR(INDEX('Material routes'!$K$6:$K$1005,MATCH(U249,'Material routes'!$A$6:$A$1005,0)),"MISSING ID")</x:f>
        <x:v>Proposal</x:v>
      </x:c>
      <x:c r="M249" s="4" t="str">
        <x:f>IFERROR(INDEX('Material routes'!$M$6:$M$1005,MATCH(U249,'Material routes'!$A$6:$A$1005,0)),"MISSING ID")</x:f>
        <x:v>Partial proposal</x:v>
      </x:c>
      <x:c r="N249" s="4" t="str">
        <x:f>IF(IFERROR(INDEX('Material routes'!$I$6:$I$1005,MATCH(U249,'Material routes'!$A$6:$A$1005,0)),"MISSING ID")=0,"",IFERROR(INDEX('Material routes'!$I$6:$I$1005,MATCH(U249,'Material routes'!$A$6:$A$1005,0)),"MISSING ID"))</x:f>
      </x:c>
      <x:c r="O249" s="4" t="str">
        <x:f>IFERROR(INDEX('Material routes'!$J$6:$J$1005,MATCH(U249,'Material routes'!$A$6:$A$1005,0)),"MISSING ID")</x:f>
        <x:v>Unspecified</x:v>
      </x:c>
      <x:c r="P249" s="4" t="str">
        <x:f>IF(IFERROR(INDEX('Material routes'!$I$6:$I$1005,MATCH(V249,'Material routes'!$A$6:$A$1005,0)),"MISSING ID")=0,"",IFERROR(INDEX('Material routes'!$I$6:$I$1005,MATCH(V249,'Material routes'!$A$6:$A$1005,0)),"MISSING ID"))</x:f>
      </x:c>
      <x:c r="Q249" s="4" t="str">
        <x:f>IFERROR(INDEX('Material routes'!$J$6:$J$1005,MATCH(V249,'Material routes'!$A$6:$A$1005,0)),"MISSING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routes'!$D$6:$D$1005,MATCH(U249,'Material routes'!$A$6:$A$1005,0)),"MISSING ID")</x:f>
        <x:v>proposal.branch.spring_steel</x:v>
      </x:c>
      <x:c r="T249" s="4" t="str">
        <x:f>IFERROR(INDEX('Material routes'!$D$6:$D$1005,MATCH(V249,'Material routes'!$A$6:$A$1005,0)),"MISSING ID")</x:f>
        <x:v>proposal.t4.articulated_guard</x:v>
      </x:c>
      <x:c r="U249" s="4" t="str">
        <x:v>design.t4.articulated_guard.in.3</x:v>
      </x:c>
      <x:c r="V249" s="4" t="str">
        <x:v>design.t4.articulated_guard.out</x:v>
      </x:c>
    </x:row>
    <x:row r="250" ht="115" customHeight="1">
      <x:c r="A250" s="4" t="str">
        <x:f>IFERROR(INDEX('Material routes'!$E$6:$E$1005,MATCH(U250,'Material routes'!$A$6:$A$1005,0)),"MISSING ID")</x:f>
        <x:v>Faunal joint grease</x:v>
      </x:c>
      <x:c r="B250" s="4" t="str">
        <x:f>IFERROR(INDEX('Material routes'!$F$6:$F$1005,MATCH(U250,'Material routes'!$A$6:$A$1005,0)),"MISSING ID")</x:f>
        <x:v>T2</x:v>
      </x:c>
      <x:c r="C250" s="4" t="str">
        <x:f>IFERROR(INDEX('Material routes'!$H$6:$H$1005,MATCH(U250,'Material routes'!$A$6:$A$1005,0)),"MISSING ID")</x:f>
        <x:v>Chemical material</x:v>
      </x:c>
      <x:c r="D250" s="4" t="str">
        <x:f>IFERROR(INDEX('Material routes'!$G$6:$G$1005,MATCH(U250,'Material routes'!$A$6:$A$1005,0)),"MISSING ID")</x:f>
        <x:v>Resources</x:v>
      </x:c>
      <x:c r="E250" s="4" t="str">
        <x:f>IFERROR(INDEX('Material routes'!$C$6:$C$1005,MATCH(U250,'Material routes'!$A$6:$A$1005,0)),"MISSING ID")</x:f>
        <x:v>Ingredient candidate</x:v>
      </x:c>
      <x:c r="F250" s="4" t="str">
        <x:f>IFERROR(INDEX('Material routes'!$E$6:$E$1005,MATCH(V250,'Material routes'!$A$6:$A$1005,0)),"MISSING ID")</x:f>
        <x:v>Articulated guard-panel subassembly</x:v>
      </x:c>
      <x:c r="G250" s="4" t="str">
        <x:f>IFERROR(INDEX('Material routes'!$F$6:$F$1005,MATCH(V250,'Material routes'!$A$6:$A$1005,0)),"MISSING ID")</x:f>
        <x:v>T4</x:v>
      </x:c>
      <x:c r="H250" s="4" t="str">
        <x:f>IFERROR(INDEX('Material routes'!$H$6:$H$1005,MATCH(V250,'Material routes'!$A$6:$A$1005,0)),"MISSING ID")</x:f>
        <x:v>Crafting component</x:v>
      </x:c>
      <x:c r="I250" s="4" t="str">
        <x:f>IFERROR(INDEX('Material routes'!$G$6:$G$1005,MATCH(V250,'Material routes'!$A$6:$A$1005,0)),"MISSING ID")</x:f>
        <x:v>Crafting components</x:v>
      </x:c>
      <x:c r="J250" s="4" t="str">
        <x:f>IFERROR(INDEX('Material routes'!$B$6:$B$1005,MATCH(U250,'Material routes'!$A$6:$A$1005,0)),"MISSING ID")</x:f>
        <x:v>design.t4.articulated_guard</x:v>
      </x:c>
      <x:c r="K250" s="4" t="str">
        <x:f>IFERROR(INDEX('Crafting recipes'!$C$6:$C$1005,MATCH(J250,'Crafting recipes'!$A$6:$A$1005,0)),"MISSING ID")</x:f>
        <x:v>Material refinement</x:v>
      </x:c>
      <x:c r="L250" s="4" t="str">
        <x:f>IFERROR(INDEX('Material routes'!$K$6:$K$1005,MATCH(U250,'Material routes'!$A$6:$A$1005,0)),"MISSING ID")</x:f>
        <x:v>Proposal</x:v>
      </x:c>
      <x:c r="M250" s="4" t="str">
        <x:f>IFERROR(INDEX('Material routes'!$M$6:$M$1005,MATCH(U250,'Material routes'!$A$6:$A$1005,0)),"MISSING ID")</x:f>
        <x:v>Partial proposal</x:v>
      </x:c>
      <x:c r="N250" s="4" t="str">
        <x:f>IF(IFERROR(INDEX('Material routes'!$I$6:$I$1005,MATCH(U250,'Material routes'!$A$6:$A$1005,0)),"MISSING ID")=0,"",IFERROR(INDEX('Material routes'!$I$6:$I$1005,MATCH(U250,'Material routes'!$A$6:$A$1005,0)),"MISSING ID"))</x:f>
      </x:c>
      <x:c r="O250" s="4" t="str">
        <x:f>IFERROR(INDEX('Material routes'!$J$6:$J$1005,MATCH(U250,'Material routes'!$A$6:$A$1005,0)),"MISSING ID")</x:f>
        <x:v>Unspecified</x:v>
      </x:c>
      <x:c r="P250" s="4" t="str">
        <x:f>IF(IFERROR(INDEX('Material routes'!$I$6:$I$1005,MATCH(V250,'Material routes'!$A$6:$A$1005,0)),"MISSING ID")=0,"",IFERROR(INDEX('Material routes'!$I$6:$I$1005,MATCH(V250,'Material routes'!$A$6:$A$1005,0)),"MISSING ID"))</x:f>
      </x:c>
      <x:c r="Q250" s="4" t="str">
        <x:f>IFERROR(INDEX('Material routes'!$J$6:$J$1005,MATCH(V250,'Material routes'!$A$6:$A$1005,0)),"MISSING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routes'!$D$6:$D$1005,MATCH(U250,'Material routes'!$A$6:$A$1005,0)),"MISSING ID")</x:f>
        <x:v>proposal.lubricant.joint_grease</x:v>
      </x:c>
      <x:c r="T250" s="4" t="str">
        <x:f>IFERROR(INDEX('Material routes'!$D$6:$D$1005,MATCH(V250,'Material routes'!$A$6:$A$1005,0)),"MISSING ID")</x:f>
        <x:v>proposal.t4.articulated_guard</x:v>
      </x:c>
      <x:c r="U250" s="4" t="str">
        <x:v>design.t4.articulated_guard.in.4</x:v>
      </x:c>
      <x:c r="V250" s="4" t="str">
        <x:v>design.t4.articulated_guard.out</x:v>
      </x:c>
    </x:row>
    <x:row r="251" ht="115" customHeight="1">
      <x:c r="A251" s="4" t="str">
        <x:f>IFERROR(INDEX('Material routes'!$E$6:$E$1005,MATCH(U251,'Material routes'!$A$6:$A$1005,0)),"MISSING ID")</x:f>
        <x:v>Drawn steel tube stock</x:v>
      </x:c>
      <x:c r="B251" s="4" t="str">
        <x:f>IFERROR(INDEX('Material routes'!$F$6:$F$1005,MATCH(U251,'Material routes'!$A$6:$A$1005,0)),"MISSING ID")</x:f>
        <x:v>T3</x:v>
      </x:c>
      <x:c r="C251" s="4" t="str">
        <x:f>IFERROR(INDEX('Material routes'!$H$6:$H$1005,MATCH(U251,'Material routes'!$A$6:$A$1005,0)),"MISSING ID")</x:f>
        <x:v>Processed material</x:v>
      </x:c>
      <x:c r="D251" s="4" t="str">
        <x:f>IFERROR(INDEX('Material routes'!$G$6:$G$1005,MATCH(U251,'Material routes'!$A$6:$A$1005,0)),"MISSING ID")</x:f>
        <x:v>Resources</x:v>
      </x:c>
      <x:c r="E251" s="4" t="str">
        <x:f>IFERROR(INDEX('Material routes'!$C$6:$C$1005,MATCH(U251,'Material routes'!$A$6:$A$1005,0)),"MISSING ID")</x:f>
        <x:v>Ingredient candidate</x:v>
      </x:c>
      <x:c r="F251" s="4" t="str">
        <x:f>IFERROR(INDEX('Material routes'!$E$6:$E$1005,MATCH(V251,'Material routes'!$A$6:$A$1005,0)),"MISSING ID")</x:f>
        <x:v>Fitted canister valve-core assembly</x:v>
      </x:c>
      <x:c r="G251" s="4" t="str">
        <x:f>IFERROR(INDEX('Material routes'!$F$6:$F$1005,MATCH(V251,'Material routes'!$A$6:$A$1005,0)),"MISSING ID")</x:f>
        <x:v>T4</x:v>
      </x:c>
      <x:c r="H251" s="4" t="str">
        <x:f>IFERROR(INDEX('Material routes'!$H$6:$H$1005,MATCH(V251,'Material routes'!$A$6:$A$1005,0)),"MISSING ID")</x:f>
        <x:v>Crafting component</x:v>
      </x:c>
      <x:c r="I251" s="4" t="str">
        <x:f>IFERROR(INDEX('Material routes'!$G$6:$G$1005,MATCH(V251,'Material routes'!$A$6:$A$1005,0)),"MISSING ID")</x:f>
        <x:v>Crafting components</x:v>
      </x:c>
      <x:c r="J251" s="4" t="str">
        <x:f>IFERROR(INDEX('Material routes'!$B$6:$B$1005,MATCH(U251,'Material routes'!$A$6:$A$1005,0)),"MISSING ID")</x:f>
        <x:v>design.t4.valve_core</x:v>
      </x:c>
      <x:c r="K251" s="4" t="str">
        <x:f>IFERROR(INDEX('Crafting recipes'!$C$6:$C$1005,MATCH(J251,'Crafting recipes'!$A$6:$A$1005,0)),"MISSING ID")</x:f>
        <x:v>Material refinement</x:v>
      </x:c>
      <x:c r="L251" s="4" t="str">
        <x:f>IFERROR(INDEX('Material routes'!$K$6:$K$1005,MATCH(U251,'Material routes'!$A$6:$A$1005,0)),"MISSING ID")</x:f>
        <x:v>Proposal</x:v>
      </x:c>
      <x:c r="M251" s="4" t="str">
        <x:f>IFERROR(INDEX('Material routes'!$M$6:$M$1005,MATCH(U251,'Material routes'!$A$6:$A$1005,0)),"MISSING ID")</x:f>
        <x:v>Partial proposal</x:v>
      </x:c>
      <x:c r="N251" s="4" t="str">
        <x:f>IF(IFERROR(INDEX('Material routes'!$I$6:$I$1005,MATCH(U251,'Material routes'!$A$6:$A$1005,0)),"MISSING ID")=0,"",IFERROR(INDEX('Material routes'!$I$6:$I$1005,MATCH(U251,'Material routes'!$A$6:$A$1005,0)),"MISSING ID"))</x:f>
      </x:c>
      <x:c r="O251" s="4" t="str">
        <x:f>IFERROR(INDEX('Material routes'!$J$6:$J$1005,MATCH(U251,'Material routes'!$A$6:$A$1005,0)),"MISSING ID")</x:f>
        <x:v>Unspecified</x:v>
      </x:c>
      <x:c r="P251" s="4" t="str">
        <x:f>IF(IFERROR(INDEX('Material routes'!$I$6:$I$1005,MATCH(V251,'Material routes'!$A$6:$A$1005,0)),"MISSING ID")=0,"",IFERROR(INDEX('Material routes'!$I$6:$I$1005,MATCH(V251,'Material routes'!$A$6:$A$1005,0)),"MISSING ID"))</x:f>
      </x:c>
      <x:c r="Q251" s="4" t="str">
        <x:f>IFERROR(INDEX('Material routes'!$J$6:$J$1005,MATCH(V251,'Material routes'!$A$6:$A$1005,0)),"MISSING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routes'!$D$6:$D$1005,MATCH(U251,'Material routes'!$A$6:$A$1005,0)),"MISSING ID")</x:f>
        <x:v>proposal.t3.precision_tube</x:v>
      </x:c>
      <x:c r="T251" s="4" t="str">
        <x:f>IFERROR(INDEX('Material routes'!$D$6:$D$1005,MATCH(V251,'Material routes'!$A$6:$A$1005,0)),"MISSING ID")</x:f>
        <x:v>proposal.t4.valve_core</x:v>
      </x:c>
      <x:c r="U251" s="4" t="str">
        <x:v>design.t4.valve_core.in.1</x:v>
      </x:c>
      <x:c r="V251" s="4" t="str">
        <x:v>design.t4.valve_core.out</x:v>
      </x:c>
    </x:row>
    <x:row r="252" ht="115" customHeight="1">
      <x:c r="A252" s="4" t="str">
        <x:f>IFERROR(INDEX('Material routes'!$E$6:$E$1005,MATCH(U252,'Material routes'!$A$6:$A$1005,0)),"MISSING ID")</x:f>
        <x:v>Husk-reinforced packing stock</x:v>
      </x:c>
      <x:c r="B252" s="4" t="str">
        <x:f>IFERROR(INDEX('Material routes'!$F$6:$F$1005,MATCH(U252,'Material routes'!$A$6:$A$1005,0)),"MISSING ID")</x:f>
        <x:v>T3</x:v>
      </x:c>
      <x:c r="C252" s="4" t="str">
        <x:f>IFERROR(INDEX('Material routes'!$H$6:$H$1005,MATCH(U252,'Material routes'!$A$6:$A$1005,0)),"MISSING ID")</x:f>
        <x:v>Processed material</x:v>
      </x:c>
      <x:c r="D252" s="4" t="str">
        <x:f>IFERROR(INDEX('Material routes'!$G$6:$G$1005,MATCH(U252,'Material routes'!$A$6:$A$1005,0)),"MISSING ID")</x:f>
        <x:v>Resources</x:v>
      </x:c>
      <x:c r="E252" s="4" t="str">
        <x:f>IFERROR(INDEX('Material routes'!$C$6:$C$1005,MATCH(U252,'Material routes'!$A$6:$A$1005,0)),"MISSING ID")</x:f>
        <x:v>Ingredient candidate</x:v>
      </x:c>
      <x:c r="F252" s="4" t="str">
        <x:f>IFERROR(INDEX('Material routes'!$E$6:$E$1005,MATCH(V252,'Material routes'!$A$6:$A$1005,0)),"MISSING ID")</x:f>
        <x:v>Fitted canister valve-core assembly</x:v>
      </x:c>
      <x:c r="G252" s="4" t="str">
        <x:f>IFERROR(INDEX('Material routes'!$F$6:$F$1005,MATCH(V252,'Material routes'!$A$6:$A$1005,0)),"MISSING ID")</x:f>
        <x:v>T4</x:v>
      </x:c>
      <x:c r="H252" s="4" t="str">
        <x:f>IFERROR(INDEX('Material routes'!$H$6:$H$1005,MATCH(V252,'Material routes'!$A$6:$A$1005,0)),"MISSING ID")</x:f>
        <x:v>Crafting component</x:v>
      </x:c>
      <x:c r="I252" s="4" t="str">
        <x:f>IFERROR(INDEX('Material routes'!$G$6:$G$1005,MATCH(V252,'Material routes'!$A$6:$A$1005,0)),"MISSING ID")</x:f>
        <x:v>Crafting components</x:v>
      </x:c>
      <x:c r="J252" s="4" t="str">
        <x:f>IFERROR(INDEX('Material routes'!$B$6:$B$1005,MATCH(U252,'Material routes'!$A$6:$A$1005,0)),"MISSING ID")</x:f>
        <x:v>design.t4.valve_core</x:v>
      </x:c>
      <x:c r="K252" s="4" t="str">
        <x:f>IFERROR(INDEX('Crafting recipes'!$C$6:$C$1005,MATCH(J252,'Crafting recipes'!$A$6:$A$1005,0)),"MISSING ID")</x:f>
        <x:v>Material refinement</x:v>
      </x:c>
      <x:c r="L252" s="4" t="str">
        <x:f>IFERROR(INDEX('Material routes'!$K$6:$K$1005,MATCH(U252,'Material routes'!$A$6:$A$1005,0)),"MISSING ID")</x:f>
        <x:v>Proposal</x:v>
      </x:c>
      <x:c r="M252" s="4" t="str">
        <x:f>IFERROR(INDEX('Material routes'!$M$6:$M$1005,MATCH(U252,'Material routes'!$A$6:$A$1005,0)),"MISSING ID")</x:f>
        <x:v>Partial proposal</x:v>
      </x:c>
      <x:c r="N252" s="4" t="str">
        <x:f>IF(IFERROR(INDEX('Material routes'!$I$6:$I$1005,MATCH(U252,'Material routes'!$A$6:$A$1005,0)),"MISSING ID")=0,"",IFERROR(INDEX('Material routes'!$I$6:$I$1005,MATCH(U252,'Material routes'!$A$6:$A$1005,0)),"MISSING ID"))</x:f>
      </x:c>
      <x:c r="O252" s="4" t="str">
        <x:f>IFERROR(INDEX('Material routes'!$J$6:$J$1005,MATCH(U252,'Material routes'!$A$6:$A$1005,0)),"MISSING ID")</x:f>
        <x:v>Unspecified</x:v>
      </x:c>
      <x:c r="P252" s="4" t="str">
        <x:f>IF(IFERROR(INDEX('Material routes'!$I$6:$I$1005,MATCH(V252,'Material routes'!$A$6:$A$1005,0)),"MISSING ID")=0,"",IFERROR(INDEX('Material routes'!$I$6:$I$1005,MATCH(V252,'Material routes'!$A$6:$A$1005,0)),"MISSING ID"))</x:f>
      </x:c>
      <x:c r="Q252" s="4" t="str">
        <x:f>IFERROR(INDEX('Material routes'!$J$6:$J$1005,MATCH(V252,'Material routes'!$A$6:$A$1005,0)),"MISSING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routes'!$D$6:$D$1005,MATCH(U252,'Material routes'!$A$6:$A$1005,0)),"MISSING ID")</x:f>
        <x:v>proposal.t3.packing_stock</x:v>
      </x:c>
      <x:c r="T252" s="4" t="str">
        <x:f>IFERROR(INDEX('Material routes'!$D$6:$D$1005,MATCH(V252,'Material routes'!$A$6:$A$1005,0)),"MISSING ID")</x:f>
        <x:v>proposal.t4.valve_core</x:v>
      </x:c>
      <x:c r="U252" s="4" t="str">
        <x:v>design.t4.valve_core.in.2</x:v>
      </x:c>
      <x:c r="V252" s="4" t="str">
        <x:v>design.t4.valve_core.out</x:v>
      </x:c>
    </x:row>
    <x:row r="253" ht="115" customHeight="1">
      <x:c r="A253" s="4" t="str">
        <x:f>IFERROR(INDEX('Material routes'!$E$6:$E$1005,MATCH(U253,'Material routes'!$A$6:$A$1005,0)),"MISSING ID")</x:f>
        <x:v>Conditioned mechanism-service grease</x:v>
      </x:c>
      <x:c r="B253" s="4" t="str">
        <x:f>IFERROR(INDEX('Material routes'!$F$6:$F$1005,MATCH(U253,'Material routes'!$A$6:$A$1005,0)),"MISSING ID")</x:f>
        <x:v>T3</x:v>
      </x:c>
      <x:c r="C253" s="4" t="str">
        <x:f>IFERROR(INDEX('Material routes'!$H$6:$H$1005,MATCH(U253,'Material routes'!$A$6:$A$1005,0)),"MISSING ID")</x:f>
        <x:v>Chemical material</x:v>
      </x:c>
      <x:c r="D253" s="4" t="str">
        <x:f>IFERROR(INDEX('Material routes'!$G$6:$G$1005,MATCH(U253,'Material routes'!$A$6:$A$1005,0)),"MISSING ID")</x:f>
        <x:v>Resources</x:v>
      </x:c>
      <x:c r="E253" s="4" t="str">
        <x:f>IFERROR(INDEX('Material routes'!$C$6:$C$1005,MATCH(U253,'Material routes'!$A$6:$A$1005,0)),"MISSING ID")</x:f>
        <x:v>Ingredient candidate</x:v>
      </x:c>
      <x:c r="F253" s="4" t="str">
        <x:f>IFERROR(INDEX('Material routes'!$E$6:$E$1005,MATCH(V253,'Material routes'!$A$6:$A$1005,0)),"MISSING ID")</x:f>
        <x:v>Fitted canister valve-core assembly</x:v>
      </x:c>
      <x:c r="G253" s="4" t="str">
        <x:f>IFERROR(INDEX('Material routes'!$F$6:$F$1005,MATCH(V253,'Material routes'!$A$6:$A$1005,0)),"MISSING ID")</x:f>
        <x:v>T4</x:v>
      </x:c>
      <x:c r="H253" s="4" t="str">
        <x:f>IFERROR(INDEX('Material routes'!$H$6:$H$1005,MATCH(V253,'Material routes'!$A$6:$A$1005,0)),"MISSING ID")</x:f>
        <x:v>Crafting component</x:v>
      </x:c>
      <x:c r="I253" s="4" t="str">
        <x:f>IFERROR(INDEX('Material routes'!$G$6:$G$1005,MATCH(V253,'Material routes'!$A$6:$A$1005,0)),"MISSING ID")</x:f>
        <x:v>Crafting components</x:v>
      </x:c>
      <x:c r="J253" s="4" t="str">
        <x:f>IFERROR(INDEX('Material routes'!$B$6:$B$1005,MATCH(U253,'Material routes'!$A$6:$A$1005,0)),"MISSING ID")</x:f>
        <x:v>design.t4.valve_core</x:v>
      </x:c>
      <x:c r="K253" s="4" t="str">
        <x:f>IFERROR(INDEX('Crafting recipes'!$C$6:$C$1005,MATCH(J253,'Crafting recipes'!$A$6:$A$1005,0)),"MISSING ID")</x:f>
        <x:v>Material refinement</x:v>
      </x:c>
      <x:c r="L253" s="4" t="str">
        <x:f>IFERROR(INDEX('Material routes'!$K$6:$K$1005,MATCH(U253,'Material routes'!$A$6:$A$1005,0)),"MISSING ID")</x:f>
        <x:v>Proposal</x:v>
      </x:c>
      <x:c r="M253" s="4" t="str">
        <x:f>IFERROR(INDEX('Material routes'!$M$6:$M$1005,MATCH(U253,'Material routes'!$A$6:$A$1005,0)),"MISSING ID")</x:f>
        <x:v>Partial proposal</x:v>
      </x:c>
      <x:c r="N253" s="4" t="str">
        <x:f>IF(IFERROR(INDEX('Material routes'!$I$6:$I$1005,MATCH(U253,'Material routes'!$A$6:$A$1005,0)),"MISSING ID")=0,"",IFERROR(INDEX('Material routes'!$I$6:$I$1005,MATCH(U253,'Material routes'!$A$6:$A$1005,0)),"MISSING ID"))</x:f>
      </x:c>
      <x:c r="O253" s="4" t="str">
        <x:f>IFERROR(INDEX('Material routes'!$J$6:$J$1005,MATCH(U253,'Material routes'!$A$6:$A$1005,0)),"MISSING ID")</x:f>
        <x:v>Unspecified</x:v>
      </x:c>
      <x:c r="P253" s="4" t="str">
        <x:f>IF(IFERROR(INDEX('Material routes'!$I$6:$I$1005,MATCH(V253,'Material routes'!$A$6:$A$1005,0)),"MISSING ID")=0,"",IFERROR(INDEX('Material routes'!$I$6:$I$1005,MATCH(V253,'Material routes'!$A$6:$A$1005,0)),"MISSING ID"))</x:f>
      </x:c>
      <x:c r="Q253" s="4" t="str">
        <x:f>IFERROR(INDEX('Material routes'!$J$6:$J$1005,MATCH(V253,'Material routes'!$A$6:$A$1005,0)),"MISSING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routes'!$D$6:$D$1005,MATCH(U253,'Material routes'!$A$6:$A$1005,0)),"MISSING ID")</x:f>
        <x:v>proposal.t3.service_grease</x:v>
      </x:c>
      <x:c r="T253" s="4" t="str">
        <x:f>IFERROR(INDEX('Material routes'!$D$6:$D$1005,MATCH(V253,'Material routes'!$A$6:$A$1005,0)),"MISSING ID")</x:f>
        <x:v>proposal.t4.valve_core</x:v>
      </x:c>
      <x:c r="U253" s="4" t="str">
        <x:v>design.t4.valve_core.in.3</x:v>
      </x:c>
      <x:c r="V253" s="4" t="str">
        <x:v>design.t4.valve_core.out</x:v>
      </x:c>
    </x:row>
    <x:row r="254" ht="115" customHeight="1">
      <x:c r="A254" s="4" t="str">
        <x:f>IFERROR(INDEX('Material routes'!$E$6:$E$1005,MATCH(U254,'Material routes'!$A$6:$A$1005,0)),"MISSING ID")</x:f>
        <x:v>Prepared bronze bearing stock</x:v>
      </x:c>
      <x:c r="B254" s="4" t="str">
        <x:f>IFERROR(INDEX('Material routes'!$F$6:$F$1005,MATCH(U254,'Material routes'!$A$6:$A$1005,0)),"MISSING ID")</x:f>
        <x:v>T2</x:v>
      </x:c>
      <x:c r="C254" s="4" t="str">
        <x:f>IFERROR(INDEX('Material routes'!$H$6:$H$1005,MATCH(U254,'Material routes'!$A$6:$A$1005,0)),"MISSING ID")</x:f>
        <x:v>Processed material</x:v>
      </x:c>
      <x:c r="D254" s="4" t="str">
        <x:f>IFERROR(INDEX('Material routes'!$G$6:$G$1005,MATCH(U254,'Material routes'!$A$6:$A$1005,0)),"MISSING ID")</x:f>
        <x:v>Resources</x:v>
      </x:c>
      <x:c r="E254" s="4" t="str">
        <x:f>IFERROR(INDEX('Material routes'!$C$6:$C$1005,MATCH(U254,'Material routes'!$A$6:$A$1005,0)),"MISSING ID")</x:f>
        <x:v>Ingredient candidate</x:v>
      </x:c>
      <x:c r="F254" s="4" t="str">
        <x:f>IFERROR(INDEX('Material routes'!$E$6:$E$1005,MATCH(V254,'Material routes'!$A$6:$A$1005,0)),"MISSING ID")</x:f>
        <x:v>Fitted canister valve-core assembly</x:v>
      </x:c>
      <x:c r="G254" s="4" t="str">
        <x:f>IFERROR(INDEX('Material routes'!$F$6:$F$1005,MATCH(V254,'Material routes'!$A$6:$A$1005,0)),"MISSING ID")</x:f>
        <x:v>T4</x:v>
      </x:c>
      <x:c r="H254" s="4" t="str">
        <x:f>IFERROR(INDEX('Material routes'!$H$6:$H$1005,MATCH(V254,'Material routes'!$A$6:$A$1005,0)),"MISSING ID")</x:f>
        <x:v>Crafting component</x:v>
      </x:c>
      <x:c r="I254" s="4" t="str">
        <x:f>IFERROR(INDEX('Material routes'!$G$6:$G$1005,MATCH(V254,'Material routes'!$A$6:$A$1005,0)),"MISSING ID")</x:f>
        <x:v>Crafting components</x:v>
      </x:c>
      <x:c r="J254" s="4" t="str">
        <x:f>IFERROR(INDEX('Material routes'!$B$6:$B$1005,MATCH(U254,'Material routes'!$A$6:$A$1005,0)),"MISSING ID")</x:f>
        <x:v>design.t4.valve_core</x:v>
      </x:c>
      <x:c r="K254" s="4" t="str">
        <x:f>IFERROR(INDEX('Crafting recipes'!$C$6:$C$1005,MATCH(J254,'Crafting recipes'!$A$6:$A$1005,0)),"MISSING ID")</x:f>
        <x:v>Material refinement</x:v>
      </x:c>
      <x:c r="L254" s="4" t="str">
        <x:f>IFERROR(INDEX('Material routes'!$K$6:$K$1005,MATCH(U254,'Material routes'!$A$6:$A$1005,0)),"MISSING ID")</x:f>
        <x:v>Proposal</x:v>
      </x:c>
      <x:c r="M254" s="4" t="str">
        <x:f>IFERROR(INDEX('Material routes'!$M$6:$M$1005,MATCH(U254,'Material routes'!$A$6:$A$1005,0)),"MISSING ID")</x:f>
        <x:v>Partial proposal</x:v>
      </x:c>
      <x:c r="N254" s="4" t="str">
        <x:f>IF(IFERROR(INDEX('Material routes'!$I$6:$I$1005,MATCH(U254,'Material routes'!$A$6:$A$1005,0)),"MISSING ID")=0,"",IFERROR(INDEX('Material routes'!$I$6:$I$1005,MATCH(U254,'Material routes'!$A$6:$A$1005,0)),"MISSING ID"))</x:f>
      </x:c>
      <x:c r="O254" s="4" t="str">
        <x:f>IFERROR(INDEX('Material routes'!$J$6:$J$1005,MATCH(U254,'Material routes'!$A$6:$A$1005,0)),"MISSING ID")</x:f>
        <x:v>Unspecified</x:v>
      </x:c>
      <x:c r="P254" s="4" t="str">
        <x:f>IF(IFERROR(INDEX('Material routes'!$I$6:$I$1005,MATCH(V254,'Material routes'!$A$6:$A$1005,0)),"MISSING ID")=0,"",IFERROR(INDEX('Material routes'!$I$6:$I$1005,MATCH(V254,'Material routes'!$A$6:$A$1005,0)),"MISSING ID"))</x:f>
      </x:c>
      <x:c r="Q254" s="4" t="str">
        <x:f>IFERROR(INDEX('Material routes'!$J$6:$J$1005,MATCH(V254,'Material routes'!$A$6:$A$1005,0)),"MISSING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routes'!$D$6:$D$1005,MATCH(U254,'Material routes'!$A$6:$A$1005,0)),"MISSING ID")</x:f>
        <x:v>proposal.branch.bearing_bronze</x:v>
      </x:c>
      <x:c r="T254" s="4" t="str">
        <x:f>IFERROR(INDEX('Material routes'!$D$6:$D$1005,MATCH(V254,'Material routes'!$A$6:$A$1005,0)),"MISSING ID")</x:f>
        <x:v>proposal.t4.valve_core</x:v>
      </x:c>
      <x:c r="U254" s="4" t="str">
        <x:v>design.t4.valve_core.in.4</x:v>
      </x:c>
      <x:c r="V254" s="4" t="str">
        <x:v>design.t4.valve_core.out</x:v>
      </x:c>
    </x:row>
    <x:row r="255" ht="115" customHeight="1">
      <x:c r="A255" s="4" t="str">
        <x:f>IFERROR(INDEX('Material routes'!$E$6:$E$1005,MATCH(U255,'Material routes'!$A$6:$A$1005,0)),"MISSING ID")</x:f>
        <x:v>Reinforced sealing sheet</x:v>
      </x:c>
      <x:c r="B255" s="4" t="str">
        <x:f>IFERROR(INDEX('Material routes'!$F$6:$F$1005,MATCH(U255,'Material routes'!$A$6:$A$1005,0)),"MISSING ID")</x:f>
        <x:v>T3</x:v>
      </x:c>
      <x:c r="C255" s="4" t="str">
        <x:f>IFERROR(INDEX('Material routes'!$H$6:$H$1005,MATCH(U255,'Material routes'!$A$6:$A$1005,0)),"MISSING ID")</x:f>
        <x:v>Processed material</x:v>
      </x:c>
      <x:c r="D255" s="4" t="str">
        <x:f>IFERROR(INDEX('Material routes'!$G$6:$G$1005,MATCH(U255,'Material routes'!$A$6:$A$1005,0)),"MISSING ID")</x:f>
        <x:v>Resources</x:v>
      </x:c>
      <x:c r="E255" s="4" t="str">
        <x:f>IFERROR(INDEX('Material routes'!$C$6:$C$1005,MATCH(U255,'Material routes'!$A$6:$A$1005,0)),"MISSING ID")</x:f>
        <x:v>Ingredient candidate</x:v>
      </x:c>
      <x:c r="F255" s="4" t="str">
        <x:f>IFERROR(INDEX('Material routes'!$E$6:$E$1005,MATCH(V255,'Material routes'!$A$6:$A$1005,0)),"MISSING ID")</x:f>
        <x:v>Replaceable seal-carrier assembly</x:v>
      </x:c>
      <x:c r="G255" s="4" t="str">
        <x:f>IFERROR(INDEX('Material routes'!$F$6:$F$1005,MATCH(V255,'Material routes'!$A$6:$A$1005,0)),"MISSING ID")</x:f>
        <x:v>T4</x:v>
      </x:c>
      <x:c r="H255" s="4" t="str">
        <x:f>IFERROR(INDEX('Material routes'!$H$6:$H$1005,MATCH(V255,'Material routes'!$A$6:$A$1005,0)),"MISSING ID")</x:f>
        <x:v>Crafting component</x:v>
      </x:c>
      <x:c r="I255" s="4" t="str">
        <x:f>IFERROR(INDEX('Material routes'!$G$6:$G$1005,MATCH(V255,'Material routes'!$A$6:$A$1005,0)),"MISSING ID")</x:f>
        <x:v>Crafting components</x:v>
      </x:c>
      <x:c r="J255" s="4" t="str">
        <x:f>IFERROR(INDEX('Material routes'!$B$6:$B$1005,MATCH(U255,'Material routes'!$A$6:$A$1005,0)),"MISSING ID")</x:f>
        <x:v>design.t4.seal_carrier</x:v>
      </x:c>
      <x:c r="K255" s="4" t="str">
        <x:f>IFERROR(INDEX('Crafting recipes'!$C$6:$C$1005,MATCH(J255,'Crafting recipes'!$A$6:$A$1005,0)),"MISSING ID")</x:f>
        <x:v>Material refinement</x:v>
      </x:c>
      <x:c r="L255" s="4" t="str">
        <x:f>IFERROR(INDEX('Material routes'!$K$6:$K$1005,MATCH(U255,'Material routes'!$A$6:$A$1005,0)),"MISSING ID")</x:f>
        <x:v>Proposal</x:v>
      </x:c>
      <x:c r="M255" s="4" t="str">
        <x:f>IFERROR(INDEX('Material routes'!$M$6:$M$1005,MATCH(U255,'Material routes'!$A$6:$A$1005,0)),"MISSING ID")</x:f>
        <x:v>Partial proposal</x:v>
      </x:c>
      <x:c r="N255" s="4" t="str">
        <x:f>IF(IFERROR(INDEX('Material routes'!$I$6:$I$1005,MATCH(U255,'Material routes'!$A$6:$A$1005,0)),"MISSING ID")=0,"",IFERROR(INDEX('Material routes'!$I$6:$I$1005,MATCH(U255,'Material routes'!$A$6:$A$1005,0)),"MISSING ID"))</x:f>
      </x:c>
      <x:c r="O255" s="4" t="str">
        <x:f>IFERROR(INDEX('Material routes'!$J$6:$J$1005,MATCH(U255,'Material routes'!$A$6:$A$1005,0)),"MISSING ID")</x:f>
        <x:v>Unspecified</x:v>
      </x:c>
      <x:c r="P255" s="4" t="str">
        <x:f>IF(IFERROR(INDEX('Material routes'!$I$6:$I$1005,MATCH(V255,'Material routes'!$A$6:$A$1005,0)),"MISSING ID")=0,"",IFERROR(INDEX('Material routes'!$I$6:$I$1005,MATCH(V255,'Material routes'!$A$6:$A$1005,0)),"MISSING ID"))</x:f>
      </x:c>
      <x:c r="Q255" s="4" t="str">
        <x:f>IFERROR(INDEX('Material routes'!$J$6:$J$1005,MATCH(V255,'Material routes'!$A$6:$A$1005,0)),"MISSING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routes'!$D$6:$D$1005,MATCH(U255,'Material routes'!$A$6:$A$1005,0)),"MISSING ID")</x:f>
        <x:v>proposal.branch.sealing_sheet</x:v>
      </x:c>
      <x:c r="T255" s="4" t="str">
        <x:f>IFERROR(INDEX('Material routes'!$D$6:$D$1005,MATCH(V255,'Material routes'!$A$6:$A$1005,0)),"MISSING ID")</x:f>
        <x:v>proposal.t4.seal_carrier</x:v>
      </x:c>
      <x:c r="U255" s="4" t="str">
        <x:v>design.t4.seal_carrier.in.1</x:v>
      </x:c>
      <x:c r="V255" s="4" t="str">
        <x:v>design.t4.seal_carrier.out</x:v>
      </x:c>
    </x:row>
    <x:row r="256" ht="115" customHeight="1">
      <x:c r="A256" s="4" t="str">
        <x:f>IFERROR(INDEX('Material routes'!$E$6:$E$1005,MATCH(U256,'Material routes'!$A$6:$A$1005,0)),"MISSING ID")</x:f>
        <x:v>Husk-reinforced packing stock</x:v>
      </x:c>
      <x:c r="B256" s="4" t="str">
        <x:f>IFERROR(INDEX('Material routes'!$F$6:$F$1005,MATCH(U256,'Material routes'!$A$6:$A$1005,0)),"MISSING ID")</x:f>
        <x:v>T3</x:v>
      </x:c>
      <x:c r="C256" s="4" t="str">
        <x:f>IFERROR(INDEX('Material routes'!$H$6:$H$1005,MATCH(U256,'Material routes'!$A$6:$A$1005,0)),"MISSING ID")</x:f>
        <x:v>Processed material</x:v>
      </x:c>
      <x:c r="D256" s="4" t="str">
        <x:f>IFERROR(INDEX('Material routes'!$G$6:$G$1005,MATCH(U256,'Material routes'!$A$6:$A$1005,0)),"MISSING ID")</x:f>
        <x:v>Resources</x:v>
      </x:c>
      <x:c r="E256" s="4" t="str">
        <x:f>IFERROR(INDEX('Material routes'!$C$6:$C$1005,MATCH(U256,'Material routes'!$A$6:$A$1005,0)),"MISSING ID")</x:f>
        <x:v>Ingredient candidate</x:v>
      </x:c>
      <x:c r="F256" s="4" t="str">
        <x:f>IFERROR(INDEX('Material routes'!$E$6:$E$1005,MATCH(V256,'Material routes'!$A$6:$A$1005,0)),"MISSING ID")</x:f>
        <x:v>Replaceable seal-carrier assembly</x:v>
      </x:c>
      <x:c r="G256" s="4" t="str">
        <x:f>IFERROR(INDEX('Material routes'!$F$6:$F$1005,MATCH(V256,'Material routes'!$A$6:$A$1005,0)),"MISSING ID")</x:f>
        <x:v>T4</x:v>
      </x:c>
      <x:c r="H256" s="4" t="str">
        <x:f>IFERROR(INDEX('Material routes'!$H$6:$H$1005,MATCH(V256,'Material routes'!$A$6:$A$1005,0)),"MISSING ID")</x:f>
        <x:v>Crafting component</x:v>
      </x:c>
      <x:c r="I256" s="4" t="str">
        <x:f>IFERROR(INDEX('Material routes'!$G$6:$G$1005,MATCH(V256,'Material routes'!$A$6:$A$1005,0)),"MISSING ID")</x:f>
        <x:v>Crafting components</x:v>
      </x:c>
      <x:c r="J256" s="4" t="str">
        <x:f>IFERROR(INDEX('Material routes'!$B$6:$B$1005,MATCH(U256,'Material routes'!$A$6:$A$1005,0)),"MISSING ID")</x:f>
        <x:v>design.t4.seal_carrier</x:v>
      </x:c>
      <x:c r="K256" s="4" t="str">
        <x:f>IFERROR(INDEX('Crafting recipes'!$C$6:$C$1005,MATCH(J256,'Crafting recipes'!$A$6:$A$1005,0)),"MISSING ID")</x:f>
        <x:v>Material refinement</x:v>
      </x:c>
      <x:c r="L256" s="4" t="str">
        <x:f>IFERROR(INDEX('Material routes'!$K$6:$K$1005,MATCH(U256,'Material routes'!$A$6:$A$1005,0)),"MISSING ID")</x:f>
        <x:v>Proposal</x:v>
      </x:c>
      <x:c r="M256" s="4" t="str">
        <x:f>IFERROR(INDEX('Material routes'!$M$6:$M$1005,MATCH(U256,'Material routes'!$A$6:$A$1005,0)),"MISSING ID")</x:f>
        <x:v>Partial proposal</x:v>
      </x:c>
      <x:c r="N256" s="4" t="str">
        <x:f>IF(IFERROR(INDEX('Material routes'!$I$6:$I$1005,MATCH(U256,'Material routes'!$A$6:$A$1005,0)),"MISSING ID")=0,"",IFERROR(INDEX('Material routes'!$I$6:$I$1005,MATCH(U256,'Material routes'!$A$6:$A$1005,0)),"MISSING ID"))</x:f>
      </x:c>
      <x:c r="O256" s="4" t="str">
        <x:f>IFERROR(INDEX('Material routes'!$J$6:$J$1005,MATCH(U256,'Material routes'!$A$6:$A$1005,0)),"MISSING ID")</x:f>
        <x:v>Unspecified</x:v>
      </x:c>
      <x:c r="P256" s="4" t="str">
        <x:f>IF(IFERROR(INDEX('Material routes'!$I$6:$I$1005,MATCH(V256,'Material routes'!$A$6:$A$1005,0)),"MISSING ID")=0,"",IFERROR(INDEX('Material routes'!$I$6:$I$1005,MATCH(V256,'Material routes'!$A$6:$A$1005,0)),"MISSING ID"))</x:f>
      </x:c>
      <x:c r="Q256" s="4" t="str">
        <x:f>IFERROR(INDEX('Material routes'!$J$6:$J$1005,MATCH(V256,'Material routes'!$A$6:$A$1005,0)),"MISSING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routes'!$D$6:$D$1005,MATCH(U256,'Material routes'!$A$6:$A$1005,0)),"MISSING ID")</x:f>
        <x:v>proposal.t3.packing_stock</x:v>
      </x:c>
      <x:c r="T256" s="4" t="str">
        <x:f>IFERROR(INDEX('Material routes'!$D$6:$D$1005,MATCH(V256,'Material routes'!$A$6:$A$1005,0)),"MISSING ID")</x:f>
        <x:v>proposal.t4.seal_carrier</x:v>
      </x:c>
      <x:c r="U256" s="4" t="str">
        <x:v>design.t4.seal_carrier.in.2</x:v>
      </x:c>
      <x:c r="V256" s="4" t="str">
        <x:v>design.t4.seal_carrier.out</x:v>
      </x:c>
    </x:row>
    <x:row r="257" ht="115" customHeight="1">
      <x:c r="A257" s="4" t="str">
        <x:f>IFERROR(INDEX('Material routes'!$E$6:$E$1005,MATCH(U257,'Material routes'!$A$6:$A$1005,0)),"MISSING ID")</x:f>
        <x:v>Spring-grade steel stock</x:v>
      </x:c>
      <x:c r="B257" s="4" t="str">
        <x:f>IFERROR(INDEX('Material routes'!$F$6:$F$1005,MATCH(U257,'Material routes'!$A$6:$A$1005,0)),"MISSING ID")</x:f>
        <x:v>T3</x:v>
      </x:c>
      <x:c r="C257" s="4" t="str">
        <x:f>IFERROR(INDEX('Material routes'!$H$6:$H$1005,MATCH(U257,'Material routes'!$A$6:$A$1005,0)),"MISSING ID")</x:f>
        <x:v>Processed material</x:v>
      </x:c>
      <x:c r="D257" s="4" t="str">
        <x:f>IFERROR(INDEX('Material routes'!$G$6:$G$1005,MATCH(U257,'Material routes'!$A$6:$A$1005,0)),"MISSING ID")</x:f>
        <x:v>Resources</x:v>
      </x:c>
      <x:c r="E257" s="4" t="str">
        <x:f>IFERROR(INDEX('Material routes'!$C$6:$C$1005,MATCH(U257,'Material routes'!$A$6:$A$1005,0)),"MISSING ID")</x:f>
        <x:v>Ingredient candidate</x:v>
      </x:c>
      <x:c r="F257" s="4" t="str">
        <x:f>IFERROR(INDEX('Material routes'!$E$6:$E$1005,MATCH(V257,'Material routes'!$A$6:$A$1005,0)),"MISSING ID")</x:f>
        <x:v>Replaceable seal-carrier assembly</x:v>
      </x:c>
      <x:c r="G257" s="4" t="str">
        <x:f>IFERROR(INDEX('Material routes'!$F$6:$F$1005,MATCH(V257,'Material routes'!$A$6:$A$1005,0)),"MISSING ID")</x:f>
        <x:v>T4</x:v>
      </x:c>
      <x:c r="H257" s="4" t="str">
        <x:f>IFERROR(INDEX('Material routes'!$H$6:$H$1005,MATCH(V257,'Material routes'!$A$6:$A$1005,0)),"MISSING ID")</x:f>
        <x:v>Crafting component</x:v>
      </x:c>
      <x:c r="I257" s="4" t="str">
        <x:f>IFERROR(INDEX('Material routes'!$G$6:$G$1005,MATCH(V257,'Material routes'!$A$6:$A$1005,0)),"MISSING ID")</x:f>
        <x:v>Crafting components</x:v>
      </x:c>
      <x:c r="J257" s="4" t="str">
        <x:f>IFERROR(INDEX('Material routes'!$B$6:$B$1005,MATCH(U257,'Material routes'!$A$6:$A$1005,0)),"MISSING ID")</x:f>
        <x:v>design.t4.seal_carrier</x:v>
      </x:c>
      <x:c r="K257" s="4" t="str">
        <x:f>IFERROR(INDEX('Crafting recipes'!$C$6:$C$1005,MATCH(J257,'Crafting recipes'!$A$6:$A$1005,0)),"MISSING ID")</x:f>
        <x:v>Material refinement</x:v>
      </x:c>
      <x:c r="L257" s="4" t="str">
        <x:f>IFERROR(INDEX('Material routes'!$K$6:$K$1005,MATCH(U257,'Material routes'!$A$6:$A$1005,0)),"MISSING ID")</x:f>
        <x:v>Proposal</x:v>
      </x:c>
      <x:c r="M257" s="4" t="str">
        <x:f>IFERROR(INDEX('Material routes'!$M$6:$M$1005,MATCH(U257,'Material routes'!$A$6:$A$1005,0)),"MISSING ID")</x:f>
        <x:v>Partial proposal</x:v>
      </x:c>
      <x:c r="N257" s="4" t="str">
        <x:f>IF(IFERROR(INDEX('Material routes'!$I$6:$I$1005,MATCH(U257,'Material routes'!$A$6:$A$1005,0)),"MISSING ID")=0,"",IFERROR(INDEX('Material routes'!$I$6:$I$1005,MATCH(U257,'Material routes'!$A$6:$A$1005,0)),"MISSING ID"))</x:f>
      </x:c>
      <x:c r="O257" s="4" t="str">
        <x:f>IFERROR(INDEX('Material routes'!$J$6:$J$1005,MATCH(U257,'Material routes'!$A$6:$A$1005,0)),"MISSING ID")</x:f>
        <x:v>Unspecified</x:v>
      </x:c>
      <x:c r="P257" s="4" t="str">
        <x:f>IF(IFERROR(INDEX('Material routes'!$I$6:$I$1005,MATCH(V257,'Material routes'!$A$6:$A$1005,0)),"MISSING ID")=0,"",IFERROR(INDEX('Material routes'!$I$6:$I$1005,MATCH(V257,'Material routes'!$A$6:$A$1005,0)),"MISSING ID"))</x:f>
      </x:c>
      <x:c r="Q257" s="4" t="str">
        <x:f>IFERROR(INDEX('Material routes'!$J$6:$J$1005,MATCH(V257,'Material routes'!$A$6:$A$1005,0)),"MISSING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routes'!$D$6:$D$1005,MATCH(U257,'Material routes'!$A$6:$A$1005,0)),"MISSING ID")</x:f>
        <x:v>proposal.branch.spring_steel</x:v>
      </x:c>
      <x:c r="T257" s="4" t="str">
        <x:f>IFERROR(INDEX('Material routes'!$D$6:$D$1005,MATCH(V257,'Material routes'!$A$6:$A$1005,0)),"MISSING ID")</x:f>
        <x:v>proposal.t4.seal_carrier</x:v>
      </x:c>
      <x:c r="U257" s="4" t="str">
        <x:v>design.t4.seal_carrier.in.3</x:v>
      </x:c>
      <x:c r="V257" s="4" t="str">
        <x:v>design.t4.seal_carrier.out</x:v>
      </x:c>
    </x:row>
    <x:row r="258" ht="115" customHeight="1">
      <x:c r="A258" s="4" t="str">
        <x:f>IFERROR(INDEX('Material routes'!$E$6:$E$1005,MATCH(U258,'Material routes'!$A$6:$A$1005,0)),"MISSING ID")</x:f>
        <x:v>Drawn steel tube stock</x:v>
      </x:c>
      <x:c r="B258" s="4" t="str">
        <x:f>IFERROR(INDEX('Material routes'!$F$6:$F$1005,MATCH(U258,'Material routes'!$A$6:$A$1005,0)),"MISSING ID")</x:f>
        <x:v>T3</x:v>
      </x:c>
      <x:c r="C258" s="4" t="str">
        <x:f>IFERROR(INDEX('Material routes'!$H$6:$H$1005,MATCH(U258,'Material routes'!$A$6:$A$1005,0)),"MISSING ID")</x:f>
        <x:v>Processed material</x:v>
      </x:c>
      <x:c r="D258" s="4" t="str">
        <x:f>IFERROR(INDEX('Material routes'!$G$6:$G$1005,MATCH(U258,'Material routes'!$A$6:$A$1005,0)),"MISSING ID")</x:f>
        <x:v>Resources</x:v>
      </x:c>
      <x:c r="E258" s="4" t="str">
        <x:f>IFERROR(INDEX('Material routes'!$C$6:$C$1005,MATCH(U258,'Material routes'!$A$6:$A$1005,0)),"MISSING ID")</x:f>
        <x:v>Ingredient candidate</x:v>
      </x:c>
      <x:c r="F258" s="4" t="str">
        <x:f>IFERROR(INDEX('Material routes'!$E$6:$E$1005,MATCH(V258,'Material routes'!$A$6:$A$1005,0)),"MISSING ID")</x:f>
        <x:v>Collapsible sail-spar joint kit</x:v>
      </x:c>
      <x:c r="G258" s="4" t="str">
        <x:f>IFERROR(INDEX('Material routes'!$F$6:$F$1005,MATCH(V258,'Material routes'!$A$6:$A$1005,0)),"MISSING ID")</x:f>
        <x:v>T4</x:v>
      </x:c>
      <x:c r="H258" s="4" t="str">
        <x:f>IFERROR(INDEX('Material routes'!$H$6:$H$1005,MATCH(V258,'Material routes'!$A$6:$A$1005,0)),"MISSING ID")</x:f>
        <x:v>Crafting component</x:v>
      </x:c>
      <x:c r="I258" s="4" t="str">
        <x:f>IFERROR(INDEX('Material routes'!$G$6:$G$1005,MATCH(V258,'Material routes'!$A$6:$A$1005,0)),"MISSING ID")</x:f>
        <x:v>Crafting components</x:v>
      </x:c>
      <x:c r="J258" s="4" t="str">
        <x:f>IFERROR(INDEX('Material routes'!$B$6:$B$1005,MATCH(U258,'Material routes'!$A$6:$A$1005,0)),"MISSING ID")</x:f>
        <x:v>design.t4.spar_joint</x:v>
      </x:c>
      <x:c r="K258" s="4" t="str">
        <x:f>IFERROR(INDEX('Crafting recipes'!$C$6:$C$1005,MATCH(J258,'Crafting recipes'!$A$6:$A$1005,0)),"MISSING ID")</x:f>
        <x:v>Material refinement</x:v>
      </x:c>
      <x:c r="L258" s="4" t="str">
        <x:f>IFERROR(INDEX('Material routes'!$K$6:$K$1005,MATCH(U258,'Material routes'!$A$6:$A$1005,0)),"MISSING ID")</x:f>
        <x:v>Proposal</x:v>
      </x:c>
      <x:c r="M258" s="4" t="str">
        <x:f>IFERROR(INDEX('Material routes'!$M$6:$M$1005,MATCH(U258,'Material routes'!$A$6:$A$1005,0)),"MISSING ID")</x:f>
        <x:v>Partial proposal</x:v>
      </x:c>
      <x:c r="N258" s="4" t="str">
        <x:f>IF(IFERROR(INDEX('Material routes'!$I$6:$I$1005,MATCH(U258,'Material routes'!$A$6:$A$1005,0)),"MISSING ID")=0,"",IFERROR(INDEX('Material routes'!$I$6:$I$1005,MATCH(U258,'Material routes'!$A$6:$A$1005,0)),"MISSING ID"))</x:f>
      </x:c>
      <x:c r="O258" s="4" t="str">
        <x:f>IFERROR(INDEX('Material routes'!$J$6:$J$1005,MATCH(U258,'Material routes'!$A$6:$A$1005,0)),"MISSING ID")</x:f>
        <x:v>Unspecified</x:v>
      </x:c>
      <x:c r="P258" s="4" t="str">
        <x:f>IF(IFERROR(INDEX('Material routes'!$I$6:$I$1005,MATCH(V258,'Material routes'!$A$6:$A$1005,0)),"MISSING ID")=0,"",IFERROR(INDEX('Material routes'!$I$6:$I$1005,MATCH(V258,'Material routes'!$A$6:$A$1005,0)),"MISSING ID"))</x:f>
      </x:c>
      <x:c r="Q258" s="4" t="str">
        <x:f>IFERROR(INDEX('Material routes'!$J$6:$J$1005,MATCH(V258,'Material routes'!$A$6:$A$1005,0)),"MISSING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routes'!$D$6:$D$1005,MATCH(U258,'Material routes'!$A$6:$A$1005,0)),"MISSING ID")</x:f>
        <x:v>proposal.t3.precision_tube</x:v>
      </x:c>
      <x:c r="T258" s="4" t="str">
        <x:f>IFERROR(INDEX('Material routes'!$D$6:$D$1005,MATCH(V258,'Material routes'!$A$6:$A$1005,0)),"MISSING ID")</x:f>
        <x:v>proposal.t4.spar_joint</x:v>
      </x:c>
      <x:c r="U258" s="4" t="str">
        <x:v>design.t4.spar_joint.in.1</x:v>
      </x:c>
      <x:c r="V258" s="4" t="str">
        <x:v>design.t4.spar_joint.out</x:v>
      </x:c>
    </x:row>
    <x:row r="259" ht="115" customHeight="1">
      <x:c r="A259" s="4" t="str">
        <x:f>IFERROR(INDEX('Material routes'!$E$6:$E$1005,MATCH(U259,'Material routes'!$A$6:$A$1005,0)),"MISSING ID")</x:f>
        <x:v>Spring-grade steel stock</x:v>
      </x:c>
      <x:c r="B259" s="4" t="str">
        <x:f>IFERROR(INDEX('Material routes'!$F$6:$F$1005,MATCH(U259,'Material routes'!$A$6:$A$1005,0)),"MISSING ID")</x:f>
        <x:v>T3</x:v>
      </x:c>
      <x:c r="C259" s="4" t="str">
        <x:f>IFERROR(INDEX('Material routes'!$H$6:$H$1005,MATCH(U259,'Material routes'!$A$6:$A$1005,0)),"MISSING ID")</x:f>
        <x:v>Processed material</x:v>
      </x:c>
      <x:c r="D259" s="4" t="str">
        <x:f>IFERROR(INDEX('Material routes'!$G$6:$G$1005,MATCH(U259,'Material routes'!$A$6:$A$1005,0)),"MISSING ID")</x:f>
        <x:v>Resources</x:v>
      </x:c>
      <x:c r="E259" s="4" t="str">
        <x:f>IFERROR(INDEX('Material routes'!$C$6:$C$1005,MATCH(U259,'Material routes'!$A$6:$A$1005,0)),"MISSING ID")</x:f>
        <x:v>Ingredient candidate</x:v>
      </x:c>
      <x:c r="F259" s="4" t="str">
        <x:f>IFERROR(INDEX('Material routes'!$E$6:$E$1005,MATCH(V259,'Material routes'!$A$6:$A$1005,0)),"MISSING ID")</x:f>
        <x:v>Collapsible sail-spar joint kit</x:v>
      </x:c>
      <x:c r="G259" s="4" t="str">
        <x:f>IFERROR(INDEX('Material routes'!$F$6:$F$1005,MATCH(V259,'Material routes'!$A$6:$A$1005,0)),"MISSING ID")</x:f>
        <x:v>T4</x:v>
      </x:c>
      <x:c r="H259" s="4" t="str">
        <x:f>IFERROR(INDEX('Material routes'!$H$6:$H$1005,MATCH(V259,'Material routes'!$A$6:$A$1005,0)),"MISSING ID")</x:f>
        <x:v>Crafting component</x:v>
      </x:c>
      <x:c r="I259" s="4" t="str">
        <x:f>IFERROR(INDEX('Material routes'!$G$6:$G$1005,MATCH(V259,'Material routes'!$A$6:$A$1005,0)),"MISSING ID")</x:f>
        <x:v>Crafting components</x:v>
      </x:c>
      <x:c r="J259" s="4" t="str">
        <x:f>IFERROR(INDEX('Material routes'!$B$6:$B$1005,MATCH(U259,'Material routes'!$A$6:$A$1005,0)),"MISSING ID")</x:f>
        <x:v>design.t4.spar_joint</x:v>
      </x:c>
      <x:c r="K259" s="4" t="str">
        <x:f>IFERROR(INDEX('Crafting recipes'!$C$6:$C$1005,MATCH(J259,'Crafting recipes'!$A$6:$A$1005,0)),"MISSING ID")</x:f>
        <x:v>Material refinement</x:v>
      </x:c>
      <x:c r="L259" s="4" t="str">
        <x:f>IFERROR(INDEX('Material routes'!$K$6:$K$1005,MATCH(U259,'Material routes'!$A$6:$A$1005,0)),"MISSING ID")</x:f>
        <x:v>Proposal</x:v>
      </x:c>
      <x:c r="M259" s="4" t="str">
        <x:f>IFERROR(INDEX('Material routes'!$M$6:$M$1005,MATCH(U259,'Material routes'!$A$6:$A$1005,0)),"MISSING ID")</x:f>
        <x:v>Partial proposal</x:v>
      </x:c>
      <x:c r="N259" s="4" t="str">
        <x:f>IF(IFERROR(INDEX('Material routes'!$I$6:$I$1005,MATCH(U259,'Material routes'!$A$6:$A$1005,0)),"MISSING ID")=0,"",IFERROR(INDEX('Material routes'!$I$6:$I$1005,MATCH(U259,'Material routes'!$A$6:$A$1005,0)),"MISSING ID"))</x:f>
      </x:c>
      <x:c r="O259" s="4" t="str">
        <x:f>IFERROR(INDEX('Material routes'!$J$6:$J$1005,MATCH(U259,'Material routes'!$A$6:$A$1005,0)),"MISSING ID")</x:f>
        <x:v>Unspecified</x:v>
      </x:c>
      <x:c r="P259" s="4" t="str">
        <x:f>IF(IFERROR(INDEX('Material routes'!$I$6:$I$1005,MATCH(V259,'Material routes'!$A$6:$A$1005,0)),"MISSING ID")=0,"",IFERROR(INDEX('Material routes'!$I$6:$I$1005,MATCH(V259,'Material routes'!$A$6:$A$1005,0)),"MISSING ID"))</x:f>
      </x:c>
      <x:c r="Q259" s="4" t="str">
        <x:f>IFERROR(INDEX('Material routes'!$J$6:$J$1005,MATCH(V259,'Material routes'!$A$6:$A$1005,0)),"MISSING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routes'!$D$6:$D$1005,MATCH(U259,'Material routes'!$A$6:$A$1005,0)),"MISSING ID")</x:f>
        <x:v>proposal.branch.spring_steel</x:v>
      </x:c>
      <x:c r="T259" s="4" t="str">
        <x:f>IFERROR(INDEX('Material routes'!$D$6:$D$1005,MATCH(V259,'Material routes'!$A$6:$A$1005,0)),"MISSING ID")</x:f>
        <x:v>proposal.t4.spar_joint</x:v>
      </x:c>
      <x:c r="U259" s="4" t="str">
        <x:v>design.t4.spar_joint.in.2</x:v>
      </x:c>
      <x:c r="V259" s="4" t="str">
        <x:v>design.t4.spar_joint.out</x:v>
      </x:c>
    </x:row>
    <x:row r="260" ht="115" customHeight="1">
      <x:c r="A260" s="4" t="str">
        <x:f>IFERROR(INDEX('Material routes'!$E$6:$E$1005,MATCH(U260,'Material routes'!$A$6:$A$1005,0)),"MISSING ID")</x:f>
        <x:v>Prepared bronze bearing stock</x:v>
      </x:c>
      <x:c r="B260" s="4" t="str">
        <x:f>IFERROR(INDEX('Material routes'!$F$6:$F$1005,MATCH(U260,'Material routes'!$A$6:$A$1005,0)),"MISSING ID")</x:f>
        <x:v>T2</x:v>
      </x:c>
      <x:c r="C260" s="4" t="str">
        <x:f>IFERROR(INDEX('Material routes'!$H$6:$H$1005,MATCH(U260,'Material routes'!$A$6:$A$1005,0)),"MISSING ID")</x:f>
        <x:v>Processed material</x:v>
      </x:c>
      <x:c r="D260" s="4" t="str">
        <x:f>IFERROR(INDEX('Material routes'!$G$6:$G$1005,MATCH(U260,'Material routes'!$A$6:$A$1005,0)),"MISSING ID")</x:f>
        <x:v>Resources</x:v>
      </x:c>
      <x:c r="E260" s="4" t="str">
        <x:f>IFERROR(INDEX('Material routes'!$C$6:$C$1005,MATCH(U260,'Material routes'!$A$6:$A$1005,0)),"MISSING ID")</x:f>
        <x:v>Ingredient candidate</x:v>
      </x:c>
      <x:c r="F260" s="4" t="str">
        <x:f>IFERROR(INDEX('Material routes'!$E$6:$E$1005,MATCH(V260,'Material routes'!$A$6:$A$1005,0)),"MISSING ID")</x:f>
        <x:v>Collapsible sail-spar joint kit</x:v>
      </x:c>
      <x:c r="G260" s="4" t="str">
        <x:f>IFERROR(INDEX('Material routes'!$F$6:$F$1005,MATCH(V260,'Material routes'!$A$6:$A$1005,0)),"MISSING ID")</x:f>
        <x:v>T4</x:v>
      </x:c>
      <x:c r="H260" s="4" t="str">
        <x:f>IFERROR(INDEX('Material routes'!$H$6:$H$1005,MATCH(V260,'Material routes'!$A$6:$A$1005,0)),"MISSING ID")</x:f>
        <x:v>Crafting component</x:v>
      </x:c>
      <x:c r="I260" s="4" t="str">
        <x:f>IFERROR(INDEX('Material routes'!$G$6:$G$1005,MATCH(V260,'Material routes'!$A$6:$A$1005,0)),"MISSING ID")</x:f>
        <x:v>Crafting components</x:v>
      </x:c>
      <x:c r="J260" s="4" t="str">
        <x:f>IFERROR(INDEX('Material routes'!$B$6:$B$1005,MATCH(U260,'Material routes'!$A$6:$A$1005,0)),"MISSING ID")</x:f>
        <x:v>design.t4.spar_joint</x:v>
      </x:c>
      <x:c r="K260" s="4" t="str">
        <x:f>IFERROR(INDEX('Crafting recipes'!$C$6:$C$1005,MATCH(J260,'Crafting recipes'!$A$6:$A$1005,0)),"MISSING ID")</x:f>
        <x:v>Material refinement</x:v>
      </x:c>
      <x:c r="L260" s="4" t="str">
        <x:f>IFERROR(INDEX('Material routes'!$K$6:$K$1005,MATCH(U260,'Material routes'!$A$6:$A$1005,0)),"MISSING ID")</x:f>
        <x:v>Proposal</x:v>
      </x:c>
      <x:c r="M260" s="4" t="str">
        <x:f>IFERROR(INDEX('Material routes'!$M$6:$M$1005,MATCH(U260,'Material routes'!$A$6:$A$1005,0)),"MISSING ID")</x:f>
        <x:v>Partial proposal</x:v>
      </x:c>
      <x:c r="N260" s="4" t="str">
        <x:f>IF(IFERROR(INDEX('Material routes'!$I$6:$I$1005,MATCH(U260,'Material routes'!$A$6:$A$1005,0)),"MISSING ID")=0,"",IFERROR(INDEX('Material routes'!$I$6:$I$1005,MATCH(U260,'Material routes'!$A$6:$A$1005,0)),"MISSING ID"))</x:f>
      </x:c>
      <x:c r="O260" s="4" t="str">
        <x:f>IFERROR(INDEX('Material routes'!$J$6:$J$1005,MATCH(U260,'Material routes'!$A$6:$A$1005,0)),"MISSING ID")</x:f>
        <x:v>Unspecified</x:v>
      </x:c>
      <x:c r="P260" s="4" t="str">
        <x:f>IF(IFERROR(INDEX('Material routes'!$I$6:$I$1005,MATCH(V260,'Material routes'!$A$6:$A$1005,0)),"MISSING ID")=0,"",IFERROR(INDEX('Material routes'!$I$6:$I$1005,MATCH(V260,'Material routes'!$A$6:$A$1005,0)),"MISSING ID"))</x:f>
      </x:c>
      <x:c r="Q260" s="4" t="str">
        <x:f>IFERROR(INDEX('Material routes'!$J$6:$J$1005,MATCH(V260,'Material routes'!$A$6:$A$1005,0)),"MISSING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routes'!$D$6:$D$1005,MATCH(U260,'Material routes'!$A$6:$A$1005,0)),"MISSING ID")</x:f>
        <x:v>proposal.branch.bearing_bronze</x:v>
      </x:c>
      <x:c r="T260" s="4" t="str">
        <x:f>IFERROR(INDEX('Material routes'!$D$6:$D$1005,MATCH(V260,'Material routes'!$A$6:$A$1005,0)),"MISSING ID")</x:f>
        <x:v>proposal.t4.spar_joint</x:v>
      </x:c>
      <x:c r="U260" s="4" t="str">
        <x:v>design.t4.spar_joint.in.3</x:v>
      </x:c>
      <x:c r="V260" s="4" t="str">
        <x:v>design.t4.spar_joint.out</x:v>
      </x:c>
    </x:row>
    <x:row r="261" ht="115" customHeight="1">
      <x:c r="A261" s="4" t="str">
        <x:f>IFERROR(INDEX('Material routes'!$E$6:$E$1005,MATCH(U261,'Material routes'!$A$6:$A$1005,0)),"MISSING ID")</x:f>
        <x:v>Matched folding wing-panel sets</x:v>
      </x:c>
      <x:c r="B261" s="4" t="str">
        <x:f>IFERROR(INDEX('Material routes'!$F$6:$F$1005,MATCH(U261,'Material routes'!$A$6:$A$1005,0)),"MISSING ID")</x:f>
        <x:v>T3</x:v>
      </x:c>
      <x:c r="C261" s="4" t="str">
        <x:f>IFERROR(INDEX('Material routes'!$H$6:$H$1005,MATCH(U261,'Material routes'!$A$6:$A$1005,0)),"MISSING ID")</x:f>
        <x:v>Crafting component</x:v>
      </x:c>
      <x:c r="D261" s="4" t="str">
        <x:f>IFERROR(INDEX('Material routes'!$G$6:$G$1005,MATCH(U261,'Material routes'!$A$6:$A$1005,0)),"MISSING ID")</x:f>
        <x:v>Crafting components</x:v>
      </x:c>
      <x:c r="E261" s="4" t="str">
        <x:f>IFERROR(INDEX('Material routes'!$C$6:$C$1005,MATCH(U261,'Material routes'!$A$6:$A$1005,0)),"MISSING ID")</x:f>
        <x:v>Ingredient candidate</x:v>
      </x:c>
      <x:c r="F261" s="4" t="str">
        <x:f>IFERROR(INDEX('Material routes'!$E$6:$E$1005,MATCH(V261,'Material routes'!$A$6:$A$1005,0)),"MISSING ID")</x:f>
        <x:v>Joined folding wing-panel assembly</x:v>
      </x:c>
      <x:c r="G261" s="4" t="str">
        <x:f>IFERROR(INDEX('Material routes'!$F$6:$F$1005,MATCH(V261,'Material routes'!$A$6:$A$1005,0)),"MISSING ID")</x:f>
        <x:v>T4</x:v>
      </x:c>
      <x:c r="H261" s="4" t="str">
        <x:f>IFERROR(INDEX('Material routes'!$H$6:$H$1005,MATCH(V261,'Material routes'!$A$6:$A$1005,0)),"MISSING ID")</x:f>
        <x:v>Crafting component</x:v>
      </x:c>
      <x:c r="I261" s="4" t="str">
        <x:f>IFERROR(INDEX('Material routes'!$G$6:$G$1005,MATCH(V261,'Material routes'!$A$6:$A$1005,0)),"MISSING ID")</x:f>
        <x:v>Crafting components</x:v>
      </x:c>
      <x:c r="J261" s="4" t="str">
        <x:f>IFERROR(INDEX('Material routes'!$B$6:$B$1005,MATCH(U261,'Material routes'!$A$6:$A$1005,0)),"MISSING ID")</x:f>
        <x:v>design.t4.joined_wing_panels</x:v>
      </x:c>
      <x:c r="K261" s="4" t="str">
        <x:f>IFERROR(INDEX('Crafting recipes'!$C$6:$C$1005,MATCH(J261,'Crafting recipes'!$A$6:$A$1005,0)),"MISSING ID")</x:f>
        <x:v>Material refinement</x:v>
      </x:c>
      <x:c r="L261" s="4" t="str">
        <x:f>IFERROR(INDEX('Material routes'!$K$6:$K$1005,MATCH(U261,'Material routes'!$A$6:$A$1005,0)),"MISSING ID")</x:f>
        <x:v>Proposal</x:v>
      </x:c>
      <x:c r="M261" s="4" t="str">
        <x:f>IFERROR(INDEX('Material routes'!$M$6:$M$1005,MATCH(U261,'Material routes'!$A$6:$A$1005,0)),"MISSING ID")</x:f>
        <x:v>Partial proposal</x:v>
      </x:c>
      <x:c r="N261" s="4" t="str">
        <x:f>IF(IFERROR(INDEX('Material routes'!$I$6:$I$1005,MATCH(U261,'Material routes'!$A$6:$A$1005,0)),"MISSING ID")=0,"",IFERROR(INDEX('Material routes'!$I$6:$I$1005,MATCH(U261,'Material routes'!$A$6:$A$1005,0)),"MISSING ID"))</x:f>
      </x:c>
      <x:c r="O261" s="4" t="str">
        <x:f>IFERROR(INDEX('Material routes'!$J$6:$J$1005,MATCH(U261,'Material routes'!$A$6:$A$1005,0)),"MISSING ID")</x:f>
        <x:v>Unspecified</x:v>
      </x:c>
      <x:c r="P261" s="4" t="str">
        <x:f>IF(IFERROR(INDEX('Material routes'!$I$6:$I$1005,MATCH(V261,'Material routes'!$A$6:$A$1005,0)),"MISSING ID")=0,"",IFERROR(INDEX('Material routes'!$I$6:$I$1005,MATCH(V261,'Material routes'!$A$6:$A$1005,0)),"MISSING ID"))</x:f>
      </x:c>
      <x:c r="Q261" s="4" t="str">
        <x:f>IFERROR(INDEX('Material routes'!$J$6:$J$1005,MATCH(V261,'Material routes'!$A$6:$A$1005,0)),"MISSING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routes'!$D$6:$D$1005,MATCH(U261,'Material routes'!$A$6:$A$1005,0)),"MISSING ID")</x:f>
        <x:v>proposal.t3.sail_panel_set</x:v>
      </x:c>
      <x:c r="T261" s="4" t="str">
        <x:f>IFERROR(INDEX('Material routes'!$D$6:$D$1005,MATCH(V261,'Material routes'!$A$6:$A$1005,0)),"MISSING ID")</x:f>
        <x:v>proposal.t4.joined_wing_panels</x:v>
      </x:c>
      <x:c r="U261" s="4" t="str">
        <x:v>design.t4.joined_wing_panels.in.1</x:v>
      </x:c>
      <x:c r="V261" s="4" t="str">
        <x:v>design.t4.joined_wing_panels.out</x:v>
      </x:c>
    </x:row>
    <x:row r="262" ht="115" customHeight="1">
      <x:c r="A262" s="4" t="str">
        <x:f>IFERROR(INDEX('Material routes'!$E$6:$E$1005,MATCH(U262,'Material routes'!$A$6:$A$1005,0)),"MISSING ID")</x:f>
        <x:v>Bonded wing-seam reinforcement strips</x:v>
      </x:c>
      <x:c r="B262" s="4" t="str">
        <x:f>IFERROR(INDEX('Material routes'!$F$6:$F$1005,MATCH(U262,'Material routes'!$A$6:$A$1005,0)),"MISSING ID")</x:f>
        <x:v>T3</x:v>
      </x:c>
      <x:c r="C262" s="4" t="str">
        <x:f>IFERROR(INDEX('Material routes'!$H$6:$H$1005,MATCH(U262,'Material routes'!$A$6:$A$1005,0)),"MISSING ID")</x:f>
        <x:v>Processed material</x:v>
      </x:c>
      <x:c r="D262" s="4" t="str">
        <x:f>IFERROR(INDEX('Material routes'!$G$6:$G$1005,MATCH(U262,'Material routes'!$A$6:$A$1005,0)),"MISSING ID")</x:f>
        <x:v>Resources</x:v>
      </x:c>
      <x:c r="E262" s="4" t="str">
        <x:f>IFERROR(INDEX('Material routes'!$C$6:$C$1005,MATCH(U262,'Material routes'!$A$6:$A$1005,0)),"MISSING ID")</x:f>
        <x:v>Ingredient candidate</x:v>
      </x:c>
      <x:c r="F262" s="4" t="str">
        <x:f>IFERROR(INDEX('Material routes'!$E$6:$E$1005,MATCH(V262,'Material routes'!$A$6:$A$1005,0)),"MISSING ID")</x:f>
        <x:v>Joined folding wing-panel assembly</x:v>
      </x:c>
      <x:c r="G262" s="4" t="str">
        <x:f>IFERROR(INDEX('Material routes'!$F$6:$F$1005,MATCH(V262,'Material routes'!$A$6:$A$1005,0)),"MISSING ID")</x:f>
        <x:v>T4</x:v>
      </x:c>
      <x:c r="H262" s="4" t="str">
        <x:f>IFERROR(INDEX('Material routes'!$H$6:$H$1005,MATCH(V262,'Material routes'!$A$6:$A$1005,0)),"MISSING ID")</x:f>
        <x:v>Crafting component</x:v>
      </x:c>
      <x:c r="I262" s="4" t="str">
        <x:f>IFERROR(INDEX('Material routes'!$G$6:$G$1005,MATCH(V262,'Material routes'!$A$6:$A$1005,0)),"MISSING ID")</x:f>
        <x:v>Crafting components</x:v>
      </x:c>
      <x:c r="J262" s="4" t="str">
        <x:f>IFERROR(INDEX('Material routes'!$B$6:$B$1005,MATCH(U262,'Material routes'!$A$6:$A$1005,0)),"MISSING ID")</x:f>
        <x:v>design.t4.joined_wing_panels</x:v>
      </x:c>
      <x:c r="K262" s="4" t="str">
        <x:f>IFERROR(INDEX('Crafting recipes'!$C$6:$C$1005,MATCH(J262,'Crafting recipes'!$A$6:$A$1005,0)),"MISSING ID")</x:f>
        <x:v>Material refinement</x:v>
      </x:c>
      <x:c r="L262" s="4" t="str">
        <x:f>IFERROR(INDEX('Material routes'!$K$6:$K$1005,MATCH(U262,'Material routes'!$A$6:$A$1005,0)),"MISSING ID")</x:f>
        <x:v>Proposal</x:v>
      </x:c>
      <x:c r="M262" s="4" t="str">
        <x:f>IFERROR(INDEX('Material routes'!$M$6:$M$1005,MATCH(U262,'Material routes'!$A$6:$A$1005,0)),"MISSING ID")</x:f>
        <x:v>Partial proposal</x:v>
      </x:c>
      <x:c r="N262" s="4" t="str">
        <x:f>IF(IFERROR(INDEX('Material routes'!$I$6:$I$1005,MATCH(U262,'Material routes'!$A$6:$A$1005,0)),"MISSING ID")=0,"",IFERROR(INDEX('Material routes'!$I$6:$I$1005,MATCH(U262,'Material routes'!$A$6:$A$1005,0)),"MISSING ID"))</x:f>
      </x:c>
      <x:c r="O262" s="4" t="str">
        <x:f>IFERROR(INDEX('Material routes'!$J$6:$J$1005,MATCH(U262,'Material routes'!$A$6:$A$1005,0)),"MISSING ID")</x:f>
        <x:v>Unspecified</x:v>
      </x:c>
      <x:c r="P262" s="4" t="str">
        <x:f>IF(IFERROR(INDEX('Material routes'!$I$6:$I$1005,MATCH(V262,'Material routes'!$A$6:$A$1005,0)),"MISSING ID")=0,"",IFERROR(INDEX('Material routes'!$I$6:$I$1005,MATCH(V262,'Material routes'!$A$6:$A$1005,0)),"MISSING ID"))</x:f>
      </x:c>
      <x:c r="Q262" s="4" t="str">
        <x:f>IFERROR(INDEX('Material routes'!$J$6:$J$1005,MATCH(V262,'Material routes'!$A$6:$A$1005,0)),"MISSING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routes'!$D$6:$D$1005,MATCH(U262,'Material routes'!$A$6:$A$1005,0)),"MISSING ID")</x:f>
        <x:v>proposal.t3.wing_seam</x:v>
      </x:c>
      <x:c r="T262" s="4" t="str">
        <x:f>IFERROR(INDEX('Material routes'!$D$6:$D$1005,MATCH(V262,'Material routes'!$A$6:$A$1005,0)),"MISSING ID")</x:f>
        <x:v>proposal.t4.joined_wing_panels</x:v>
      </x:c>
      <x:c r="U262" s="4" t="str">
        <x:v>design.t4.joined_wing_panels.in.2</x:v>
      </x:c>
      <x:c r="V262" s="4" t="str">
        <x:v>design.t4.joined_wing_panels.out</x:v>
      </x:c>
    </x:row>
    <x:row r="263" ht="115" customHeight="1">
      <x:c r="A263" s="4" t="str">
        <x:f>IFERROR(INDEX('Material routes'!$E$6:$E$1005,MATCH(U263,'Material routes'!$A$6:$A$1005,0)),"MISSING ID")</x:f>
        <x:v>Flexible husk joint strips</x:v>
      </x:c>
      <x:c r="B263" s="4" t="str">
        <x:f>IFERROR(INDEX('Material routes'!$F$6:$F$1005,MATCH(U263,'Material routes'!$A$6:$A$1005,0)),"MISSING ID")</x:f>
        <x:v>T3</x:v>
      </x:c>
      <x:c r="C263" s="4" t="str">
        <x:f>IFERROR(INDEX('Material routes'!$H$6:$H$1005,MATCH(U263,'Material routes'!$A$6:$A$1005,0)),"MISSING ID")</x:f>
        <x:v>Processed material</x:v>
      </x:c>
      <x:c r="D263" s="4" t="str">
        <x:f>IFERROR(INDEX('Material routes'!$G$6:$G$1005,MATCH(U263,'Material routes'!$A$6:$A$1005,0)),"MISSING ID")</x:f>
        <x:v>Resources</x:v>
      </x:c>
      <x:c r="E263" s="4" t="str">
        <x:f>IFERROR(INDEX('Material routes'!$C$6:$C$1005,MATCH(U263,'Material routes'!$A$6:$A$1005,0)),"MISSING ID")</x:f>
        <x:v>Ingredient candidate</x:v>
      </x:c>
      <x:c r="F263" s="4" t="str">
        <x:f>IFERROR(INDEX('Material routes'!$E$6:$E$1005,MATCH(V263,'Material routes'!$A$6:$A$1005,0)),"MISSING ID")</x:f>
        <x:v>Joined folding wing-panel assembly</x:v>
      </x:c>
      <x:c r="G263" s="4" t="str">
        <x:f>IFERROR(INDEX('Material routes'!$F$6:$F$1005,MATCH(V263,'Material routes'!$A$6:$A$1005,0)),"MISSING ID")</x:f>
        <x:v>T4</x:v>
      </x:c>
      <x:c r="H263" s="4" t="str">
        <x:f>IFERROR(INDEX('Material routes'!$H$6:$H$1005,MATCH(V263,'Material routes'!$A$6:$A$1005,0)),"MISSING ID")</x:f>
        <x:v>Crafting component</x:v>
      </x:c>
      <x:c r="I263" s="4" t="str">
        <x:f>IFERROR(INDEX('Material routes'!$G$6:$G$1005,MATCH(V263,'Material routes'!$A$6:$A$1005,0)),"MISSING ID")</x:f>
        <x:v>Crafting components</x:v>
      </x:c>
      <x:c r="J263" s="4" t="str">
        <x:f>IFERROR(INDEX('Material routes'!$B$6:$B$1005,MATCH(U263,'Material routes'!$A$6:$A$1005,0)),"MISSING ID")</x:f>
        <x:v>design.t4.joined_wing_panels</x:v>
      </x:c>
      <x:c r="K263" s="4" t="str">
        <x:f>IFERROR(INDEX('Crafting recipes'!$C$6:$C$1005,MATCH(J263,'Crafting recipes'!$A$6:$A$1005,0)),"MISSING ID")</x:f>
        <x:v>Material refinement</x:v>
      </x:c>
      <x:c r="L263" s="4" t="str">
        <x:f>IFERROR(INDEX('Material routes'!$K$6:$K$1005,MATCH(U263,'Material routes'!$A$6:$A$1005,0)),"MISSING ID")</x:f>
        <x:v>Proposal</x:v>
      </x:c>
      <x:c r="M263" s="4" t="str">
        <x:f>IFERROR(INDEX('Material routes'!$M$6:$M$1005,MATCH(U263,'Material routes'!$A$6:$A$1005,0)),"MISSING ID")</x:f>
        <x:v>Partial proposal</x:v>
      </x:c>
      <x:c r="N263" s="4" t="str">
        <x:f>IF(IFERROR(INDEX('Material routes'!$I$6:$I$1005,MATCH(U263,'Material routes'!$A$6:$A$1005,0)),"MISSING ID")=0,"",IFERROR(INDEX('Material routes'!$I$6:$I$1005,MATCH(U263,'Material routes'!$A$6:$A$1005,0)),"MISSING ID"))</x:f>
      </x:c>
      <x:c r="O263" s="4" t="str">
        <x:f>IFERROR(INDEX('Material routes'!$J$6:$J$1005,MATCH(U263,'Material routes'!$A$6:$A$1005,0)),"MISSING ID")</x:f>
        <x:v>Unspecified</x:v>
      </x:c>
      <x:c r="P263" s="4" t="str">
        <x:f>IF(IFERROR(INDEX('Material routes'!$I$6:$I$1005,MATCH(V263,'Material routes'!$A$6:$A$1005,0)),"MISSING ID")=0,"",IFERROR(INDEX('Material routes'!$I$6:$I$1005,MATCH(V263,'Material routes'!$A$6:$A$1005,0)),"MISSING ID"))</x:f>
      </x:c>
      <x:c r="Q263" s="4" t="str">
        <x:f>IFERROR(INDEX('Material routes'!$J$6:$J$1005,MATCH(V263,'Material routes'!$A$6:$A$1005,0)),"MISSING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routes'!$D$6:$D$1005,MATCH(U263,'Material routes'!$A$6:$A$1005,0)),"MISSING ID")</x:f>
        <x:v>proposal.t3.husk_joint</x:v>
      </x:c>
      <x:c r="T263" s="4" t="str">
        <x:f>IFERROR(INDEX('Material routes'!$D$6:$D$1005,MATCH(V263,'Material routes'!$A$6:$A$1005,0)),"MISSING ID")</x:f>
        <x:v>proposal.t4.joined_wing_panels</x:v>
      </x:c>
      <x:c r="U263" s="4" t="str">
        <x:v>design.t4.joined_wing_panels.in.3</x:v>
      </x:c>
      <x:c r="V263" s="4" t="str">
        <x:v>design.t4.joined_wing_panels.out</x:v>
      </x:c>
    </x:row>
    <x:row r="264" ht="115" customHeight="1">
      <x:c r="A264" s="4" t="str">
        <x:f>IFERROR(INDEX('Material routes'!$E$6:$E$1005,MATCH(U264,'Material routes'!$A$6:$A$1005,0)),"MISSING ID")</x:f>
        <x:v>Heat-treated steel gear blanks</x:v>
      </x:c>
      <x:c r="B264" s="4" t="str">
        <x:f>IFERROR(INDEX('Material routes'!$F$6:$F$1005,MATCH(U264,'Material routes'!$A$6:$A$1005,0)),"MISSING ID")</x:f>
        <x:v>T3</x:v>
      </x:c>
      <x:c r="C264" s="4" t="str">
        <x:f>IFERROR(INDEX('Material routes'!$H$6:$H$1005,MATCH(U264,'Material routes'!$A$6:$A$1005,0)),"MISSING ID")</x:f>
        <x:v>Crafting component</x:v>
      </x:c>
      <x:c r="D264" s="4" t="str">
        <x:f>IFERROR(INDEX('Material routes'!$G$6:$G$1005,MATCH(U264,'Material routes'!$A$6:$A$1005,0)),"MISSING ID")</x:f>
        <x:v>Crafting components</x:v>
      </x:c>
      <x:c r="E264" s="4" t="str">
        <x:f>IFERROR(INDEX('Material routes'!$C$6:$C$1005,MATCH(U264,'Material routes'!$A$6:$A$1005,0)),"MISSING ID")</x:f>
        <x:v>Ingredient candidate</x:v>
      </x:c>
      <x:c r="F264" s="4" t="str">
        <x:f>IFERROR(INDEX('Material routes'!$E$6:$E$1005,MATCH(V264,'Material routes'!$A$6:$A$1005,0)),"MISSING ID")</x:f>
        <x:v>Matched wind-turbine hub core</x:v>
      </x:c>
      <x:c r="G264" s="4" t="str">
        <x:f>IFERROR(INDEX('Material routes'!$F$6:$F$1005,MATCH(V264,'Material routes'!$A$6:$A$1005,0)),"MISSING ID")</x:f>
        <x:v>T4</x:v>
      </x:c>
      <x:c r="H264" s="4" t="str">
        <x:f>IFERROR(INDEX('Material routes'!$H$6:$H$1005,MATCH(V264,'Material routes'!$A$6:$A$1005,0)),"MISSING ID")</x:f>
        <x:v>Crafting component</x:v>
      </x:c>
      <x:c r="I264" s="4" t="str">
        <x:f>IFERROR(INDEX('Material routes'!$G$6:$G$1005,MATCH(V264,'Material routes'!$A$6:$A$1005,0)),"MISSING ID")</x:f>
        <x:v>Crafting components</x:v>
      </x:c>
      <x:c r="J264" s="4" t="str">
        <x:f>IFERROR(INDEX('Material routes'!$B$6:$B$1005,MATCH(U264,'Material routes'!$A$6:$A$1005,0)),"MISSING ID")</x:f>
        <x:v>design.t4.turbine_hub</x:v>
      </x:c>
      <x:c r="K264" s="4" t="str">
        <x:f>IFERROR(INDEX('Crafting recipes'!$C$6:$C$1005,MATCH(J264,'Crafting recipes'!$A$6:$A$1005,0)),"MISSING ID")</x:f>
        <x:v>Material refinement</x:v>
      </x:c>
      <x:c r="L264" s="4" t="str">
        <x:f>IFERROR(INDEX('Material routes'!$K$6:$K$1005,MATCH(U264,'Material routes'!$A$6:$A$1005,0)),"MISSING ID")</x:f>
        <x:v>Proposal</x:v>
      </x:c>
      <x:c r="M264" s="4" t="str">
        <x:f>IFERROR(INDEX('Material routes'!$M$6:$M$1005,MATCH(U264,'Material routes'!$A$6:$A$1005,0)),"MISSING ID")</x:f>
        <x:v>Partial proposal</x:v>
      </x:c>
      <x:c r="N264" s="4" t="str">
        <x:f>IF(IFERROR(INDEX('Material routes'!$I$6:$I$1005,MATCH(U264,'Material routes'!$A$6:$A$1005,0)),"MISSING ID")=0,"",IFERROR(INDEX('Material routes'!$I$6:$I$1005,MATCH(U264,'Material routes'!$A$6:$A$1005,0)),"MISSING ID"))</x:f>
      </x:c>
      <x:c r="O264" s="4" t="str">
        <x:f>IFERROR(INDEX('Material routes'!$J$6:$J$1005,MATCH(U264,'Material routes'!$A$6:$A$1005,0)),"MISSING ID")</x:f>
        <x:v>Unspecified</x:v>
      </x:c>
      <x:c r="P264" s="4" t="str">
        <x:f>IF(IFERROR(INDEX('Material routes'!$I$6:$I$1005,MATCH(V264,'Material routes'!$A$6:$A$1005,0)),"MISSING ID")=0,"",IFERROR(INDEX('Material routes'!$I$6:$I$1005,MATCH(V264,'Material routes'!$A$6:$A$1005,0)),"MISSING ID"))</x:f>
      </x:c>
      <x:c r="Q264" s="4" t="str">
        <x:f>IFERROR(INDEX('Material routes'!$J$6:$J$1005,MATCH(V264,'Material routes'!$A$6:$A$1005,0)),"MISSING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routes'!$D$6:$D$1005,MATCH(U264,'Material routes'!$A$6:$A$1005,0)),"MISSING ID")</x:f>
        <x:v>proposal.t3.gear_blank</x:v>
      </x:c>
      <x:c r="T264" s="4" t="str">
        <x:f>IFERROR(INDEX('Material routes'!$D$6:$D$1005,MATCH(V264,'Material routes'!$A$6:$A$1005,0)),"MISSING ID")</x:f>
        <x:v>proposal.t4.turbine_hub</x:v>
      </x:c>
      <x:c r="U264" s="4" t="str">
        <x:v>design.t4.turbine_hub.in.1</x:v>
      </x:c>
      <x:c r="V264" s="4" t="str">
        <x:v>design.t4.turbine_hub.out</x:v>
      </x:c>
    </x:row>
    <x:row r="265" ht="115" customHeight="1">
      <x:c r="A265" s="4" t="str">
        <x:f>IFERROR(INDEX('Material routes'!$E$6:$E$1005,MATCH(U265,'Material routes'!$A$6:$A$1005,0)),"MISSING ID")</x:f>
        <x:v>Lapped bronze bearing blanks</x:v>
      </x:c>
      <x:c r="B265" s="4" t="str">
        <x:f>IFERROR(INDEX('Material routes'!$F$6:$F$1005,MATCH(U265,'Material routes'!$A$6:$A$1005,0)),"MISSING ID")</x:f>
        <x:v>T3</x:v>
      </x:c>
      <x:c r="C265" s="4" t="str">
        <x:f>IFERROR(INDEX('Material routes'!$H$6:$H$1005,MATCH(U265,'Material routes'!$A$6:$A$1005,0)),"MISSING ID")</x:f>
        <x:v>Crafting component</x:v>
      </x:c>
      <x:c r="D265" s="4" t="str">
        <x:f>IFERROR(INDEX('Material routes'!$G$6:$G$1005,MATCH(U265,'Material routes'!$A$6:$A$1005,0)),"MISSING ID")</x:f>
        <x:v>Crafting components</x:v>
      </x:c>
      <x:c r="E265" s="4" t="str">
        <x:f>IFERROR(INDEX('Material routes'!$C$6:$C$1005,MATCH(U265,'Material routes'!$A$6:$A$1005,0)),"MISSING ID")</x:f>
        <x:v>Ingredient candidate</x:v>
      </x:c>
      <x:c r="F265" s="4" t="str">
        <x:f>IFERROR(INDEX('Material routes'!$E$6:$E$1005,MATCH(V265,'Material routes'!$A$6:$A$1005,0)),"MISSING ID")</x:f>
        <x:v>Matched wind-turbine hub core</x:v>
      </x:c>
      <x:c r="G265" s="4" t="str">
        <x:f>IFERROR(INDEX('Material routes'!$F$6:$F$1005,MATCH(V265,'Material routes'!$A$6:$A$1005,0)),"MISSING ID")</x:f>
        <x:v>T4</x:v>
      </x:c>
      <x:c r="H265" s="4" t="str">
        <x:f>IFERROR(INDEX('Material routes'!$H$6:$H$1005,MATCH(V265,'Material routes'!$A$6:$A$1005,0)),"MISSING ID")</x:f>
        <x:v>Crafting component</x:v>
      </x:c>
      <x:c r="I265" s="4" t="str">
        <x:f>IFERROR(INDEX('Material routes'!$G$6:$G$1005,MATCH(V265,'Material routes'!$A$6:$A$1005,0)),"MISSING ID")</x:f>
        <x:v>Crafting components</x:v>
      </x:c>
      <x:c r="J265" s="4" t="str">
        <x:f>IFERROR(INDEX('Material routes'!$B$6:$B$1005,MATCH(U265,'Material routes'!$A$6:$A$1005,0)),"MISSING ID")</x:f>
        <x:v>design.t4.turbine_hub</x:v>
      </x:c>
      <x:c r="K265" s="4" t="str">
        <x:f>IFERROR(INDEX('Crafting recipes'!$C$6:$C$1005,MATCH(J265,'Crafting recipes'!$A$6:$A$1005,0)),"MISSING ID")</x:f>
        <x:v>Material refinement</x:v>
      </x:c>
      <x:c r="L265" s="4" t="str">
        <x:f>IFERROR(INDEX('Material routes'!$K$6:$K$1005,MATCH(U265,'Material routes'!$A$6:$A$1005,0)),"MISSING ID")</x:f>
        <x:v>Proposal</x:v>
      </x:c>
      <x:c r="M265" s="4" t="str">
        <x:f>IFERROR(INDEX('Material routes'!$M$6:$M$1005,MATCH(U265,'Material routes'!$A$6:$A$1005,0)),"MISSING ID")</x:f>
        <x:v>Partial proposal</x:v>
      </x:c>
      <x:c r="N265" s="4" t="str">
        <x:f>IF(IFERROR(INDEX('Material routes'!$I$6:$I$1005,MATCH(U265,'Material routes'!$A$6:$A$1005,0)),"MISSING ID")=0,"",IFERROR(INDEX('Material routes'!$I$6:$I$1005,MATCH(U265,'Material routes'!$A$6:$A$1005,0)),"MISSING ID"))</x:f>
      </x:c>
      <x:c r="O265" s="4" t="str">
        <x:f>IFERROR(INDEX('Material routes'!$J$6:$J$1005,MATCH(U265,'Material routes'!$A$6:$A$1005,0)),"MISSING ID")</x:f>
        <x:v>Unspecified</x:v>
      </x:c>
      <x:c r="P265" s="4" t="str">
        <x:f>IF(IFERROR(INDEX('Material routes'!$I$6:$I$1005,MATCH(V265,'Material routes'!$A$6:$A$1005,0)),"MISSING ID")=0,"",IFERROR(INDEX('Material routes'!$I$6:$I$1005,MATCH(V265,'Material routes'!$A$6:$A$1005,0)),"MISSING ID"))</x:f>
      </x:c>
      <x:c r="Q265" s="4" t="str">
        <x:f>IFERROR(INDEX('Material routes'!$J$6:$J$1005,MATCH(V265,'Material routes'!$A$6:$A$1005,0)),"MISSING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routes'!$D$6:$D$1005,MATCH(U265,'Material routes'!$A$6:$A$1005,0)),"MISSING ID")</x:f>
        <x:v>proposal.t3.bearing_blank</x:v>
      </x:c>
      <x:c r="T265" s="4" t="str">
        <x:f>IFERROR(INDEX('Material routes'!$D$6:$D$1005,MATCH(V265,'Material routes'!$A$6:$A$1005,0)),"MISSING ID")</x:f>
        <x:v>proposal.t4.turbine_hub</x:v>
      </x:c>
      <x:c r="U265" s="4" t="str">
        <x:v>design.t4.turbine_hub.in.2</x:v>
      </x:c>
      <x:c r="V265" s="4" t="str">
        <x:v>design.t4.turbine_hub.out</x:v>
      </x:c>
    </x:row>
    <x:row r="266" ht="115" customHeight="1">
      <x:c r="A266" s="4" t="str">
        <x:f>IFERROR(INDEX('Material routes'!$E$6:$E$1005,MATCH(U266,'Material routes'!$A$6:$A$1005,0)),"MISSING ID")</x:f>
        <x:v>Drawn steel tube stock</x:v>
      </x:c>
      <x:c r="B266" s="4" t="str">
        <x:f>IFERROR(INDEX('Material routes'!$F$6:$F$1005,MATCH(U266,'Material routes'!$A$6:$A$1005,0)),"MISSING ID")</x:f>
        <x:v>T3</x:v>
      </x:c>
      <x:c r="C266" s="4" t="str">
        <x:f>IFERROR(INDEX('Material routes'!$H$6:$H$1005,MATCH(U266,'Material routes'!$A$6:$A$1005,0)),"MISSING ID")</x:f>
        <x:v>Processed material</x:v>
      </x:c>
      <x:c r="D266" s="4" t="str">
        <x:f>IFERROR(INDEX('Material routes'!$G$6:$G$1005,MATCH(U266,'Material routes'!$A$6:$A$1005,0)),"MISSING ID")</x:f>
        <x:v>Resources</x:v>
      </x:c>
      <x:c r="E266" s="4" t="str">
        <x:f>IFERROR(INDEX('Material routes'!$C$6:$C$1005,MATCH(U266,'Material routes'!$A$6:$A$1005,0)),"MISSING ID")</x:f>
        <x:v>Ingredient candidate</x:v>
      </x:c>
      <x:c r="F266" s="4" t="str">
        <x:f>IFERROR(INDEX('Material routes'!$E$6:$E$1005,MATCH(V266,'Material routes'!$A$6:$A$1005,0)),"MISSING ID")</x:f>
        <x:v>Matched wind-turbine hub core</x:v>
      </x:c>
      <x:c r="G266" s="4" t="str">
        <x:f>IFERROR(INDEX('Material routes'!$F$6:$F$1005,MATCH(V266,'Material routes'!$A$6:$A$1005,0)),"MISSING ID")</x:f>
        <x:v>T4</x:v>
      </x:c>
      <x:c r="H266" s="4" t="str">
        <x:f>IFERROR(INDEX('Material routes'!$H$6:$H$1005,MATCH(V266,'Material routes'!$A$6:$A$1005,0)),"MISSING ID")</x:f>
        <x:v>Crafting component</x:v>
      </x:c>
      <x:c r="I266" s="4" t="str">
        <x:f>IFERROR(INDEX('Material routes'!$G$6:$G$1005,MATCH(V266,'Material routes'!$A$6:$A$1005,0)),"MISSING ID")</x:f>
        <x:v>Crafting components</x:v>
      </x:c>
      <x:c r="J266" s="4" t="str">
        <x:f>IFERROR(INDEX('Material routes'!$B$6:$B$1005,MATCH(U266,'Material routes'!$A$6:$A$1005,0)),"MISSING ID")</x:f>
        <x:v>design.t4.turbine_hub</x:v>
      </x:c>
      <x:c r="K266" s="4" t="str">
        <x:f>IFERROR(INDEX('Crafting recipes'!$C$6:$C$1005,MATCH(J266,'Crafting recipes'!$A$6:$A$1005,0)),"MISSING ID")</x:f>
        <x:v>Material refinement</x:v>
      </x:c>
      <x:c r="L266" s="4" t="str">
        <x:f>IFERROR(INDEX('Material routes'!$K$6:$K$1005,MATCH(U266,'Material routes'!$A$6:$A$1005,0)),"MISSING ID")</x:f>
        <x:v>Proposal</x:v>
      </x:c>
      <x:c r="M266" s="4" t="str">
        <x:f>IFERROR(INDEX('Material routes'!$M$6:$M$1005,MATCH(U266,'Material routes'!$A$6:$A$1005,0)),"MISSING ID")</x:f>
        <x:v>Partial proposal</x:v>
      </x:c>
      <x:c r="N266" s="4" t="str">
        <x:f>IF(IFERROR(INDEX('Material routes'!$I$6:$I$1005,MATCH(U266,'Material routes'!$A$6:$A$1005,0)),"MISSING ID")=0,"",IFERROR(INDEX('Material routes'!$I$6:$I$1005,MATCH(U266,'Material routes'!$A$6:$A$1005,0)),"MISSING ID"))</x:f>
      </x:c>
      <x:c r="O266" s="4" t="str">
        <x:f>IFERROR(INDEX('Material routes'!$J$6:$J$1005,MATCH(U266,'Material routes'!$A$6:$A$1005,0)),"MISSING ID")</x:f>
        <x:v>Unspecified</x:v>
      </x:c>
      <x:c r="P266" s="4" t="str">
        <x:f>IF(IFERROR(INDEX('Material routes'!$I$6:$I$1005,MATCH(V266,'Material routes'!$A$6:$A$1005,0)),"MISSING ID")=0,"",IFERROR(INDEX('Material routes'!$I$6:$I$1005,MATCH(V266,'Material routes'!$A$6:$A$1005,0)),"MISSING ID"))</x:f>
      </x:c>
      <x:c r="Q266" s="4" t="str">
        <x:f>IFERROR(INDEX('Material routes'!$J$6:$J$1005,MATCH(V266,'Material routes'!$A$6:$A$1005,0)),"MISSING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routes'!$D$6:$D$1005,MATCH(U266,'Material routes'!$A$6:$A$1005,0)),"MISSING ID")</x:f>
        <x:v>proposal.t3.precision_tube</x:v>
      </x:c>
      <x:c r="T266" s="4" t="str">
        <x:f>IFERROR(INDEX('Material routes'!$D$6:$D$1005,MATCH(V266,'Material routes'!$A$6:$A$1005,0)),"MISSING ID")</x:f>
        <x:v>proposal.t4.turbine_hub</x:v>
      </x:c>
      <x:c r="U266" s="4" t="str">
        <x:v>design.t4.turbine_hub.in.3</x:v>
      </x:c>
      <x:c r="V266" s="4" t="str">
        <x:v>design.t4.turbine_hub.out</x:v>
      </x:c>
    </x:row>
    <x:row r="267" ht="115" customHeight="1">
      <x:c r="A267" s="4" t="str">
        <x:f>IFERROR(INDEX('Material routes'!$E$6:$E$1005,MATCH(U267,'Material routes'!$A$6:$A$1005,0)),"MISSING ID")</x:f>
        <x:v>Conditioned mechanism-service grease</x:v>
      </x:c>
      <x:c r="B267" s="4" t="str">
        <x:f>IFERROR(INDEX('Material routes'!$F$6:$F$1005,MATCH(U267,'Material routes'!$A$6:$A$1005,0)),"MISSING ID")</x:f>
        <x:v>T3</x:v>
      </x:c>
      <x:c r="C267" s="4" t="str">
        <x:f>IFERROR(INDEX('Material routes'!$H$6:$H$1005,MATCH(U267,'Material routes'!$A$6:$A$1005,0)),"MISSING ID")</x:f>
        <x:v>Chemical material</x:v>
      </x:c>
      <x:c r="D267" s="4" t="str">
        <x:f>IFERROR(INDEX('Material routes'!$G$6:$G$1005,MATCH(U267,'Material routes'!$A$6:$A$1005,0)),"MISSING ID")</x:f>
        <x:v>Resources</x:v>
      </x:c>
      <x:c r="E267" s="4" t="str">
        <x:f>IFERROR(INDEX('Material routes'!$C$6:$C$1005,MATCH(U267,'Material routes'!$A$6:$A$1005,0)),"MISSING ID")</x:f>
        <x:v>Ingredient candidate</x:v>
      </x:c>
      <x:c r="F267" s="4" t="str">
        <x:f>IFERROR(INDEX('Material routes'!$E$6:$E$1005,MATCH(V267,'Material routes'!$A$6:$A$1005,0)),"MISSING ID")</x:f>
        <x:v>Matched wind-turbine hub core</x:v>
      </x:c>
      <x:c r="G267" s="4" t="str">
        <x:f>IFERROR(INDEX('Material routes'!$F$6:$F$1005,MATCH(V267,'Material routes'!$A$6:$A$1005,0)),"MISSING ID")</x:f>
        <x:v>T4</x:v>
      </x:c>
      <x:c r="H267" s="4" t="str">
        <x:f>IFERROR(INDEX('Material routes'!$H$6:$H$1005,MATCH(V267,'Material routes'!$A$6:$A$1005,0)),"MISSING ID")</x:f>
        <x:v>Crafting component</x:v>
      </x:c>
      <x:c r="I267" s="4" t="str">
        <x:f>IFERROR(INDEX('Material routes'!$G$6:$G$1005,MATCH(V267,'Material routes'!$A$6:$A$1005,0)),"MISSING ID")</x:f>
        <x:v>Crafting components</x:v>
      </x:c>
      <x:c r="J267" s="4" t="str">
        <x:f>IFERROR(INDEX('Material routes'!$B$6:$B$1005,MATCH(U267,'Material routes'!$A$6:$A$1005,0)),"MISSING ID")</x:f>
        <x:v>design.t4.turbine_hub</x:v>
      </x:c>
      <x:c r="K267" s="4" t="str">
        <x:f>IFERROR(INDEX('Crafting recipes'!$C$6:$C$1005,MATCH(J267,'Crafting recipes'!$A$6:$A$1005,0)),"MISSING ID")</x:f>
        <x:v>Material refinement</x:v>
      </x:c>
      <x:c r="L267" s="4" t="str">
        <x:f>IFERROR(INDEX('Material routes'!$K$6:$K$1005,MATCH(U267,'Material routes'!$A$6:$A$1005,0)),"MISSING ID")</x:f>
        <x:v>Proposal</x:v>
      </x:c>
      <x:c r="M267" s="4" t="str">
        <x:f>IFERROR(INDEX('Material routes'!$M$6:$M$1005,MATCH(U267,'Material routes'!$A$6:$A$1005,0)),"MISSING ID")</x:f>
        <x:v>Partial proposal</x:v>
      </x:c>
      <x:c r="N267" s="4" t="str">
        <x:f>IF(IFERROR(INDEX('Material routes'!$I$6:$I$1005,MATCH(U267,'Material routes'!$A$6:$A$1005,0)),"MISSING ID")=0,"",IFERROR(INDEX('Material routes'!$I$6:$I$1005,MATCH(U267,'Material routes'!$A$6:$A$1005,0)),"MISSING ID"))</x:f>
      </x:c>
      <x:c r="O267" s="4" t="str">
        <x:f>IFERROR(INDEX('Material routes'!$J$6:$J$1005,MATCH(U267,'Material routes'!$A$6:$A$1005,0)),"MISSING ID")</x:f>
        <x:v>Unspecified</x:v>
      </x:c>
      <x:c r="P267" s="4" t="str">
        <x:f>IF(IFERROR(INDEX('Material routes'!$I$6:$I$1005,MATCH(V267,'Material routes'!$A$6:$A$1005,0)),"MISSING ID")=0,"",IFERROR(INDEX('Material routes'!$I$6:$I$1005,MATCH(V267,'Material routes'!$A$6:$A$1005,0)),"MISSING ID"))</x:f>
      </x:c>
      <x:c r="Q267" s="4" t="str">
        <x:f>IFERROR(INDEX('Material routes'!$J$6:$J$1005,MATCH(V267,'Material routes'!$A$6:$A$1005,0)),"MISSING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routes'!$D$6:$D$1005,MATCH(U267,'Material routes'!$A$6:$A$1005,0)),"MISSING ID")</x:f>
        <x:v>proposal.t3.service_grease</x:v>
      </x:c>
      <x:c r="T267" s="4" t="str">
        <x:f>IFERROR(INDEX('Material routes'!$D$6:$D$1005,MATCH(V267,'Material routes'!$A$6:$A$1005,0)),"MISSING ID")</x:f>
        <x:v>proposal.t4.turbine_hub</x:v>
      </x:c>
      <x:c r="U267" s="4" t="str">
        <x:v>design.t4.turbine_hub.in.4</x:v>
      </x:c>
      <x:c r="V267" s="4" t="str">
        <x:v>design.t4.turbine_hub.out</x:v>
      </x:c>
    </x:row>
    <x:row r="268" ht="115" customHeight="1">
      <x:c r="A268" s="4" t="str">
        <x:f>IFERROR(INDEX('Material routes'!$E$6:$E$1005,MATCH(U268,'Material routes'!$A$6:$A$1005,0)),"MISSING ID")</x:f>
        <x:v>Lapped bronze bearing blanks</x:v>
      </x:c>
      <x:c r="B268" s="4" t="str">
        <x:f>IFERROR(INDEX('Material routes'!$F$6:$F$1005,MATCH(U268,'Material routes'!$A$6:$A$1005,0)),"MISSING ID")</x:f>
        <x:v>T3</x:v>
      </x:c>
      <x:c r="C268" s="4" t="str">
        <x:f>IFERROR(INDEX('Material routes'!$H$6:$H$1005,MATCH(U268,'Material routes'!$A$6:$A$1005,0)),"MISSING ID")</x:f>
        <x:v>Crafting component</x:v>
      </x:c>
      <x:c r="D268" s="4" t="str">
        <x:f>IFERROR(INDEX('Material routes'!$G$6:$G$1005,MATCH(U268,'Material routes'!$A$6:$A$1005,0)),"MISSING ID")</x:f>
        <x:v>Crafting components</x:v>
      </x:c>
      <x:c r="E268" s="4" t="str">
        <x:f>IFERROR(INDEX('Material routes'!$C$6:$C$1005,MATCH(U268,'Material routes'!$A$6:$A$1005,0)),"MISSING ID")</x:f>
        <x:v>Ingredient candidate</x:v>
      </x:c>
      <x:c r="F268" s="4" t="str">
        <x:f>IFERROR(INDEX('Material routes'!$E$6:$E$1005,MATCH(V268,'Material routes'!$A$6:$A$1005,0)),"MISSING ID")</x:f>
        <x:v>Dirtboard wheel-hub core</x:v>
      </x:c>
      <x:c r="G268" s="4" t="str">
        <x:f>IFERROR(INDEX('Material routes'!$F$6:$F$1005,MATCH(V268,'Material routes'!$A$6:$A$1005,0)),"MISSING ID")</x:f>
        <x:v>T4</x:v>
      </x:c>
      <x:c r="H268" s="4" t="str">
        <x:f>IFERROR(INDEX('Material routes'!$H$6:$H$1005,MATCH(V268,'Material routes'!$A$6:$A$1005,0)),"MISSING ID")</x:f>
        <x:v>Crafting component</x:v>
      </x:c>
      <x:c r="I268" s="4" t="str">
        <x:f>IFERROR(INDEX('Material routes'!$G$6:$G$1005,MATCH(V268,'Material routes'!$A$6:$A$1005,0)),"MISSING ID")</x:f>
        <x:v>Crafting components</x:v>
      </x:c>
      <x:c r="J268" s="4" t="str">
        <x:f>IFERROR(INDEX('Material routes'!$B$6:$B$1005,MATCH(U268,'Material routes'!$A$6:$A$1005,0)),"MISSING ID")</x:f>
        <x:v>design.t4.wheel_hub</x:v>
      </x:c>
      <x:c r="K268" s="4" t="str">
        <x:f>IFERROR(INDEX('Crafting recipes'!$C$6:$C$1005,MATCH(J268,'Crafting recipes'!$A$6:$A$1005,0)),"MISSING ID")</x:f>
        <x:v>Material refinement</x:v>
      </x:c>
      <x:c r="L268" s="4" t="str">
        <x:f>IFERROR(INDEX('Material routes'!$K$6:$K$1005,MATCH(U268,'Material routes'!$A$6:$A$1005,0)),"MISSING ID")</x:f>
        <x:v>Proposal</x:v>
      </x:c>
      <x:c r="M268" s="4" t="str">
        <x:f>IFERROR(INDEX('Material routes'!$M$6:$M$1005,MATCH(U268,'Material routes'!$A$6:$A$1005,0)),"MISSING ID")</x:f>
        <x:v>Partial proposal</x:v>
      </x:c>
      <x:c r="N268" s="4" t="str">
        <x:f>IF(IFERROR(INDEX('Material routes'!$I$6:$I$1005,MATCH(U268,'Material routes'!$A$6:$A$1005,0)),"MISSING ID")=0,"",IFERROR(INDEX('Material routes'!$I$6:$I$1005,MATCH(U268,'Material routes'!$A$6:$A$1005,0)),"MISSING ID"))</x:f>
      </x:c>
      <x:c r="O268" s="4" t="str">
        <x:f>IFERROR(INDEX('Material routes'!$J$6:$J$1005,MATCH(U268,'Material routes'!$A$6:$A$1005,0)),"MISSING ID")</x:f>
        <x:v>Unspecified</x:v>
      </x:c>
      <x:c r="P268" s="4" t="str">
        <x:f>IF(IFERROR(INDEX('Material routes'!$I$6:$I$1005,MATCH(V268,'Material routes'!$A$6:$A$1005,0)),"MISSING ID")=0,"",IFERROR(INDEX('Material routes'!$I$6:$I$1005,MATCH(V268,'Material routes'!$A$6:$A$1005,0)),"MISSING ID"))</x:f>
      </x:c>
      <x:c r="Q268" s="4" t="str">
        <x:f>IFERROR(INDEX('Material routes'!$J$6:$J$1005,MATCH(V268,'Material routes'!$A$6:$A$1005,0)),"MISSING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routes'!$D$6:$D$1005,MATCH(U268,'Material routes'!$A$6:$A$1005,0)),"MISSING ID")</x:f>
        <x:v>proposal.t3.bearing_blank</x:v>
      </x:c>
      <x:c r="T268" s="4" t="str">
        <x:f>IFERROR(INDEX('Material routes'!$D$6:$D$1005,MATCH(V268,'Material routes'!$A$6:$A$1005,0)),"MISSING ID")</x:f>
        <x:v>proposal.t4.wheel_hub</x:v>
      </x:c>
      <x:c r="U268" s="4" t="str">
        <x:v>design.t4.wheel_hub.in.1</x:v>
      </x:c>
      <x:c r="V268" s="4" t="str">
        <x:v>design.t4.wheel_hub.out</x:v>
      </x:c>
    </x:row>
    <x:row r="269" ht="115" customHeight="1">
      <x:c r="A269" s="4" t="str">
        <x:f>IFERROR(INDEX('Material routes'!$E$6:$E$1005,MATCH(U269,'Material routes'!$A$6:$A$1005,0)),"MISSING ID")</x:f>
        <x:v>Drawn steel tube stock</x:v>
      </x:c>
      <x:c r="B269" s="4" t="str">
        <x:f>IFERROR(INDEX('Material routes'!$F$6:$F$1005,MATCH(U269,'Material routes'!$A$6:$A$1005,0)),"MISSING ID")</x:f>
        <x:v>T3</x:v>
      </x:c>
      <x:c r="C269" s="4" t="str">
        <x:f>IFERROR(INDEX('Material routes'!$H$6:$H$1005,MATCH(U269,'Material routes'!$A$6:$A$1005,0)),"MISSING ID")</x:f>
        <x:v>Processed material</x:v>
      </x:c>
      <x:c r="D269" s="4" t="str">
        <x:f>IFERROR(INDEX('Material routes'!$G$6:$G$1005,MATCH(U269,'Material routes'!$A$6:$A$1005,0)),"MISSING ID")</x:f>
        <x:v>Resources</x:v>
      </x:c>
      <x:c r="E269" s="4" t="str">
        <x:f>IFERROR(INDEX('Material routes'!$C$6:$C$1005,MATCH(U269,'Material routes'!$A$6:$A$1005,0)),"MISSING ID")</x:f>
        <x:v>Ingredient candidate</x:v>
      </x:c>
      <x:c r="F269" s="4" t="str">
        <x:f>IFERROR(INDEX('Material routes'!$E$6:$E$1005,MATCH(V269,'Material routes'!$A$6:$A$1005,0)),"MISSING ID")</x:f>
        <x:v>Dirtboard wheel-hub core</x:v>
      </x:c>
      <x:c r="G269" s="4" t="str">
        <x:f>IFERROR(INDEX('Material routes'!$F$6:$F$1005,MATCH(V269,'Material routes'!$A$6:$A$1005,0)),"MISSING ID")</x:f>
        <x:v>T4</x:v>
      </x:c>
      <x:c r="H269" s="4" t="str">
        <x:f>IFERROR(INDEX('Material routes'!$H$6:$H$1005,MATCH(V269,'Material routes'!$A$6:$A$1005,0)),"MISSING ID")</x:f>
        <x:v>Crafting component</x:v>
      </x:c>
      <x:c r="I269" s="4" t="str">
        <x:f>IFERROR(INDEX('Material routes'!$G$6:$G$1005,MATCH(V269,'Material routes'!$A$6:$A$1005,0)),"MISSING ID")</x:f>
        <x:v>Crafting components</x:v>
      </x:c>
      <x:c r="J269" s="4" t="str">
        <x:f>IFERROR(INDEX('Material routes'!$B$6:$B$1005,MATCH(U269,'Material routes'!$A$6:$A$1005,0)),"MISSING ID")</x:f>
        <x:v>design.t4.wheel_hub</x:v>
      </x:c>
      <x:c r="K269" s="4" t="str">
        <x:f>IFERROR(INDEX('Crafting recipes'!$C$6:$C$1005,MATCH(J269,'Crafting recipes'!$A$6:$A$1005,0)),"MISSING ID")</x:f>
        <x:v>Material refinement</x:v>
      </x:c>
      <x:c r="L269" s="4" t="str">
        <x:f>IFERROR(INDEX('Material routes'!$K$6:$K$1005,MATCH(U269,'Material routes'!$A$6:$A$1005,0)),"MISSING ID")</x:f>
        <x:v>Proposal</x:v>
      </x:c>
      <x:c r="M269" s="4" t="str">
        <x:f>IFERROR(INDEX('Material routes'!$M$6:$M$1005,MATCH(U269,'Material routes'!$A$6:$A$1005,0)),"MISSING ID")</x:f>
        <x:v>Partial proposal</x:v>
      </x:c>
      <x:c r="N269" s="4" t="str">
        <x:f>IF(IFERROR(INDEX('Material routes'!$I$6:$I$1005,MATCH(U269,'Material routes'!$A$6:$A$1005,0)),"MISSING ID")=0,"",IFERROR(INDEX('Material routes'!$I$6:$I$1005,MATCH(U269,'Material routes'!$A$6:$A$1005,0)),"MISSING ID"))</x:f>
      </x:c>
      <x:c r="O269" s="4" t="str">
        <x:f>IFERROR(INDEX('Material routes'!$J$6:$J$1005,MATCH(U269,'Material routes'!$A$6:$A$1005,0)),"MISSING ID")</x:f>
        <x:v>Unspecified</x:v>
      </x:c>
      <x:c r="P269" s="4" t="str">
        <x:f>IF(IFERROR(INDEX('Material routes'!$I$6:$I$1005,MATCH(V269,'Material routes'!$A$6:$A$1005,0)),"MISSING ID")=0,"",IFERROR(INDEX('Material routes'!$I$6:$I$1005,MATCH(V269,'Material routes'!$A$6:$A$1005,0)),"MISSING ID"))</x:f>
      </x:c>
      <x:c r="Q269" s="4" t="str">
        <x:f>IFERROR(INDEX('Material routes'!$J$6:$J$1005,MATCH(V269,'Material routes'!$A$6:$A$1005,0)),"MISSING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routes'!$D$6:$D$1005,MATCH(U269,'Material routes'!$A$6:$A$1005,0)),"MISSING ID")</x:f>
        <x:v>proposal.t3.precision_tube</x:v>
      </x:c>
      <x:c r="T269" s="4" t="str">
        <x:f>IFERROR(INDEX('Material routes'!$D$6:$D$1005,MATCH(V269,'Material routes'!$A$6:$A$1005,0)),"MISSING ID")</x:f>
        <x:v>proposal.t4.wheel_hub</x:v>
      </x:c>
      <x:c r="U269" s="4" t="str">
        <x:v>design.t4.wheel_hub.in.2</x:v>
      </x:c>
      <x:c r="V269" s="4" t="str">
        <x:v>design.t4.wheel_hub.out</x:v>
      </x:c>
    </x:row>
    <x:row r="270" ht="115" customHeight="1">
      <x:c r="A270" s="4" t="str">
        <x:f>IFERROR(INDEX('Material routes'!$E$6:$E$1005,MATCH(U270,'Material routes'!$A$6:$A$1005,0)),"MISSING ID")</x:f>
        <x:v>Spring-grade steel stock</x:v>
      </x:c>
      <x:c r="B270" s="4" t="str">
        <x:f>IFERROR(INDEX('Material routes'!$F$6:$F$1005,MATCH(U270,'Material routes'!$A$6:$A$1005,0)),"MISSING ID")</x:f>
        <x:v>T3</x:v>
      </x:c>
      <x:c r="C270" s="4" t="str">
        <x:f>IFERROR(INDEX('Material routes'!$H$6:$H$1005,MATCH(U270,'Material routes'!$A$6:$A$1005,0)),"MISSING ID")</x:f>
        <x:v>Processed material</x:v>
      </x:c>
      <x:c r="D270" s="4" t="str">
        <x:f>IFERROR(INDEX('Material routes'!$G$6:$G$1005,MATCH(U270,'Material routes'!$A$6:$A$1005,0)),"MISSING ID")</x:f>
        <x:v>Resources</x:v>
      </x:c>
      <x:c r="E270" s="4" t="str">
        <x:f>IFERROR(INDEX('Material routes'!$C$6:$C$1005,MATCH(U270,'Material routes'!$A$6:$A$1005,0)),"MISSING ID")</x:f>
        <x:v>Ingredient candidate</x:v>
      </x:c>
      <x:c r="F270" s="4" t="str">
        <x:f>IFERROR(INDEX('Material routes'!$E$6:$E$1005,MATCH(V270,'Material routes'!$A$6:$A$1005,0)),"MISSING ID")</x:f>
        <x:v>Dirtboard wheel-hub core</x:v>
      </x:c>
      <x:c r="G270" s="4" t="str">
        <x:f>IFERROR(INDEX('Material routes'!$F$6:$F$1005,MATCH(V270,'Material routes'!$A$6:$A$1005,0)),"MISSING ID")</x:f>
        <x:v>T4</x:v>
      </x:c>
      <x:c r="H270" s="4" t="str">
        <x:f>IFERROR(INDEX('Material routes'!$H$6:$H$1005,MATCH(V270,'Material routes'!$A$6:$A$1005,0)),"MISSING ID")</x:f>
        <x:v>Crafting component</x:v>
      </x:c>
      <x:c r="I270" s="4" t="str">
        <x:f>IFERROR(INDEX('Material routes'!$G$6:$G$1005,MATCH(V270,'Material routes'!$A$6:$A$1005,0)),"MISSING ID")</x:f>
        <x:v>Crafting components</x:v>
      </x:c>
      <x:c r="J270" s="4" t="str">
        <x:f>IFERROR(INDEX('Material routes'!$B$6:$B$1005,MATCH(U270,'Material routes'!$A$6:$A$1005,0)),"MISSING ID")</x:f>
        <x:v>design.t4.wheel_hub</x:v>
      </x:c>
      <x:c r="K270" s="4" t="str">
        <x:f>IFERROR(INDEX('Crafting recipes'!$C$6:$C$1005,MATCH(J270,'Crafting recipes'!$A$6:$A$1005,0)),"MISSING ID")</x:f>
        <x:v>Material refinement</x:v>
      </x:c>
      <x:c r="L270" s="4" t="str">
        <x:f>IFERROR(INDEX('Material routes'!$K$6:$K$1005,MATCH(U270,'Material routes'!$A$6:$A$1005,0)),"MISSING ID")</x:f>
        <x:v>Proposal</x:v>
      </x:c>
      <x:c r="M270" s="4" t="str">
        <x:f>IFERROR(INDEX('Material routes'!$M$6:$M$1005,MATCH(U270,'Material routes'!$A$6:$A$1005,0)),"MISSING ID")</x:f>
        <x:v>Partial proposal</x:v>
      </x:c>
      <x:c r="N270" s="4" t="str">
        <x:f>IF(IFERROR(INDEX('Material routes'!$I$6:$I$1005,MATCH(U270,'Material routes'!$A$6:$A$1005,0)),"MISSING ID")=0,"",IFERROR(INDEX('Material routes'!$I$6:$I$1005,MATCH(U270,'Material routes'!$A$6:$A$1005,0)),"MISSING ID"))</x:f>
      </x:c>
      <x:c r="O270" s="4" t="str">
        <x:f>IFERROR(INDEX('Material routes'!$J$6:$J$1005,MATCH(U270,'Material routes'!$A$6:$A$1005,0)),"MISSING ID")</x:f>
        <x:v>Unspecified</x:v>
      </x:c>
      <x:c r="P270" s="4" t="str">
        <x:f>IF(IFERROR(INDEX('Material routes'!$I$6:$I$1005,MATCH(V270,'Material routes'!$A$6:$A$1005,0)),"MISSING ID")=0,"",IFERROR(INDEX('Material routes'!$I$6:$I$1005,MATCH(V270,'Material routes'!$A$6:$A$1005,0)),"MISSING ID"))</x:f>
      </x:c>
      <x:c r="Q270" s="4" t="str">
        <x:f>IFERROR(INDEX('Material routes'!$J$6:$J$1005,MATCH(V270,'Material routes'!$A$6:$A$1005,0)),"MISSING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routes'!$D$6:$D$1005,MATCH(U270,'Material routes'!$A$6:$A$1005,0)),"MISSING ID")</x:f>
        <x:v>proposal.branch.spring_steel</x:v>
      </x:c>
      <x:c r="T270" s="4" t="str">
        <x:f>IFERROR(INDEX('Material routes'!$D$6:$D$1005,MATCH(V270,'Material routes'!$A$6:$A$1005,0)),"MISSING ID")</x:f>
        <x:v>proposal.t4.wheel_hub</x:v>
      </x:c>
      <x:c r="U270" s="4" t="str">
        <x:v>design.t4.wheel_hub.in.3</x:v>
      </x:c>
      <x:c r="V270" s="4" t="str">
        <x:v>design.t4.wheel_hub.out</x:v>
      </x:c>
    </x:row>
    <x:row r="271" ht="115" customHeight="1">
      <x:c r="A271" s="4" t="str">
        <x:f>IFERROR(INDEX('Material routes'!$E$6:$E$1005,MATCH(U271,'Material routes'!$A$6:$A$1005,0)),"MISSING ID")</x:f>
        <x:v>Fine mechanism oil</x:v>
      </x:c>
      <x:c r="B271" s="4" t="str">
        <x:f>IFERROR(INDEX('Material routes'!$F$6:$F$1005,MATCH(U271,'Material routes'!$A$6:$A$1005,0)),"MISSING ID")</x:f>
        <x:v>T2</x:v>
      </x:c>
      <x:c r="C271" s="4" t="str">
        <x:f>IFERROR(INDEX('Material routes'!$H$6:$H$1005,MATCH(U271,'Material routes'!$A$6:$A$1005,0)),"MISSING ID")</x:f>
        <x:v>Chemical material</x:v>
      </x:c>
      <x:c r="D271" s="4" t="str">
        <x:f>IFERROR(INDEX('Material routes'!$G$6:$G$1005,MATCH(U271,'Material routes'!$A$6:$A$1005,0)),"MISSING ID")</x:f>
        <x:v>Resources</x:v>
      </x:c>
      <x:c r="E271" s="4" t="str">
        <x:f>IFERROR(INDEX('Material routes'!$C$6:$C$1005,MATCH(U271,'Material routes'!$A$6:$A$1005,0)),"MISSING ID")</x:f>
        <x:v>Ingredient candidate</x:v>
      </x:c>
      <x:c r="F271" s="4" t="str">
        <x:f>IFERROR(INDEX('Material routes'!$E$6:$E$1005,MATCH(V271,'Material routes'!$A$6:$A$1005,0)),"MISSING ID")</x:f>
        <x:v>Dirtboard wheel-hub core</x:v>
      </x:c>
      <x:c r="G271" s="4" t="str">
        <x:f>IFERROR(INDEX('Material routes'!$F$6:$F$1005,MATCH(V271,'Material routes'!$A$6:$A$1005,0)),"MISSING ID")</x:f>
        <x:v>T4</x:v>
      </x:c>
      <x:c r="H271" s="4" t="str">
        <x:f>IFERROR(INDEX('Material routes'!$H$6:$H$1005,MATCH(V271,'Material routes'!$A$6:$A$1005,0)),"MISSING ID")</x:f>
        <x:v>Crafting component</x:v>
      </x:c>
      <x:c r="I271" s="4" t="str">
        <x:f>IFERROR(INDEX('Material routes'!$G$6:$G$1005,MATCH(V271,'Material routes'!$A$6:$A$1005,0)),"MISSING ID")</x:f>
        <x:v>Crafting components</x:v>
      </x:c>
      <x:c r="J271" s="4" t="str">
        <x:f>IFERROR(INDEX('Material routes'!$B$6:$B$1005,MATCH(U271,'Material routes'!$A$6:$A$1005,0)),"MISSING ID")</x:f>
        <x:v>design.t4.wheel_hub</x:v>
      </x:c>
      <x:c r="K271" s="4" t="str">
        <x:f>IFERROR(INDEX('Crafting recipes'!$C$6:$C$1005,MATCH(J271,'Crafting recipes'!$A$6:$A$1005,0)),"MISSING ID")</x:f>
        <x:v>Material refinement</x:v>
      </x:c>
      <x:c r="L271" s="4" t="str">
        <x:f>IFERROR(INDEX('Material routes'!$K$6:$K$1005,MATCH(U271,'Material routes'!$A$6:$A$1005,0)),"MISSING ID")</x:f>
        <x:v>Proposal</x:v>
      </x:c>
      <x:c r="M271" s="4" t="str">
        <x:f>IFERROR(INDEX('Material routes'!$M$6:$M$1005,MATCH(U271,'Material routes'!$A$6:$A$1005,0)),"MISSING ID")</x:f>
        <x:v>Partial proposal</x:v>
      </x:c>
      <x:c r="N271" s="4" t="str">
        <x:f>IF(IFERROR(INDEX('Material routes'!$I$6:$I$1005,MATCH(U271,'Material routes'!$A$6:$A$1005,0)),"MISSING ID")=0,"",IFERROR(INDEX('Material routes'!$I$6:$I$1005,MATCH(U271,'Material routes'!$A$6:$A$1005,0)),"MISSING ID"))</x:f>
      </x:c>
      <x:c r="O271" s="4" t="str">
        <x:f>IFERROR(INDEX('Material routes'!$J$6:$J$1005,MATCH(U271,'Material routes'!$A$6:$A$1005,0)),"MISSING ID")</x:f>
        <x:v>Unspecified</x:v>
      </x:c>
      <x:c r="P271" s="4" t="str">
        <x:f>IF(IFERROR(INDEX('Material routes'!$I$6:$I$1005,MATCH(V271,'Material routes'!$A$6:$A$1005,0)),"MISSING ID")=0,"",IFERROR(INDEX('Material routes'!$I$6:$I$1005,MATCH(V271,'Material routes'!$A$6:$A$1005,0)),"MISSING ID"))</x:f>
      </x:c>
      <x:c r="Q271" s="4" t="str">
        <x:f>IFERROR(INDEX('Material routes'!$J$6:$J$1005,MATCH(V271,'Material routes'!$A$6:$A$1005,0)),"MISSING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routes'!$D$6:$D$1005,MATCH(U271,'Material routes'!$A$6:$A$1005,0)),"MISSING ID")</x:f>
        <x:v>proposal.lubricant.precision_oil</x:v>
      </x:c>
      <x:c r="T271" s="4" t="str">
        <x:f>IFERROR(INDEX('Material routes'!$D$6:$D$1005,MATCH(V271,'Material routes'!$A$6:$A$1005,0)),"MISSING ID")</x:f>
        <x:v>proposal.t4.wheel_hub</x:v>
      </x:c>
      <x:c r="U271" s="4" t="str">
        <x:v>design.t4.wheel_hub.in.4</x:v>
      </x:c>
      <x:c r="V271" s="4" t="str">
        <x:v>design.t4.wheel_hub.out</x:v>
      </x:c>
    </x:row>
    <x:row r="272" ht="115" customHeight="1">
      <x:c r="A272" s="4" t="str">
        <x:f>IFERROR(INDEX('Material routes'!$E$6:$E$1005,MATCH(U272,'Material routes'!$A$6:$A$1005,0)),"MISSING ID")</x:f>
        <x:v>Bonded glass-ceramic lining stock</x:v>
      </x:c>
      <x:c r="B272" s="4" t="str">
        <x:f>IFERROR(INDEX('Material routes'!$F$6:$F$1005,MATCH(U272,'Material routes'!$A$6:$A$1005,0)),"MISSING ID")</x:f>
        <x:v>T3</x:v>
      </x:c>
      <x:c r="C272" s="4" t="str">
        <x:f>IFERROR(INDEX('Material routes'!$H$6:$H$1005,MATCH(U272,'Material routes'!$A$6:$A$1005,0)),"MISSING ID")</x:f>
        <x:v>Processed material</x:v>
      </x:c>
      <x:c r="D272" s="4" t="str">
        <x:f>IFERROR(INDEX('Material routes'!$G$6:$G$1005,MATCH(U272,'Material routes'!$A$6:$A$1005,0)),"MISSING ID")</x:f>
        <x:v>Resources</x:v>
      </x:c>
      <x:c r="E272" s="4" t="str">
        <x:f>IFERROR(INDEX('Material routes'!$C$6:$C$1005,MATCH(U272,'Material routes'!$A$6:$A$1005,0)),"MISSING ID")</x:f>
        <x:v>Ingredient candidate</x:v>
      </x:c>
      <x:c r="F272" s="4" t="str">
        <x:f>IFERROR(INDEX('Material routes'!$E$6:$E$1005,MATCH(V272,'Material routes'!$A$6:$A$1005,0)),"MISSING ID")</x:f>
        <x:v>Fitted chemical-vessel liner insert</x:v>
      </x:c>
      <x:c r="G272" s="4" t="str">
        <x:f>IFERROR(INDEX('Material routes'!$F$6:$F$1005,MATCH(V272,'Material routes'!$A$6:$A$1005,0)),"MISSING ID")</x:f>
        <x:v>T4</x:v>
      </x:c>
      <x:c r="H272" s="4" t="str">
        <x:f>IFERROR(INDEX('Material routes'!$H$6:$H$1005,MATCH(V272,'Material routes'!$A$6:$A$1005,0)),"MISSING ID")</x:f>
        <x:v>Crafting component</x:v>
      </x:c>
      <x:c r="I272" s="4" t="str">
        <x:f>IFERROR(INDEX('Material routes'!$G$6:$G$1005,MATCH(V272,'Material routes'!$A$6:$A$1005,0)),"MISSING ID")</x:f>
        <x:v>Crafting components</x:v>
      </x:c>
      <x:c r="J272" s="4" t="str">
        <x:f>IFERROR(INDEX('Material routes'!$B$6:$B$1005,MATCH(U272,'Material routes'!$A$6:$A$1005,0)),"MISSING ID")</x:f>
        <x:v>design.t4.vessel_liner</x:v>
      </x:c>
      <x:c r="K272" s="4" t="str">
        <x:f>IFERROR(INDEX('Crafting recipes'!$C$6:$C$1005,MATCH(J272,'Crafting recipes'!$A$6:$A$1005,0)),"MISSING ID")</x:f>
        <x:v>Material refinement</x:v>
      </x:c>
      <x:c r="L272" s="4" t="str">
        <x:f>IFERROR(INDEX('Material routes'!$K$6:$K$1005,MATCH(U272,'Material routes'!$A$6:$A$1005,0)),"MISSING ID")</x:f>
        <x:v>Proposal</x:v>
      </x:c>
      <x:c r="M272" s="4" t="str">
        <x:f>IFERROR(INDEX('Material routes'!$M$6:$M$1005,MATCH(U272,'Material routes'!$A$6:$A$1005,0)),"MISSING ID")</x:f>
        <x:v>Partial proposal</x:v>
      </x:c>
      <x:c r="N272" s="4" t="str">
        <x:f>IF(IFERROR(INDEX('Material routes'!$I$6:$I$1005,MATCH(U272,'Material routes'!$A$6:$A$1005,0)),"MISSING ID")=0,"",IFERROR(INDEX('Material routes'!$I$6:$I$1005,MATCH(U272,'Material routes'!$A$6:$A$1005,0)),"MISSING ID"))</x:f>
      </x:c>
      <x:c r="O272" s="4" t="str">
        <x:f>IFERROR(INDEX('Material routes'!$J$6:$J$1005,MATCH(U272,'Material routes'!$A$6:$A$1005,0)),"MISSING ID")</x:f>
        <x:v>Unspecified</x:v>
      </x:c>
      <x:c r="P272" s="4" t="str">
        <x:f>IF(IFERROR(INDEX('Material routes'!$I$6:$I$1005,MATCH(V272,'Material routes'!$A$6:$A$1005,0)),"MISSING ID")=0,"",IFERROR(INDEX('Material routes'!$I$6:$I$1005,MATCH(V272,'Material routes'!$A$6:$A$1005,0)),"MISSING ID"))</x:f>
      </x:c>
      <x:c r="Q272" s="4" t="str">
        <x:f>IFERROR(INDEX('Material routes'!$J$6:$J$1005,MATCH(V272,'Material routes'!$A$6:$A$1005,0)),"MISSING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routes'!$D$6:$D$1005,MATCH(U272,'Material routes'!$A$6:$A$1005,0)),"MISSING ID")</x:f>
        <x:v>proposal.t3.lining_stock</x:v>
      </x:c>
      <x:c r="T272" s="4" t="str">
        <x:f>IFERROR(INDEX('Material routes'!$D$6:$D$1005,MATCH(V272,'Material routes'!$A$6:$A$1005,0)),"MISSING ID")</x:f>
        <x:v>proposal.t4.vessel_liner</x:v>
      </x:c>
      <x:c r="U272" s="4" t="str">
        <x:v>design.t4.vessel_liner.in.1</x:v>
      </x:c>
      <x:c r="V272" s="4" t="str">
        <x:v>design.t4.vessel_liner.out</x:v>
      </x:c>
    </x:row>
    <x:row r="273" ht="115" customHeight="1">
      <x:c r="A273" s="4" t="str">
        <x:f>IFERROR(INDEX('Material routes'!$E$6:$E$1005,MATCH(U273,'Material routes'!$A$6:$A$1005,0)),"MISSING ID")</x:f>
        <x:v>Husk-reinforced packing stock</x:v>
      </x:c>
      <x:c r="B273" s="4" t="str">
        <x:f>IFERROR(INDEX('Material routes'!$F$6:$F$1005,MATCH(U273,'Material routes'!$A$6:$A$1005,0)),"MISSING ID")</x:f>
        <x:v>T3</x:v>
      </x:c>
      <x:c r="C273" s="4" t="str">
        <x:f>IFERROR(INDEX('Material routes'!$H$6:$H$1005,MATCH(U273,'Material routes'!$A$6:$A$1005,0)),"MISSING ID")</x:f>
        <x:v>Processed material</x:v>
      </x:c>
      <x:c r="D273" s="4" t="str">
        <x:f>IFERROR(INDEX('Material routes'!$G$6:$G$1005,MATCH(U273,'Material routes'!$A$6:$A$1005,0)),"MISSING ID")</x:f>
        <x:v>Resources</x:v>
      </x:c>
      <x:c r="E273" s="4" t="str">
        <x:f>IFERROR(INDEX('Material routes'!$C$6:$C$1005,MATCH(U273,'Material routes'!$A$6:$A$1005,0)),"MISSING ID")</x:f>
        <x:v>Ingredient candidate</x:v>
      </x:c>
      <x:c r="F273" s="4" t="str">
        <x:f>IFERROR(INDEX('Material routes'!$E$6:$E$1005,MATCH(V273,'Material routes'!$A$6:$A$1005,0)),"MISSING ID")</x:f>
        <x:v>Fitted chemical-vessel liner insert</x:v>
      </x:c>
      <x:c r="G273" s="4" t="str">
        <x:f>IFERROR(INDEX('Material routes'!$F$6:$F$1005,MATCH(V273,'Material routes'!$A$6:$A$1005,0)),"MISSING ID")</x:f>
        <x:v>T4</x:v>
      </x:c>
      <x:c r="H273" s="4" t="str">
        <x:f>IFERROR(INDEX('Material routes'!$H$6:$H$1005,MATCH(V273,'Material routes'!$A$6:$A$1005,0)),"MISSING ID")</x:f>
        <x:v>Crafting component</x:v>
      </x:c>
      <x:c r="I273" s="4" t="str">
        <x:f>IFERROR(INDEX('Material routes'!$G$6:$G$1005,MATCH(V273,'Material routes'!$A$6:$A$1005,0)),"MISSING ID")</x:f>
        <x:v>Crafting components</x:v>
      </x:c>
      <x:c r="J273" s="4" t="str">
        <x:f>IFERROR(INDEX('Material routes'!$B$6:$B$1005,MATCH(U273,'Material routes'!$A$6:$A$1005,0)),"MISSING ID")</x:f>
        <x:v>design.t4.vessel_liner</x:v>
      </x:c>
      <x:c r="K273" s="4" t="str">
        <x:f>IFERROR(INDEX('Crafting recipes'!$C$6:$C$1005,MATCH(J273,'Crafting recipes'!$A$6:$A$1005,0)),"MISSING ID")</x:f>
        <x:v>Material refinement</x:v>
      </x:c>
      <x:c r="L273" s="4" t="str">
        <x:f>IFERROR(INDEX('Material routes'!$K$6:$K$1005,MATCH(U273,'Material routes'!$A$6:$A$1005,0)),"MISSING ID")</x:f>
        <x:v>Proposal</x:v>
      </x:c>
      <x:c r="M273" s="4" t="str">
        <x:f>IFERROR(INDEX('Material routes'!$M$6:$M$1005,MATCH(U273,'Material routes'!$A$6:$A$1005,0)),"MISSING ID")</x:f>
        <x:v>Partial proposal</x:v>
      </x:c>
      <x:c r="N273" s="4" t="str">
        <x:f>IF(IFERROR(INDEX('Material routes'!$I$6:$I$1005,MATCH(U273,'Material routes'!$A$6:$A$1005,0)),"MISSING ID")=0,"",IFERROR(INDEX('Material routes'!$I$6:$I$1005,MATCH(U273,'Material routes'!$A$6:$A$1005,0)),"MISSING ID"))</x:f>
      </x:c>
      <x:c r="O273" s="4" t="str">
        <x:f>IFERROR(INDEX('Material routes'!$J$6:$J$1005,MATCH(U273,'Material routes'!$A$6:$A$1005,0)),"MISSING ID")</x:f>
        <x:v>Unspecified</x:v>
      </x:c>
      <x:c r="P273" s="4" t="str">
        <x:f>IF(IFERROR(INDEX('Material routes'!$I$6:$I$1005,MATCH(V273,'Material routes'!$A$6:$A$1005,0)),"MISSING ID")=0,"",IFERROR(INDEX('Material routes'!$I$6:$I$1005,MATCH(V273,'Material routes'!$A$6:$A$1005,0)),"MISSING ID"))</x:f>
      </x:c>
      <x:c r="Q273" s="4" t="str">
        <x:f>IFERROR(INDEX('Material routes'!$J$6:$J$1005,MATCH(V273,'Material routes'!$A$6:$A$1005,0)),"MISSING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routes'!$D$6:$D$1005,MATCH(U273,'Material routes'!$A$6:$A$1005,0)),"MISSING ID")</x:f>
        <x:v>proposal.t3.packing_stock</x:v>
      </x:c>
      <x:c r="T273" s="4" t="str">
        <x:f>IFERROR(INDEX('Material routes'!$D$6:$D$1005,MATCH(V273,'Material routes'!$A$6:$A$1005,0)),"MISSING ID")</x:f>
        <x:v>proposal.t4.vessel_liner</x:v>
      </x:c>
      <x:c r="U273" s="4" t="str">
        <x:v>design.t4.vessel_liner.in.2</x:v>
      </x:c>
      <x:c r="V273" s="4" t="str">
        <x:v>design.t4.vessel_liner.out</x:v>
      </x:c>
    </x:row>
    <x:row r="274" ht="115" customHeight="1">
      <x:c r="A274" s="4" t="str">
        <x:f>IFERROR(INDEX('Material routes'!$E$6:$E$1005,MATCH(U274,'Material routes'!$A$6:$A$1005,0)),"MISSING ID")</x:f>
        <x:v>Reinforced sealing sheet</x:v>
      </x:c>
      <x:c r="B274" s="4" t="str">
        <x:f>IFERROR(INDEX('Material routes'!$F$6:$F$1005,MATCH(U274,'Material routes'!$A$6:$A$1005,0)),"MISSING ID")</x:f>
        <x:v>T3</x:v>
      </x:c>
      <x:c r="C274" s="4" t="str">
        <x:f>IFERROR(INDEX('Material routes'!$H$6:$H$1005,MATCH(U274,'Material routes'!$A$6:$A$1005,0)),"MISSING ID")</x:f>
        <x:v>Processed material</x:v>
      </x:c>
      <x:c r="D274" s="4" t="str">
        <x:f>IFERROR(INDEX('Material routes'!$G$6:$G$1005,MATCH(U274,'Material routes'!$A$6:$A$1005,0)),"MISSING ID")</x:f>
        <x:v>Resources</x:v>
      </x:c>
      <x:c r="E274" s="4" t="str">
        <x:f>IFERROR(INDEX('Material routes'!$C$6:$C$1005,MATCH(U274,'Material routes'!$A$6:$A$1005,0)),"MISSING ID")</x:f>
        <x:v>Ingredient candidate</x:v>
      </x:c>
      <x:c r="F274" s="4" t="str">
        <x:f>IFERROR(INDEX('Material routes'!$E$6:$E$1005,MATCH(V274,'Material routes'!$A$6:$A$1005,0)),"MISSING ID")</x:f>
        <x:v>Fitted chemical-vessel liner insert</x:v>
      </x:c>
      <x:c r="G274" s="4" t="str">
        <x:f>IFERROR(INDEX('Material routes'!$F$6:$F$1005,MATCH(V274,'Material routes'!$A$6:$A$1005,0)),"MISSING ID")</x:f>
        <x:v>T4</x:v>
      </x:c>
      <x:c r="H274" s="4" t="str">
        <x:f>IFERROR(INDEX('Material routes'!$H$6:$H$1005,MATCH(V274,'Material routes'!$A$6:$A$1005,0)),"MISSING ID")</x:f>
        <x:v>Crafting component</x:v>
      </x:c>
      <x:c r="I274" s="4" t="str">
        <x:f>IFERROR(INDEX('Material routes'!$G$6:$G$1005,MATCH(V274,'Material routes'!$A$6:$A$1005,0)),"MISSING ID")</x:f>
        <x:v>Crafting components</x:v>
      </x:c>
      <x:c r="J274" s="4" t="str">
        <x:f>IFERROR(INDEX('Material routes'!$B$6:$B$1005,MATCH(U274,'Material routes'!$A$6:$A$1005,0)),"MISSING ID")</x:f>
        <x:v>design.t4.vessel_liner</x:v>
      </x:c>
      <x:c r="K274" s="4" t="str">
        <x:f>IFERROR(INDEX('Crafting recipes'!$C$6:$C$1005,MATCH(J274,'Crafting recipes'!$A$6:$A$1005,0)),"MISSING ID")</x:f>
        <x:v>Material refinement</x:v>
      </x:c>
      <x:c r="L274" s="4" t="str">
        <x:f>IFERROR(INDEX('Material routes'!$K$6:$K$1005,MATCH(U274,'Material routes'!$A$6:$A$1005,0)),"MISSING ID")</x:f>
        <x:v>Proposal</x:v>
      </x:c>
      <x:c r="M274" s="4" t="str">
        <x:f>IFERROR(INDEX('Material routes'!$M$6:$M$1005,MATCH(U274,'Material routes'!$A$6:$A$1005,0)),"MISSING ID")</x:f>
        <x:v>Partial proposal</x:v>
      </x:c>
      <x:c r="N274" s="4" t="str">
        <x:f>IF(IFERROR(INDEX('Material routes'!$I$6:$I$1005,MATCH(U274,'Material routes'!$A$6:$A$1005,0)),"MISSING ID")=0,"",IFERROR(INDEX('Material routes'!$I$6:$I$1005,MATCH(U274,'Material routes'!$A$6:$A$1005,0)),"MISSING ID"))</x:f>
      </x:c>
      <x:c r="O274" s="4" t="str">
        <x:f>IFERROR(INDEX('Material routes'!$J$6:$J$1005,MATCH(U274,'Material routes'!$A$6:$A$1005,0)),"MISSING ID")</x:f>
        <x:v>Unspecified</x:v>
      </x:c>
      <x:c r="P274" s="4" t="str">
        <x:f>IF(IFERROR(INDEX('Material routes'!$I$6:$I$1005,MATCH(V274,'Material routes'!$A$6:$A$1005,0)),"MISSING ID")=0,"",IFERROR(INDEX('Material routes'!$I$6:$I$1005,MATCH(V274,'Material routes'!$A$6:$A$1005,0)),"MISSING ID"))</x:f>
      </x:c>
      <x:c r="Q274" s="4" t="str">
        <x:f>IFERROR(INDEX('Material routes'!$J$6:$J$1005,MATCH(V274,'Material routes'!$A$6:$A$1005,0)),"MISSING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routes'!$D$6:$D$1005,MATCH(U274,'Material routes'!$A$6:$A$1005,0)),"MISSING ID")</x:f>
        <x:v>proposal.branch.sealing_sheet</x:v>
      </x:c>
      <x:c r="T274" s="4" t="str">
        <x:f>IFERROR(INDEX('Material routes'!$D$6:$D$1005,MATCH(V274,'Material routes'!$A$6:$A$1005,0)),"MISSING ID")</x:f>
        <x:v>proposal.t4.vessel_liner</x:v>
      </x:c>
      <x:c r="U274" s="4" t="str">
        <x:v>design.t4.vessel_liner.in.3</x:v>
      </x:c>
      <x:c r="V274" s="4" t="str">
        <x:v>design.t4.vessel_liner.out</x:v>
      </x:c>
    </x:row>
    <x:row r="275" ht="115" customHeight="1">
      <x:c r="A275" s="4" t="str">
        <x:f>IFERROR(INDEX('Material routes'!$E$6:$E$1005,MATCH(U275,'Material routes'!$A$6:$A$1005,0)),"MISSING ID")</x:f>
        <x:v>Bonded abrasive-faced stock</x:v>
      </x:c>
      <x:c r="B275" s="4" t="str">
        <x:f>IFERROR(INDEX('Material routes'!$F$6:$F$1005,MATCH(U275,'Material routes'!$A$6:$A$1005,0)),"MISSING ID")</x:f>
        <x:v>T3</x:v>
      </x:c>
      <x:c r="C275" s="4" t="str">
        <x:f>IFERROR(INDEX('Material routes'!$H$6:$H$1005,MATCH(U275,'Material routes'!$A$6:$A$1005,0)),"MISSING ID")</x:f>
        <x:v>Processed material</x:v>
      </x:c>
      <x:c r="D275" s="4" t="str">
        <x:f>IFERROR(INDEX('Material routes'!$G$6:$G$1005,MATCH(U275,'Material routes'!$A$6:$A$1005,0)),"MISSING ID")</x:f>
        <x:v>Resources</x:v>
      </x:c>
      <x:c r="E275" s="4" t="str">
        <x:f>IFERROR(INDEX('Material routes'!$C$6:$C$1005,MATCH(U275,'Material routes'!$A$6:$A$1005,0)),"MISSING ID")</x:f>
        <x:v>Ingredient candidate</x:v>
      </x:c>
      <x:c r="F275" s="4" t="str">
        <x:f>IFERROR(INDEX('Material routes'!$E$6:$E$1005,MATCH(V275,'Material routes'!$A$6:$A$1005,0)),"MISSING ID")</x:f>
        <x:v>Replaceable abrasive-head assembly</x:v>
      </x:c>
      <x:c r="G275" s="4" t="str">
        <x:f>IFERROR(INDEX('Material routes'!$F$6:$F$1005,MATCH(V275,'Material routes'!$A$6:$A$1005,0)),"MISSING ID")</x:f>
        <x:v>T4</x:v>
      </x:c>
      <x:c r="H275" s="4" t="str">
        <x:f>IFERROR(INDEX('Material routes'!$H$6:$H$1005,MATCH(V275,'Material routes'!$A$6:$A$1005,0)),"MISSING ID")</x:f>
        <x:v>Crafting component</x:v>
      </x:c>
      <x:c r="I275" s="4" t="str">
        <x:f>IFERROR(INDEX('Material routes'!$G$6:$G$1005,MATCH(V275,'Material routes'!$A$6:$A$1005,0)),"MISSING ID")</x:f>
        <x:v>Crafting components</x:v>
      </x:c>
      <x:c r="J275" s="4" t="str">
        <x:f>IFERROR(INDEX('Material routes'!$B$6:$B$1005,MATCH(U275,'Material routes'!$A$6:$A$1005,0)),"MISSING ID")</x:f>
        <x:v>design.t4.grinding_head</x:v>
      </x:c>
      <x:c r="K275" s="4" t="str">
        <x:f>IFERROR(INDEX('Crafting recipes'!$C$6:$C$1005,MATCH(J275,'Crafting recipes'!$A$6:$A$1005,0)),"MISSING ID")</x:f>
        <x:v>Material refinement</x:v>
      </x:c>
      <x:c r="L275" s="4" t="str">
        <x:f>IFERROR(INDEX('Material routes'!$K$6:$K$1005,MATCH(U275,'Material routes'!$A$6:$A$1005,0)),"MISSING ID")</x:f>
        <x:v>Proposal</x:v>
      </x:c>
      <x:c r="M275" s="4" t="str">
        <x:f>IFERROR(INDEX('Material routes'!$M$6:$M$1005,MATCH(U275,'Material routes'!$A$6:$A$1005,0)),"MISSING ID")</x:f>
        <x:v>Partial proposal</x:v>
      </x:c>
      <x:c r="N275" s="4" t="str">
        <x:f>IF(IFERROR(INDEX('Material routes'!$I$6:$I$1005,MATCH(U275,'Material routes'!$A$6:$A$1005,0)),"MISSING ID")=0,"",IFERROR(INDEX('Material routes'!$I$6:$I$1005,MATCH(U275,'Material routes'!$A$6:$A$1005,0)),"MISSING ID"))</x:f>
      </x:c>
      <x:c r="O275" s="4" t="str">
        <x:f>IFERROR(INDEX('Material routes'!$J$6:$J$1005,MATCH(U275,'Material routes'!$A$6:$A$1005,0)),"MISSING ID")</x:f>
        <x:v>Unspecified</x:v>
      </x:c>
      <x:c r="P275" s="4" t="str">
        <x:f>IF(IFERROR(INDEX('Material routes'!$I$6:$I$1005,MATCH(V275,'Material routes'!$A$6:$A$1005,0)),"MISSING ID")=0,"",IFERROR(INDEX('Material routes'!$I$6:$I$1005,MATCH(V275,'Material routes'!$A$6:$A$1005,0)),"MISSING ID"))</x:f>
      </x:c>
      <x:c r="Q275" s="4" t="str">
        <x:f>IFERROR(INDEX('Material routes'!$J$6:$J$1005,MATCH(V275,'Material routes'!$A$6:$A$1005,0)),"MISSING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routes'!$D$6:$D$1005,MATCH(U275,'Material routes'!$A$6:$A$1005,0)),"MISSING ID")</x:f>
        <x:v>proposal.t3.abrasive_stock</x:v>
      </x:c>
      <x:c r="T275" s="4" t="str">
        <x:f>IFERROR(INDEX('Material routes'!$D$6:$D$1005,MATCH(V275,'Material routes'!$A$6:$A$1005,0)),"MISSING ID")</x:f>
        <x:v>proposal.t4.grinding_head</x:v>
      </x:c>
      <x:c r="U275" s="4" t="str">
        <x:v>design.t4.grinding_head.in.1</x:v>
      </x:c>
      <x:c r="V275" s="4" t="str">
        <x:v>design.t4.grinding_head.out</x:v>
      </x:c>
    </x:row>
    <x:row r="276" ht="115" customHeight="1">
      <x:c r="A276" s="4" t="str">
        <x:f>IFERROR(INDEX('Material routes'!$E$6:$E$1005,MATCH(U276,'Material routes'!$A$6:$A$1005,0)),"MISSING ID")</x:f>
        <x:v>Heat-treated steel gear blanks</x:v>
      </x:c>
      <x:c r="B276" s="4" t="str">
        <x:f>IFERROR(INDEX('Material routes'!$F$6:$F$1005,MATCH(U276,'Material routes'!$A$6:$A$1005,0)),"MISSING ID")</x:f>
        <x:v>T3</x:v>
      </x:c>
      <x:c r="C276" s="4" t="str">
        <x:f>IFERROR(INDEX('Material routes'!$H$6:$H$1005,MATCH(U276,'Material routes'!$A$6:$A$1005,0)),"MISSING ID")</x:f>
        <x:v>Crafting component</x:v>
      </x:c>
      <x:c r="D276" s="4" t="str">
        <x:f>IFERROR(INDEX('Material routes'!$G$6:$G$1005,MATCH(U276,'Material routes'!$A$6:$A$1005,0)),"MISSING ID")</x:f>
        <x:v>Crafting components</x:v>
      </x:c>
      <x:c r="E276" s="4" t="str">
        <x:f>IFERROR(INDEX('Material routes'!$C$6:$C$1005,MATCH(U276,'Material routes'!$A$6:$A$1005,0)),"MISSING ID")</x:f>
        <x:v>Ingredient candidate</x:v>
      </x:c>
      <x:c r="F276" s="4" t="str">
        <x:f>IFERROR(INDEX('Material routes'!$E$6:$E$1005,MATCH(V276,'Material routes'!$A$6:$A$1005,0)),"MISSING ID")</x:f>
        <x:v>Replaceable abrasive-head assembly</x:v>
      </x:c>
      <x:c r="G276" s="4" t="str">
        <x:f>IFERROR(INDEX('Material routes'!$F$6:$F$1005,MATCH(V276,'Material routes'!$A$6:$A$1005,0)),"MISSING ID")</x:f>
        <x:v>T4</x:v>
      </x:c>
      <x:c r="H276" s="4" t="str">
        <x:f>IFERROR(INDEX('Material routes'!$H$6:$H$1005,MATCH(V276,'Material routes'!$A$6:$A$1005,0)),"MISSING ID")</x:f>
        <x:v>Crafting component</x:v>
      </x:c>
      <x:c r="I276" s="4" t="str">
        <x:f>IFERROR(INDEX('Material routes'!$G$6:$G$1005,MATCH(V276,'Material routes'!$A$6:$A$1005,0)),"MISSING ID")</x:f>
        <x:v>Crafting components</x:v>
      </x:c>
      <x:c r="J276" s="4" t="str">
        <x:f>IFERROR(INDEX('Material routes'!$B$6:$B$1005,MATCH(U276,'Material routes'!$A$6:$A$1005,0)),"MISSING ID")</x:f>
        <x:v>design.t4.grinding_head</x:v>
      </x:c>
      <x:c r="K276" s="4" t="str">
        <x:f>IFERROR(INDEX('Crafting recipes'!$C$6:$C$1005,MATCH(J276,'Crafting recipes'!$A$6:$A$1005,0)),"MISSING ID")</x:f>
        <x:v>Material refinement</x:v>
      </x:c>
      <x:c r="L276" s="4" t="str">
        <x:f>IFERROR(INDEX('Material routes'!$K$6:$K$1005,MATCH(U276,'Material routes'!$A$6:$A$1005,0)),"MISSING ID")</x:f>
        <x:v>Proposal</x:v>
      </x:c>
      <x:c r="M276" s="4" t="str">
        <x:f>IFERROR(INDEX('Material routes'!$M$6:$M$1005,MATCH(U276,'Material routes'!$A$6:$A$1005,0)),"MISSING ID")</x:f>
        <x:v>Partial proposal</x:v>
      </x:c>
      <x:c r="N276" s="4" t="str">
        <x:f>IF(IFERROR(INDEX('Material routes'!$I$6:$I$1005,MATCH(U276,'Material routes'!$A$6:$A$1005,0)),"MISSING ID")=0,"",IFERROR(INDEX('Material routes'!$I$6:$I$1005,MATCH(U276,'Material routes'!$A$6:$A$1005,0)),"MISSING ID"))</x:f>
      </x:c>
      <x:c r="O276" s="4" t="str">
        <x:f>IFERROR(INDEX('Material routes'!$J$6:$J$1005,MATCH(U276,'Material routes'!$A$6:$A$1005,0)),"MISSING ID")</x:f>
        <x:v>Unspecified</x:v>
      </x:c>
      <x:c r="P276" s="4" t="str">
        <x:f>IF(IFERROR(INDEX('Material routes'!$I$6:$I$1005,MATCH(V276,'Material routes'!$A$6:$A$1005,0)),"MISSING ID")=0,"",IFERROR(INDEX('Material routes'!$I$6:$I$1005,MATCH(V276,'Material routes'!$A$6:$A$1005,0)),"MISSING ID"))</x:f>
      </x:c>
      <x:c r="Q276" s="4" t="str">
        <x:f>IFERROR(INDEX('Material routes'!$J$6:$J$1005,MATCH(V276,'Material routes'!$A$6:$A$1005,0)),"MISSING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routes'!$D$6:$D$1005,MATCH(U276,'Material routes'!$A$6:$A$1005,0)),"MISSING ID")</x:f>
        <x:v>proposal.t3.gear_blank</x:v>
      </x:c>
      <x:c r="T276" s="4" t="str">
        <x:f>IFERROR(INDEX('Material routes'!$D$6:$D$1005,MATCH(V276,'Material routes'!$A$6:$A$1005,0)),"MISSING ID")</x:f>
        <x:v>proposal.t4.grinding_head</x:v>
      </x:c>
      <x:c r="U276" s="4" t="str">
        <x:v>design.t4.grinding_head.in.2</x:v>
      </x:c>
      <x:c r="V276" s="4" t="str">
        <x:v>design.t4.grinding_head.out</x:v>
      </x:c>
    </x:row>
    <x:row r="277" ht="115" customHeight="1">
      <x:c r="A277" s="4" t="str">
        <x:f>IFERROR(INDEX('Material routes'!$E$6:$E$1005,MATCH(U277,'Material routes'!$A$6:$A$1005,0)),"MISSING ID")</x:f>
        <x:v>Prepared bronze bearing stock</x:v>
      </x:c>
      <x:c r="B277" s="4" t="str">
        <x:f>IFERROR(INDEX('Material routes'!$F$6:$F$1005,MATCH(U277,'Material routes'!$A$6:$A$1005,0)),"MISSING ID")</x:f>
        <x:v>T2</x:v>
      </x:c>
      <x:c r="C277" s="4" t="str">
        <x:f>IFERROR(INDEX('Material routes'!$H$6:$H$1005,MATCH(U277,'Material routes'!$A$6:$A$1005,0)),"MISSING ID")</x:f>
        <x:v>Processed material</x:v>
      </x:c>
      <x:c r="D277" s="4" t="str">
        <x:f>IFERROR(INDEX('Material routes'!$G$6:$G$1005,MATCH(U277,'Material routes'!$A$6:$A$1005,0)),"MISSING ID")</x:f>
        <x:v>Resources</x:v>
      </x:c>
      <x:c r="E277" s="4" t="str">
        <x:f>IFERROR(INDEX('Material routes'!$C$6:$C$1005,MATCH(U277,'Material routes'!$A$6:$A$1005,0)),"MISSING ID")</x:f>
        <x:v>Ingredient candidate</x:v>
      </x:c>
      <x:c r="F277" s="4" t="str">
        <x:f>IFERROR(INDEX('Material routes'!$E$6:$E$1005,MATCH(V277,'Material routes'!$A$6:$A$1005,0)),"MISSING ID")</x:f>
        <x:v>Replaceable abrasive-head assembly</x:v>
      </x:c>
      <x:c r="G277" s="4" t="str">
        <x:f>IFERROR(INDEX('Material routes'!$F$6:$F$1005,MATCH(V277,'Material routes'!$A$6:$A$1005,0)),"MISSING ID")</x:f>
        <x:v>T4</x:v>
      </x:c>
      <x:c r="H277" s="4" t="str">
        <x:f>IFERROR(INDEX('Material routes'!$H$6:$H$1005,MATCH(V277,'Material routes'!$A$6:$A$1005,0)),"MISSING ID")</x:f>
        <x:v>Crafting component</x:v>
      </x:c>
      <x:c r="I277" s="4" t="str">
        <x:f>IFERROR(INDEX('Material routes'!$G$6:$G$1005,MATCH(V277,'Material routes'!$A$6:$A$1005,0)),"MISSING ID")</x:f>
        <x:v>Crafting components</x:v>
      </x:c>
      <x:c r="J277" s="4" t="str">
        <x:f>IFERROR(INDEX('Material routes'!$B$6:$B$1005,MATCH(U277,'Material routes'!$A$6:$A$1005,0)),"MISSING ID")</x:f>
        <x:v>design.t4.grinding_head</x:v>
      </x:c>
      <x:c r="K277" s="4" t="str">
        <x:f>IFERROR(INDEX('Crafting recipes'!$C$6:$C$1005,MATCH(J277,'Crafting recipes'!$A$6:$A$1005,0)),"MISSING ID")</x:f>
        <x:v>Material refinement</x:v>
      </x:c>
      <x:c r="L277" s="4" t="str">
        <x:f>IFERROR(INDEX('Material routes'!$K$6:$K$1005,MATCH(U277,'Material routes'!$A$6:$A$1005,0)),"MISSING ID")</x:f>
        <x:v>Proposal</x:v>
      </x:c>
      <x:c r="M277" s="4" t="str">
        <x:f>IFERROR(INDEX('Material routes'!$M$6:$M$1005,MATCH(U277,'Material routes'!$A$6:$A$1005,0)),"MISSING ID")</x:f>
        <x:v>Partial proposal</x:v>
      </x:c>
      <x:c r="N277" s="4" t="str">
        <x:f>IF(IFERROR(INDEX('Material routes'!$I$6:$I$1005,MATCH(U277,'Material routes'!$A$6:$A$1005,0)),"MISSING ID")=0,"",IFERROR(INDEX('Material routes'!$I$6:$I$1005,MATCH(U277,'Material routes'!$A$6:$A$1005,0)),"MISSING ID"))</x:f>
      </x:c>
      <x:c r="O277" s="4" t="str">
        <x:f>IFERROR(INDEX('Material routes'!$J$6:$J$1005,MATCH(U277,'Material routes'!$A$6:$A$1005,0)),"MISSING ID")</x:f>
        <x:v>Unspecified</x:v>
      </x:c>
      <x:c r="P277" s="4" t="str">
        <x:f>IF(IFERROR(INDEX('Material routes'!$I$6:$I$1005,MATCH(V277,'Material routes'!$A$6:$A$1005,0)),"MISSING ID")=0,"",IFERROR(INDEX('Material routes'!$I$6:$I$1005,MATCH(V277,'Material routes'!$A$6:$A$1005,0)),"MISSING ID"))</x:f>
      </x:c>
      <x:c r="Q277" s="4" t="str">
        <x:f>IFERROR(INDEX('Material routes'!$J$6:$J$1005,MATCH(V277,'Material routes'!$A$6:$A$1005,0)),"MISSING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routes'!$D$6:$D$1005,MATCH(U277,'Material routes'!$A$6:$A$1005,0)),"MISSING ID")</x:f>
        <x:v>proposal.branch.bearing_bronze</x:v>
      </x:c>
      <x:c r="T277" s="4" t="str">
        <x:f>IFERROR(INDEX('Material routes'!$D$6:$D$1005,MATCH(V277,'Material routes'!$A$6:$A$1005,0)),"MISSING ID")</x:f>
        <x:v>proposal.t4.grinding_head</x:v>
      </x:c>
      <x:c r="U277" s="4" t="str">
        <x:v>design.t4.grinding_head.in.3</x:v>
      </x:c>
      <x:c r="V277" s="4" t="str">
        <x:v>design.t4.grinding_head.out</x:v>
      </x:c>
    </x:row>
    <x:row r="278" ht="115" customHeight="1">
      <x:c r="A278" s="4" t="str">
        <x:f>IFERROR(INDEX('Material routes'!$E$6:$E$1005,MATCH(U278,'Material routes'!$A$6:$A$1005,0)),"MISSING ID")</x:f>
        <x:v>Layered husk composite stock</x:v>
      </x:c>
      <x:c r="B278" s="4" t="str">
        <x:f>IFERROR(INDEX('Material routes'!$F$6:$F$1005,MATCH(U278,'Material routes'!$A$6:$A$1005,0)),"MISSING ID")</x:f>
        <x:v>T3</x:v>
      </x:c>
      <x:c r="C278" s="4" t="str">
        <x:f>IFERROR(INDEX('Material routes'!$H$6:$H$1005,MATCH(U278,'Material routes'!$A$6:$A$1005,0)),"MISSING ID")</x:f>
        <x:v>Processed material</x:v>
      </x:c>
      <x:c r="D278" s="4" t="str">
        <x:f>IFERROR(INDEX('Material routes'!$G$6:$G$1005,MATCH(U278,'Material routes'!$A$6:$A$1005,0)),"MISSING ID")</x:f>
        <x:v>Resources</x:v>
      </x:c>
      <x:c r="E278" s="4" t="str">
        <x:f>IFERROR(INDEX('Material routes'!$C$6:$C$1005,MATCH(U278,'Material routes'!$A$6:$A$1005,0)),"MISSING ID")</x:f>
        <x:v>Ingredient candidate</x:v>
      </x:c>
      <x:c r="F278" s="4" t="str">
        <x:f>IFERROR(INDEX('Material routes'!$E$6:$E$1005,MATCH(V278,'Material routes'!$A$6:$A$1005,0)),"MISSING ID")</x:f>
        <x:v>Pressed mineral-husk insulating board</x:v>
      </x:c>
      <x:c r="G278" s="4" t="str">
        <x:f>IFERROR(INDEX('Material routes'!$F$6:$F$1005,MATCH(V278,'Material routes'!$A$6:$A$1005,0)),"MISSING ID")</x:f>
        <x:v>T4</x:v>
      </x:c>
      <x:c r="H278" s="4" t="str">
        <x:f>IFERROR(INDEX('Material routes'!$H$6:$H$1005,MATCH(V278,'Material routes'!$A$6:$A$1005,0)),"MISSING ID")</x:f>
        <x:v>Processed material</x:v>
      </x:c>
      <x:c r="I278" s="4" t="str">
        <x:f>IFERROR(INDEX('Material routes'!$G$6:$G$1005,MATCH(V278,'Material routes'!$A$6:$A$1005,0)),"MISSING ID")</x:f>
        <x:v>Resources</x:v>
      </x:c>
      <x:c r="J278" s="4" t="str">
        <x:f>IFERROR(INDEX('Material routes'!$B$6:$B$1005,MATCH(U278,'Material routes'!$A$6:$A$1005,0)),"MISSING ID")</x:f>
        <x:v>design.t4.insulating_board</x:v>
      </x:c>
      <x:c r="K278" s="4" t="str">
        <x:f>IFERROR(INDEX('Crafting recipes'!$C$6:$C$1005,MATCH(J278,'Crafting recipes'!$A$6:$A$1005,0)),"MISSING ID")</x:f>
        <x:v>Material refinement</x:v>
      </x:c>
      <x:c r="L278" s="4" t="str">
        <x:f>IFERROR(INDEX('Material routes'!$K$6:$K$1005,MATCH(U278,'Material routes'!$A$6:$A$1005,0)),"MISSING ID")</x:f>
        <x:v>Proposal</x:v>
      </x:c>
      <x:c r="M278" s="4" t="str">
        <x:f>IFERROR(INDEX('Material routes'!$M$6:$M$1005,MATCH(U278,'Material routes'!$A$6:$A$1005,0)),"MISSING ID")</x:f>
        <x:v>Partial proposal</x:v>
      </x:c>
      <x:c r="N278" s="4" t="str">
        <x:f>IF(IFERROR(INDEX('Material routes'!$I$6:$I$1005,MATCH(U278,'Material routes'!$A$6:$A$1005,0)),"MISSING ID")=0,"",IFERROR(INDEX('Material routes'!$I$6:$I$1005,MATCH(U278,'Material routes'!$A$6:$A$1005,0)),"MISSING ID"))</x:f>
      </x:c>
      <x:c r="O278" s="4" t="str">
        <x:f>IFERROR(INDEX('Material routes'!$J$6:$J$1005,MATCH(U278,'Material routes'!$A$6:$A$1005,0)),"MISSING ID")</x:f>
        <x:v>Unspecified</x:v>
      </x:c>
      <x:c r="P278" s="4" t="str">
        <x:f>IF(IFERROR(INDEX('Material routes'!$I$6:$I$1005,MATCH(V278,'Material routes'!$A$6:$A$1005,0)),"MISSING ID")=0,"",IFERROR(INDEX('Material routes'!$I$6:$I$1005,MATCH(V278,'Material routes'!$A$6:$A$1005,0)),"MISSING ID"))</x:f>
      </x:c>
      <x:c r="Q278" s="4" t="str">
        <x:f>IFERROR(INDEX('Material routes'!$J$6:$J$1005,MATCH(V278,'Material routes'!$A$6:$A$1005,0)),"MISSING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routes'!$D$6:$D$1005,MATCH(U278,'Material routes'!$A$6:$A$1005,0)),"MISSING ID")</x:f>
        <x:v>proposal.branch.husk_composite</x:v>
      </x:c>
      <x:c r="T278" s="4" t="str">
        <x:f>IFERROR(INDEX('Material routes'!$D$6:$D$1005,MATCH(V278,'Material routes'!$A$6:$A$1005,0)),"MISSING ID")</x:f>
        <x:v>proposal.t4.insulating_board</x:v>
      </x:c>
      <x:c r="U278" s="4" t="str">
        <x:v>design.t4.insulating_board.in.1</x:v>
      </x:c>
      <x:c r="V278" s="4" t="str">
        <x:v>design.t4.insulating_board.out</x:v>
      </x:c>
    </x:row>
    <x:row r="279" ht="115" customHeight="1">
      <x:c r="A279" s="4" t="str">
        <x:f>IFERROR(INDEX('Material routes'!$E$6:$E$1005,MATCH(U279,'Material routes'!$A$6:$A$1005,0)),"MISSING ID")</x:f>
        <x:v>Reinforced sealing sheet</x:v>
      </x:c>
      <x:c r="B279" s="4" t="str">
        <x:f>IFERROR(INDEX('Material routes'!$F$6:$F$1005,MATCH(U279,'Material routes'!$A$6:$A$1005,0)),"MISSING ID")</x:f>
        <x:v>T3</x:v>
      </x:c>
      <x:c r="C279" s="4" t="str">
        <x:f>IFERROR(INDEX('Material routes'!$H$6:$H$1005,MATCH(U279,'Material routes'!$A$6:$A$1005,0)),"MISSING ID")</x:f>
        <x:v>Processed material</x:v>
      </x:c>
      <x:c r="D279" s="4" t="str">
        <x:f>IFERROR(INDEX('Material routes'!$G$6:$G$1005,MATCH(U279,'Material routes'!$A$6:$A$1005,0)),"MISSING ID")</x:f>
        <x:v>Resources</x:v>
      </x:c>
      <x:c r="E279" s="4" t="str">
        <x:f>IFERROR(INDEX('Material routes'!$C$6:$C$1005,MATCH(U279,'Material routes'!$A$6:$A$1005,0)),"MISSING ID")</x:f>
        <x:v>Ingredient candidate</x:v>
      </x:c>
      <x:c r="F279" s="4" t="str">
        <x:f>IFERROR(INDEX('Material routes'!$E$6:$E$1005,MATCH(V279,'Material routes'!$A$6:$A$1005,0)),"MISSING ID")</x:f>
        <x:v>Pressed mineral-husk insulating board</x:v>
      </x:c>
      <x:c r="G279" s="4" t="str">
        <x:f>IFERROR(INDEX('Material routes'!$F$6:$F$1005,MATCH(V279,'Material routes'!$A$6:$A$1005,0)),"MISSING ID")</x:f>
        <x:v>T4</x:v>
      </x:c>
      <x:c r="H279" s="4" t="str">
        <x:f>IFERROR(INDEX('Material routes'!$H$6:$H$1005,MATCH(V279,'Material routes'!$A$6:$A$1005,0)),"MISSING ID")</x:f>
        <x:v>Processed material</x:v>
      </x:c>
      <x:c r="I279" s="4" t="str">
        <x:f>IFERROR(INDEX('Material routes'!$G$6:$G$1005,MATCH(V279,'Material routes'!$A$6:$A$1005,0)),"MISSING ID")</x:f>
        <x:v>Resources</x:v>
      </x:c>
      <x:c r="J279" s="4" t="str">
        <x:f>IFERROR(INDEX('Material routes'!$B$6:$B$1005,MATCH(U279,'Material routes'!$A$6:$A$1005,0)),"MISSING ID")</x:f>
        <x:v>design.t4.insulating_board</x:v>
      </x:c>
      <x:c r="K279" s="4" t="str">
        <x:f>IFERROR(INDEX('Crafting recipes'!$C$6:$C$1005,MATCH(J279,'Crafting recipes'!$A$6:$A$1005,0)),"MISSING ID")</x:f>
        <x:v>Material refinement</x:v>
      </x:c>
      <x:c r="L279" s="4" t="str">
        <x:f>IFERROR(INDEX('Material routes'!$K$6:$K$1005,MATCH(U279,'Material routes'!$A$6:$A$1005,0)),"MISSING ID")</x:f>
        <x:v>Proposal</x:v>
      </x:c>
      <x:c r="M279" s="4" t="str">
        <x:f>IFERROR(INDEX('Material routes'!$M$6:$M$1005,MATCH(U279,'Material routes'!$A$6:$A$1005,0)),"MISSING ID")</x:f>
        <x:v>Partial proposal</x:v>
      </x:c>
      <x:c r="N279" s="4" t="str">
        <x:f>IF(IFERROR(INDEX('Material routes'!$I$6:$I$1005,MATCH(U279,'Material routes'!$A$6:$A$1005,0)),"MISSING ID")=0,"",IFERROR(INDEX('Material routes'!$I$6:$I$1005,MATCH(U279,'Material routes'!$A$6:$A$1005,0)),"MISSING ID"))</x:f>
      </x:c>
      <x:c r="O279" s="4" t="str">
        <x:f>IFERROR(INDEX('Material routes'!$J$6:$J$1005,MATCH(U279,'Material routes'!$A$6:$A$1005,0)),"MISSING ID")</x:f>
        <x:v>Unspecified</x:v>
      </x:c>
      <x:c r="P279" s="4" t="str">
        <x:f>IF(IFERROR(INDEX('Material routes'!$I$6:$I$1005,MATCH(V279,'Material routes'!$A$6:$A$1005,0)),"MISSING ID")=0,"",IFERROR(INDEX('Material routes'!$I$6:$I$1005,MATCH(V279,'Material routes'!$A$6:$A$1005,0)),"MISSING ID"))</x:f>
      </x:c>
      <x:c r="Q279" s="4" t="str">
        <x:f>IFERROR(INDEX('Material routes'!$J$6:$J$1005,MATCH(V279,'Material routes'!$A$6:$A$1005,0)),"MISSING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routes'!$D$6:$D$1005,MATCH(U279,'Material routes'!$A$6:$A$1005,0)),"MISSING ID")</x:f>
        <x:v>proposal.branch.sealing_sheet</x:v>
      </x:c>
      <x:c r="T279" s="4" t="str">
        <x:f>IFERROR(INDEX('Material routes'!$D$6:$D$1005,MATCH(V279,'Material routes'!$A$6:$A$1005,0)),"MISSING ID")</x:f>
        <x:v>proposal.t4.insulating_board</x:v>
      </x:c>
      <x:c r="U279" s="4" t="str">
        <x:v>design.t4.insulating_board.in.2</x:v>
      </x:c>
      <x:c r="V279" s="4" t="str">
        <x:v>design.t4.insulating_board.out</x:v>
      </x:c>
    </x:row>
    <x:row r="280" ht="115" customHeight="1">
      <x:c r="A280" s="4" t="str">
        <x:f>IFERROR(INDEX('Material routes'!$E$6:$E$1005,MATCH(U280,'Material routes'!$A$6:$A$1005,0)),"MISSING ID")</x:f>
        <x:v>Mica composite sheet</x:v>
      </x:c>
      <x:c r="B280" s="4" t="str">
        <x:f>IFERROR(INDEX('Material routes'!$F$6:$F$1005,MATCH(U280,'Material routes'!$A$6:$A$1005,0)),"MISSING ID")</x:f>
        <x:v>T2</x:v>
      </x:c>
      <x:c r="C280" s="4" t="str">
        <x:f>IFERROR(INDEX('Material routes'!$H$6:$H$1005,MATCH(U280,'Material routes'!$A$6:$A$1005,0)),"MISSING ID")</x:f>
        <x:v>Processed material</x:v>
      </x:c>
      <x:c r="D280" s="4" t="str">
        <x:f>IFERROR(INDEX('Material routes'!$G$6:$G$1005,MATCH(U280,'Material routes'!$A$6:$A$1005,0)),"MISSING ID")</x:f>
        <x:v>Resources</x:v>
      </x:c>
      <x:c r="E280" s="4" t="str">
        <x:f>IFERROR(INDEX('Material routes'!$C$6:$C$1005,MATCH(U280,'Material routes'!$A$6:$A$1005,0)),"MISSING ID")</x:f>
        <x:v>Ingredient candidate</x:v>
      </x:c>
      <x:c r="F280" s="4" t="str">
        <x:f>IFERROR(INDEX('Material routes'!$E$6:$E$1005,MATCH(V280,'Material routes'!$A$6:$A$1005,0)),"MISSING ID")</x:f>
        <x:v>Pressed mineral-husk insulating board</x:v>
      </x:c>
      <x:c r="G280" s="4" t="str">
        <x:f>IFERROR(INDEX('Material routes'!$F$6:$F$1005,MATCH(V280,'Material routes'!$A$6:$A$1005,0)),"MISSING ID")</x:f>
        <x:v>T4</x:v>
      </x:c>
      <x:c r="H280" s="4" t="str">
        <x:f>IFERROR(INDEX('Material routes'!$H$6:$H$1005,MATCH(V280,'Material routes'!$A$6:$A$1005,0)),"MISSING ID")</x:f>
        <x:v>Processed material</x:v>
      </x:c>
      <x:c r="I280" s="4" t="str">
        <x:f>IFERROR(INDEX('Material routes'!$G$6:$G$1005,MATCH(V280,'Material routes'!$A$6:$A$1005,0)),"MISSING ID")</x:f>
        <x:v>Resources</x:v>
      </x:c>
      <x:c r="J280" s="4" t="str">
        <x:f>IFERROR(INDEX('Material routes'!$B$6:$B$1005,MATCH(U280,'Material routes'!$A$6:$A$1005,0)),"MISSING ID")</x:f>
        <x:v>design.t4.insulating_board</x:v>
      </x:c>
      <x:c r="K280" s="4" t="str">
        <x:f>IFERROR(INDEX('Crafting recipes'!$C$6:$C$1005,MATCH(J280,'Crafting recipes'!$A$6:$A$1005,0)),"MISSING ID")</x:f>
        <x:v>Material refinement</x:v>
      </x:c>
      <x:c r="L280" s="4" t="str">
        <x:f>IFERROR(INDEX('Material routes'!$K$6:$K$1005,MATCH(U280,'Material routes'!$A$6:$A$1005,0)),"MISSING ID")</x:f>
        <x:v>Proposal</x:v>
      </x:c>
      <x:c r="M280" s="4" t="str">
        <x:f>IFERROR(INDEX('Material routes'!$M$6:$M$1005,MATCH(U280,'Material routes'!$A$6:$A$1005,0)),"MISSING ID")</x:f>
        <x:v>Partial proposal</x:v>
      </x:c>
      <x:c r="N280" s="4" t="str">
        <x:f>IF(IFERROR(INDEX('Material routes'!$I$6:$I$1005,MATCH(U280,'Material routes'!$A$6:$A$1005,0)),"MISSING ID")=0,"",IFERROR(INDEX('Material routes'!$I$6:$I$1005,MATCH(U280,'Material routes'!$A$6:$A$1005,0)),"MISSING ID"))</x:f>
      </x:c>
      <x:c r="O280" s="4" t="str">
        <x:f>IFERROR(INDEX('Material routes'!$J$6:$J$1005,MATCH(U280,'Material routes'!$A$6:$A$1005,0)),"MISSING ID")</x:f>
        <x:v>Unspecified</x:v>
      </x:c>
      <x:c r="P280" s="4" t="str">
        <x:f>IF(IFERROR(INDEX('Material routes'!$I$6:$I$1005,MATCH(V280,'Material routes'!$A$6:$A$1005,0)),"MISSING ID")=0,"",IFERROR(INDEX('Material routes'!$I$6:$I$1005,MATCH(V280,'Material routes'!$A$6:$A$1005,0)),"MISSING ID"))</x:f>
      </x:c>
      <x:c r="Q280" s="4" t="str">
        <x:f>IFERROR(INDEX('Material routes'!$J$6:$J$1005,MATCH(V280,'Material routes'!$A$6:$A$1005,0)),"MISSING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routes'!$D$6:$D$1005,MATCH(U280,'Material routes'!$A$6:$A$1005,0)),"MISSING ID")</x:f>
        <x:v>proposal.branch.mica_sheet</x:v>
      </x:c>
      <x:c r="T280" s="4" t="str">
        <x:f>IFERROR(INDEX('Material routes'!$D$6:$D$1005,MATCH(V280,'Material routes'!$A$6:$A$1005,0)),"MISSING ID")</x:f>
        <x:v>proposal.t4.insulating_board</x:v>
      </x:c>
      <x:c r="U280" s="4" t="str">
        <x:v>design.t4.insulating_board.in.3</x:v>
      </x:c>
      <x:c r="V280" s="4" t="str">
        <x:v>design.t4.insulating_board.out</x:v>
      </x:c>
    </x:row>
    <x:row r="281" ht="115" customHeight="1">
      <x:c r="A281" s="4" t="str">
        <x:f>IFERROR(INDEX('Material routes'!$E$6:$E$1005,MATCH(U281,'Material routes'!$A$6:$A$1005,0)),"MISSING ID")</x:f>
        <x:v>Gem-inlaid metal panel blanks</x:v>
      </x:c>
      <x:c r="B281" s="4" t="str">
        <x:f>IFERROR(INDEX('Material routes'!$F$6:$F$1005,MATCH(U281,'Material routes'!$A$6:$A$1005,0)),"MISSING ID")</x:f>
        <x:v>T3</x:v>
      </x:c>
      <x:c r="C281" s="4" t="str">
        <x:f>IFERROR(INDEX('Material routes'!$H$6:$H$1005,MATCH(U281,'Material routes'!$A$6:$A$1005,0)),"MISSING ID")</x:f>
        <x:v>Processed material</x:v>
      </x:c>
      <x:c r="D281" s="4" t="str">
        <x:f>IFERROR(INDEX('Material routes'!$G$6:$G$1005,MATCH(U281,'Material routes'!$A$6:$A$1005,0)),"MISSING ID")</x:f>
        <x:v>Resources</x:v>
      </x:c>
      <x:c r="E281" s="4" t="str">
        <x:f>IFERROR(INDEX('Material routes'!$C$6:$C$1005,MATCH(U281,'Material routes'!$A$6:$A$1005,0)),"MISSING ID")</x:f>
        <x:v>Ingredient candidate</x:v>
      </x:c>
      <x:c r="F281" s="4" t="str">
        <x:f>IFERROR(INDEX('Material routes'!$E$6:$E$1005,MATCH(V281,'Material routes'!$A$6:$A$1005,0)),"MISSING ID")</x:f>
        <x:v>Layered ceremonial inlay stock</x:v>
      </x:c>
      <x:c r="G281" s="4" t="str">
        <x:f>IFERROR(INDEX('Material routes'!$F$6:$F$1005,MATCH(V281,'Material routes'!$A$6:$A$1005,0)),"MISSING ID")</x:f>
        <x:v>T4</x:v>
      </x:c>
      <x:c r="H281" s="4" t="str">
        <x:f>IFERROR(INDEX('Material routes'!$H$6:$H$1005,MATCH(V281,'Material routes'!$A$6:$A$1005,0)),"MISSING ID")</x:f>
        <x:v>Processed material</x:v>
      </x:c>
      <x:c r="I281" s="4" t="str">
        <x:f>IFERROR(INDEX('Material routes'!$G$6:$G$1005,MATCH(V281,'Material routes'!$A$6:$A$1005,0)),"MISSING ID")</x:f>
        <x:v>Resources</x:v>
      </x:c>
      <x:c r="J281" s="4" t="str">
        <x:f>IFERROR(INDEX('Material routes'!$B$6:$B$1005,MATCH(U281,'Material routes'!$A$6:$A$1005,0)),"MISSING ID")</x:f>
        <x:v>design.t4.decorative_veneer</x:v>
      </x:c>
      <x:c r="K281" s="4" t="str">
        <x:f>IFERROR(INDEX('Crafting recipes'!$C$6:$C$1005,MATCH(J281,'Crafting recipes'!$A$6:$A$1005,0)),"MISSING ID")</x:f>
        <x:v>Material refinement</x:v>
      </x:c>
      <x:c r="L281" s="4" t="str">
        <x:f>IFERROR(INDEX('Material routes'!$K$6:$K$1005,MATCH(U281,'Material routes'!$A$6:$A$1005,0)),"MISSING ID")</x:f>
        <x:v>Proposal</x:v>
      </x:c>
      <x:c r="M281" s="4" t="str">
        <x:f>IFERROR(INDEX('Material routes'!$M$6:$M$1005,MATCH(U281,'Material routes'!$A$6:$A$1005,0)),"MISSING ID")</x:f>
        <x:v>Partial proposal</x:v>
      </x:c>
      <x:c r="N281" s="4" t="str">
        <x:f>IF(IFERROR(INDEX('Material routes'!$I$6:$I$1005,MATCH(U281,'Material routes'!$A$6:$A$1005,0)),"MISSING ID")=0,"",IFERROR(INDEX('Material routes'!$I$6:$I$1005,MATCH(U281,'Material routes'!$A$6:$A$1005,0)),"MISSING ID"))</x:f>
      </x:c>
      <x:c r="O281" s="4" t="str">
        <x:f>IFERROR(INDEX('Material routes'!$J$6:$J$1005,MATCH(U281,'Material routes'!$A$6:$A$1005,0)),"MISSING ID")</x:f>
        <x:v>Unspecified</x:v>
      </x:c>
      <x:c r="P281" s="4" t="str">
        <x:f>IF(IFERROR(INDEX('Material routes'!$I$6:$I$1005,MATCH(V281,'Material routes'!$A$6:$A$1005,0)),"MISSING ID")=0,"",IFERROR(INDEX('Material routes'!$I$6:$I$1005,MATCH(V281,'Material routes'!$A$6:$A$1005,0)),"MISSING ID"))</x:f>
      </x:c>
      <x:c r="Q281" s="4" t="str">
        <x:f>IFERROR(INDEX('Material routes'!$J$6:$J$1005,MATCH(V281,'Material routes'!$A$6:$A$1005,0)),"MISSING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routes'!$D$6:$D$1005,MATCH(U281,'Material routes'!$A$6:$A$1005,0)),"MISSING ID")</x:f>
        <x:v>proposal.t3.inlay_stock</x:v>
      </x:c>
      <x:c r="T281" s="4" t="str">
        <x:f>IFERROR(INDEX('Material routes'!$D$6:$D$1005,MATCH(V281,'Material routes'!$A$6:$A$1005,0)),"MISSING ID")</x:f>
        <x:v>proposal.t4.decorative_veneer</x:v>
      </x:c>
      <x:c r="U281" s="4" t="str">
        <x:v>design.t4.decorative_veneer.in.1</x:v>
      </x:c>
      <x:c r="V281" s="4" t="str">
        <x:v>design.t4.decorative_veneer.out</x:v>
      </x:c>
    </x:row>
    <x:row r="282" ht="115" customHeight="1">
      <x:c r="A282" s="4" t="str">
        <x:f>IFERROR(INDEX('Material routes'!$E$6:$E$1005,MATCH(U282,'Material routes'!$A$6:$A$1005,0)),"MISSING ID")</x:f>
        <x:v>Finished decorative husk stock</x:v>
      </x:c>
      <x:c r="B282" s="4" t="str">
        <x:f>IFERROR(INDEX('Material routes'!$F$6:$F$1005,MATCH(U282,'Material routes'!$A$6:$A$1005,0)),"MISSING ID")</x:f>
        <x:v>T3</x:v>
      </x:c>
      <x:c r="C282" s="4" t="str">
        <x:f>IFERROR(INDEX('Material routes'!$H$6:$H$1005,MATCH(U282,'Material routes'!$A$6:$A$1005,0)),"MISSING ID")</x:f>
        <x:v>Processed material</x:v>
      </x:c>
      <x:c r="D282" s="4" t="str">
        <x:f>IFERROR(INDEX('Material routes'!$G$6:$G$1005,MATCH(U282,'Material routes'!$A$6:$A$1005,0)),"MISSING ID")</x:f>
        <x:v>Resources</x:v>
      </x:c>
      <x:c r="E282" s="4" t="str">
        <x:f>IFERROR(INDEX('Material routes'!$C$6:$C$1005,MATCH(U282,'Material routes'!$A$6:$A$1005,0)),"MISSING ID")</x:f>
        <x:v>Ingredient candidate</x:v>
      </x:c>
      <x:c r="F282" s="4" t="str">
        <x:f>IFERROR(INDEX('Material routes'!$E$6:$E$1005,MATCH(V282,'Material routes'!$A$6:$A$1005,0)),"MISSING ID")</x:f>
        <x:v>Layered ceremonial inlay stock</x:v>
      </x:c>
      <x:c r="G282" s="4" t="str">
        <x:f>IFERROR(INDEX('Material routes'!$F$6:$F$1005,MATCH(V282,'Material routes'!$A$6:$A$1005,0)),"MISSING ID")</x:f>
        <x:v>T4</x:v>
      </x:c>
      <x:c r="H282" s="4" t="str">
        <x:f>IFERROR(INDEX('Material routes'!$H$6:$H$1005,MATCH(V282,'Material routes'!$A$6:$A$1005,0)),"MISSING ID")</x:f>
        <x:v>Processed material</x:v>
      </x:c>
      <x:c r="I282" s="4" t="str">
        <x:f>IFERROR(INDEX('Material routes'!$G$6:$G$1005,MATCH(V282,'Material routes'!$A$6:$A$1005,0)),"MISSING ID")</x:f>
        <x:v>Resources</x:v>
      </x:c>
      <x:c r="J282" s="4" t="str">
        <x:f>IFERROR(INDEX('Material routes'!$B$6:$B$1005,MATCH(U282,'Material routes'!$A$6:$A$1005,0)),"MISSING ID")</x:f>
        <x:v>design.t4.decorative_veneer</x:v>
      </x:c>
      <x:c r="K282" s="4" t="str">
        <x:f>IFERROR(INDEX('Crafting recipes'!$C$6:$C$1005,MATCH(J282,'Crafting recipes'!$A$6:$A$1005,0)),"MISSING ID")</x:f>
        <x:v>Material refinement</x:v>
      </x:c>
      <x:c r="L282" s="4" t="str">
        <x:f>IFERROR(INDEX('Material routes'!$K$6:$K$1005,MATCH(U282,'Material routes'!$A$6:$A$1005,0)),"MISSING ID")</x:f>
        <x:v>Proposal</x:v>
      </x:c>
      <x:c r="M282" s="4" t="str">
        <x:f>IFERROR(INDEX('Material routes'!$M$6:$M$1005,MATCH(U282,'Material routes'!$A$6:$A$1005,0)),"MISSING ID")</x:f>
        <x:v>Partial proposal</x:v>
      </x:c>
      <x:c r="N282" s="4" t="str">
        <x:f>IF(IFERROR(INDEX('Material routes'!$I$6:$I$1005,MATCH(U282,'Material routes'!$A$6:$A$1005,0)),"MISSING ID")=0,"",IFERROR(INDEX('Material routes'!$I$6:$I$1005,MATCH(U282,'Material routes'!$A$6:$A$1005,0)),"MISSING ID"))</x:f>
      </x:c>
      <x:c r="O282" s="4" t="str">
        <x:f>IFERROR(INDEX('Material routes'!$J$6:$J$1005,MATCH(U282,'Material routes'!$A$6:$A$1005,0)),"MISSING ID")</x:f>
        <x:v>Unspecified</x:v>
      </x:c>
      <x:c r="P282" s="4" t="str">
        <x:f>IF(IFERROR(INDEX('Material routes'!$I$6:$I$1005,MATCH(V282,'Material routes'!$A$6:$A$1005,0)),"MISSING ID")=0,"",IFERROR(INDEX('Material routes'!$I$6:$I$1005,MATCH(V282,'Material routes'!$A$6:$A$1005,0)),"MISSING ID"))</x:f>
      </x:c>
      <x:c r="Q282" s="4" t="str">
        <x:f>IFERROR(INDEX('Material routes'!$J$6:$J$1005,MATCH(V282,'Material routes'!$A$6:$A$1005,0)),"MISSING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routes'!$D$6:$D$1005,MATCH(U282,'Material routes'!$A$6:$A$1005,0)),"MISSING ID")</x:f>
        <x:v>proposal.branch.decorative_husk</x:v>
      </x:c>
      <x:c r="T282" s="4" t="str">
        <x:f>IFERROR(INDEX('Material routes'!$D$6:$D$1005,MATCH(V282,'Material routes'!$A$6:$A$1005,0)),"MISSING ID")</x:f>
        <x:v>proposal.t4.decorative_veneer</x:v>
      </x:c>
      <x:c r="U282" s="4" t="str">
        <x:v>design.t4.decorative_veneer.in.2</x:v>
      </x:c>
      <x:c r="V282" s="4" t="str">
        <x:v>design.t4.decorative_veneer.out</x:v>
      </x:c>
    </x:row>
    <x:row r="283" ht="115" customHeight="1">
      <x:c r="A283" s="4" t="str">
        <x:f>IFERROR(INDEX('Material routes'!$E$6:$E$1005,MATCH(U283,'Material routes'!$A$6:$A$1005,0)),"MISSING ID")</x:f>
        <x:v>Flexible membrane-bonding compound</x:v>
      </x:c>
      <x:c r="B283" s="4" t="str">
        <x:f>IFERROR(INDEX('Material routes'!$F$6:$F$1005,MATCH(U283,'Material routes'!$A$6:$A$1005,0)),"MISSING ID")</x:f>
        <x:v>T2</x:v>
      </x:c>
      <x:c r="C283" s="4" t="str">
        <x:f>IFERROR(INDEX('Material routes'!$H$6:$H$1005,MATCH(U283,'Material routes'!$A$6:$A$1005,0)),"MISSING ID")</x:f>
        <x:v>Chemical material</x:v>
      </x:c>
      <x:c r="D283" s="4" t="str">
        <x:f>IFERROR(INDEX('Material routes'!$G$6:$G$1005,MATCH(U283,'Material routes'!$A$6:$A$1005,0)),"MISSING ID")</x:f>
        <x:v>Resources</x:v>
      </x:c>
      <x:c r="E283" s="4" t="str">
        <x:f>IFERROR(INDEX('Material routes'!$C$6:$C$1005,MATCH(U283,'Material routes'!$A$6:$A$1005,0)),"MISSING ID")</x:f>
        <x:v>Ingredient candidate</x:v>
      </x:c>
      <x:c r="F283" s="4" t="str">
        <x:f>IFERROR(INDEX('Material routes'!$E$6:$E$1005,MATCH(V283,'Material routes'!$A$6:$A$1005,0)),"MISSING ID")</x:f>
        <x:v>Layered ceremonial inlay stock</x:v>
      </x:c>
      <x:c r="G283" s="4" t="str">
        <x:f>IFERROR(INDEX('Material routes'!$F$6:$F$1005,MATCH(V283,'Material routes'!$A$6:$A$1005,0)),"MISSING ID")</x:f>
        <x:v>T4</x:v>
      </x:c>
      <x:c r="H283" s="4" t="str">
        <x:f>IFERROR(INDEX('Material routes'!$H$6:$H$1005,MATCH(V283,'Material routes'!$A$6:$A$1005,0)),"MISSING ID")</x:f>
        <x:v>Processed material</x:v>
      </x:c>
      <x:c r="I283" s="4" t="str">
        <x:f>IFERROR(INDEX('Material routes'!$G$6:$G$1005,MATCH(V283,'Material routes'!$A$6:$A$1005,0)),"MISSING ID")</x:f>
        <x:v>Resources</x:v>
      </x:c>
      <x:c r="J283" s="4" t="str">
        <x:f>IFERROR(INDEX('Material routes'!$B$6:$B$1005,MATCH(U283,'Material routes'!$A$6:$A$1005,0)),"MISSING ID")</x:f>
        <x:v>design.t4.decorative_veneer</x:v>
      </x:c>
      <x:c r="K283" s="4" t="str">
        <x:f>IFERROR(INDEX('Crafting recipes'!$C$6:$C$1005,MATCH(J283,'Crafting recipes'!$A$6:$A$1005,0)),"MISSING ID")</x:f>
        <x:v>Material refinement</x:v>
      </x:c>
      <x:c r="L283" s="4" t="str">
        <x:f>IFERROR(INDEX('Material routes'!$K$6:$K$1005,MATCH(U283,'Material routes'!$A$6:$A$1005,0)),"MISSING ID")</x:f>
        <x:v>Proposal</x:v>
      </x:c>
      <x:c r="M283" s="4" t="str">
        <x:f>IFERROR(INDEX('Material routes'!$M$6:$M$1005,MATCH(U283,'Material routes'!$A$6:$A$1005,0)),"MISSING ID")</x:f>
        <x:v>Partial proposal</x:v>
      </x:c>
      <x:c r="N283" s="4" t="str">
        <x:f>IF(IFERROR(INDEX('Material routes'!$I$6:$I$1005,MATCH(U283,'Material routes'!$A$6:$A$1005,0)),"MISSING ID")=0,"",IFERROR(INDEX('Material routes'!$I$6:$I$1005,MATCH(U283,'Material routes'!$A$6:$A$1005,0)),"MISSING ID"))</x:f>
      </x:c>
      <x:c r="O283" s="4" t="str">
        <x:f>IFERROR(INDEX('Material routes'!$J$6:$J$1005,MATCH(U283,'Material routes'!$A$6:$A$1005,0)),"MISSING ID")</x:f>
        <x:v>Unspecified</x:v>
      </x:c>
      <x:c r="P283" s="4" t="str">
        <x:f>IF(IFERROR(INDEX('Material routes'!$I$6:$I$1005,MATCH(V283,'Material routes'!$A$6:$A$1005,0)),"MISSING ID")=0,"",IFERROR(INDEX('Material routes'!$I$6:$I$1005,MATCH(V283,'Material routes'!$A$6:$A$1005,0)),"MISSING ID"))</x:f>
      </x:c>
      <x:c r="Q283" s="4" t="str">
        <x:f>IFERROR(INDEX('Material routes'!$J$6:$J$1005,MATCH(V283,'Material routes'!$A$6:$A$1005,0)),"MISSING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routes'!$D$6:$D$1005,MATCH(U283,'Material routes'!$A$6:$A$1005,0)),"MISSING ID")</x:f>
        <x:v>proposal.branch.flex_bond</x:v>
      </x:c>
      <x:c r="T283" s="4" t="str">
        <x:f>IFERROR(INDEX('Material routes'!$D$6:$D$1005,MATCH(V283,'Material routes'!$A$6:$A$1005,0)),"MISSING ID")</x:f>
        <x:v>proposal.t4.decorative_veneer</x:v>
      </x:c>
      <x:c r="U283" s="4" t="str">
        <x:v>design.t4.decorative_veneer.in.3</x:v>
      </x:c>
      <x:c r="V283" s="4" t="str">
        <x:v>design.t4.decorative_veneer.out</x:v>
      </x:c>
    </x:row>
    <x:row r="284" ht="115" customHeight="1">
      <x:c r="A284" s="4" t="str">
        <x:f>IFERROR(INDEX('Material routes'!$E$6:$E$1005,MATCH(U284,'Material routes'!$A$6:$A$1005,0)),"MISSING ID")</x:f>
        <x:v>Mounted tuned-stone inserts</x:v>
      </x:c>
      <x:c r="B284" s="4" t="str">
        <x:f>IFERROR(INDEX('Material routes'!$F$6:$F$1005,MATCH(U284,'Material routes'!$A$6:$A$1005,0)),"MISSING ID")</x:f>
        <x:v>T3</x:v>
      </x:c>
      <x:c r="C284" s="4" t="str">
        <x:f>IFERROR(INDEX('Material routes'!$H$6:$H$1005,MATCH(U284,'Material routes'!$A$6:$A$1005,0)),"MISSING ID")</x:f>
        <x:v>Crafting component</x:v>
      </x:c>
      <x:c r="D284" s="4" t="str">
        <x:f>IFERROR(INDEX('Material routes'!$G$6:$G$1005,MATCH(U284,'Material routes'!$A$6:$A$1005,0)),"MISSING ID")</x:f>
        <x:v>Crafting components</x:v>
      </x:c>
      <x:c r="E284" s="4" t="str">
        <x:f>IFERROR(INDEX('Material routes'!$C$6:$C$1005,MATCH(U284,'Material routes'!$A$6:$A$1005,0)),"MISSING ID")</x:f>
        <x:v>Ingredient candidate</x:v>
      </x:c>
      <x:c r="F284" s="4" t="str">
        <x:f>IFERROR(INDEX('Material routes'!$E$6:$E$1005,MATCH(V284,'Material routes'!$A$6:$A$1005,0)),"MISSING ID")</x:f>
        <x:v>Matched stone-resonator cassette</x:v>
      </x:c>
      <x:c r="G284" s="4" t="str">
        <x:f>IFERROR(INDEX('Material routes'!$F$6:$F$1005,MATCH(V284,'Material routes'!$A$6:$A$1005,0)),"MISSING ID")</x:f>
        <x:v>T4</x:v>
      </x:c>
      <x:c r="H284" s="4" t="str">
        <x:f>IFERROR(INDEX('Material routes'!$H$6:$H$1005,MATCH(V284,'Material routes'!$A$6:$A$1005,0)),"MISSING ID")</x:f>
        <x:v>Crafting component</x:v>
      </x:c>
      <x:c r="I284" s="4" t="str">
        <x:f>IFERROR(INDEX('Material routes'!$G$6:$G$1005,MATCH(V284,'Material routes'!$A$6:$A$1005,0)),"MISSING ID")</x:f>
        <x:v>Crafting components</x:v>
      </x:c>
      <x:c r="J284" s="4" t="str">
        <x:f>IFERROR(INDEX('Material routes'!$B$6:$B$1005,MATCH(U284,'Material routes'!$A$6:$A$1005,0)),"MISSING ID")</x:f>
        <x:v>design.t4.acoustic_cassette</x:v>
      </x:c>
      <x:c r="K284" s="4" t="str">
        <x:f>IFERROR(INDEX('Crafting recipes'!$C$6:$C$1005,MATCH(J284,'Crafting recipes'!$A$6:$A$1005,0)),"MISSING ID")</x:f>
        <x:v>Material refinement</x:v>
      </x:c>
      <x:c r="L284" s="4" t="str">
        <x:f>IFERROR(INDEX('Material routes'!$K$6:$K$1005,MATCH(U284,'Material routes'!$A$6:$A$1005,0)),"MISSING ID")</x:f>
        <x:v>Proposal</x:v>
      </x:c>
      <x:c r="M284" s="4" t="str">
        <x:f>IFERROR(INDEX('Material routes'!$M$6:$M$1005,MATCH(U284,'Material routes'!$A$6:$A$1005,0)),"MISSING ID")</x:f>
        <x:v>Partial proposal</x:v>
      </x:c>
      <x:c r="N284" s="4" t="str">
        <x:f>IF(IFERROR(INDEX('Material routes'!$I$6:$I$1005,MATCH(U284,'Material routes'!$A$6:$A$1005,0)),"MISSING ID")=0,"",IFERROR(INDEX('Material routes'!$I$6:$I$1005,MATCH(U284,'Material routes'!$A$6:$A$1005,0)),"MISSING ID"))</x:f>
      </x:c>
      <x:c r="O284" s="4" t="str">
        <x:f>IFERROR(INDEX('Material routes'!$J$6:$J$1005,MATCH(U284,'Material routes'!$A$6:$A$1005,0)),"MISSING ID")</x:f>
        <x:v>Unspecified</x:v>
      </x:c>
      <x:c r="P284" s="4" t="str">
        <x:f>IF(IFERROR(INDEX('Material routes'!$I$6:$I$1005,MATCH(V284,'Material routes'!$A$6:$A$1005,0)),"MISSING ID")=0,"",IFERROR(INDEX('Material routes'!$I$6:$I$1005,MATCH(V284,'Material routes'!$A$6:$A$1005,0)),"MISSING ID"))</x:f>
      </x:c>
      <x:c r="Q284" s="4" t="str">
        <x:f>IFERROR(INDEX('Material routes'!$J$6:$J$1005,MATCH(V284,'Material routes'!$A$6:$A$1005,0)),"MISSING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routes'!$D$6:$D$1005,MATCH(U284,'Material routes'!$A$6:$A$1005,0)),"MISSING ID")</x:f>
        <x:v>proposal.t3.tuned_insert</x:v>
      </x:c>
      <x:c r="T284" s="4" t="str">
        <x:f>IFERROR(INDEX('Material routes'!$D$6:$D$1005,MATCH(V284,'Material routes'!$A$6:$A$1005,0)),"MISSING ID")</x:f>
        <x:v>proposal.t4.acoustic_cassette</x:v>
      </x:c>
      <x:c r="U284" s="4" t="str">
        <x:v>design.t4.acoustic_cassette.in.1</x:v>
      </x:c>
      <x:c r="V284" s="4" t="str">
        <x:v>design.t4.acoustic_cassette.out</x:v>
      </x:c>
    </x:row>
    <x:row r="285" ht="115" customHeight="1">
      <x:c r="A285" s="4" t="str">
        <x:f>IFERROR(INDEX('Material routes'!$E$6:$E$1005,MATCH(U285,'Material routes'!$A$6:$A$1005,0)),"MISSING ID")</x:f>
        <x:v>Spring-grade steel stock</x:v>
      </x:c>
      <x:c r="B285" s="4" t="str">
        <x:f>IFERROR(INDEX('Material routes'!$F$6:$F$1005,MATCH(U285,'Material routes'!$A$6:$A$1005,0)),"MISSING ID")</x:f>
        <x:v>T3</x:v>
      </x:c>
      <x:c r="C285" s="4" t="str">
        <x:f>IFERROR(INDEX('Material routes'!$H$6:$H$1005,MATCH(U285,'Material routes'!$A$6:$A$1005,0)),"MISSING ID")</x:f>
        <x:v>Processed material</x:v>
      </x:c>
      <x:c r="D285" s="4" t="str">
        <x:f>IFERROR(INDEX('Material routes'!$G$6:$G$1005,MATCH(U285,'Material routes'!$A$6:$A$1005,0)),"MISSING ID")</x:f>
        <x:v>Resources</x:v>
      </x:c>
      <x:c r="E285" s="4" t="str">
        <x:f>IFERROR(INDEX('Material routes'!$C$6:$C$1005,MATCH(U285,'Material routes'!$A$6:$A$1005,0)),"MISSING ID")</x:f>
        <x:v>Ingredient candidate</x:v>
      </x:c>
      <x:c r="F285" s="4" t="str">
        <x:f>IFERROR(INDEX('Material routes'!$E$6:$E$1005,MATCH(V285,'Material routes'!$A$6:$A$1005,0)),"MISSING ID")</x:f>
        <x:v>Matched stone-resonator cassette</x:v>
      </x:c>
      <x:c r="G285" s="4" t="str">
        <x:f>IFERROR(INDEX('Material routes'!$F$6:$F$1005,MATCH(V285,'Material routes'!$A$6:$A$1005,0)),"MISSING ID")</x:f>
        <x:v>T4</x:v>
      </x:c>
      <x:c r="H285" s="4" t="str">
        <x:f>IFERROR(INDEX('Material routes'!$H$6:$H$1005,MATCH(V285,'Material routes'!$A$6:$A$1005,0)),"MISSING ID")</x:f>
        <x:v>Crafting component</x:v>
      </x:c>
      <x:c r="I285" s="4" t="str">
        <x:f>IFERROR(INDEX('Material routes'!$G$6:$G$1005,MATCH(V285,'Material routes'!$A$6:$A$1005,0)),"MISSING ID")</x:f>
        <x:v>Crafting components</x:v>
      </x:c>
      <x:c r="J285" s="4" t="str">
        <x:f>IFERROR(INDEX('Material routes'!$B$6:$B$1005,MATCH(U285,'Material routes'!$A$6:$A$1005,0)),"MISSING ID")</x:f>
        <x:v>design.t4.acoustic_cassette</x:v>
      </x:c>
      <x:c r="K285" s="4" t="str">
        <x:f>IFERROR(INDEX('Crafting recipes'!$C$6:$C$1005,MATCH(J285,'Crafting recipes'!$A$6:$A$1005,0)),"MISSING ID")</x:f>
        <x:v>Material refinement</x:v>
      </x:c>
      <x:c r="L285" s="4" t="str">
        <x:f>IFERROR(INDEX('Material routes'!$K$6:$K$1005,MATCH(U285,'Material routes'!$A$6:$A$1005,0)),"MISSING ID")</x:f>
        <x:v>Proposal</x:v>
      </x:c>
      <x:c r="M285" s="4" t="str">
        <x:f>IFERROR(INDEX('Material routes'!$M$6:$M$1005,MATCH(U285,'Material routes'!$A$6:$A$1005,0)),"MISSING ID")</x:f>
        <x:v>Partial proposal</x:v>
      </x:c>
      <x:c r="N285" s="4" t="str">
        <x:f>IF(IFERROR(INDEX('Material routes'!$I$6:$I$1005,MATCH(U285,'Material routes'!$A$6:$A$1005,0)),"MISSING ID")=0,"",IFERROR(INDEX('Material routes'!$I$6:$I$1005,MATCH(U285,'Material routes'!$A$6:$A$1005,0)),"MISSING ID"))</x:f>
      </x:c>
      <x:c r="O285" s="4" t="str">
        <x:f>IFERROR(INDEX('Material routes'!$J$6:$J$1005,MATCH(U285,'Material routes'!$A$6:$A$1005,0)),"MISSING ID")</x:f>
        <x:v>Unspecified</x:v>
      </x:c>
      <x:c r="P285" s="4" t="str">
        <x:f>IF(IFERROR(INDEX('Material routes'!$I$6:$I$1005,MATCH(V285,'Material routes'!$A$6:$A$1005,0)),"MISSING ID")=0,"",IFERROR(INDEX('Material routes'!$I$6:$I$1005,MATCH(V285,'Material routes'!$A$6:$A$1005,0)),"MISSING ID"))</x:f>
      </x:c>
      <x:c r="Q285" s="4" t="str">
        <x:f>IFERROR(INDEX('Material routes'!$J$6:$J$1005,MATCH(V285,'Material routes'!$A$6:$A$1005,0)),"MISSING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routes'!$D$6:$D$1005,MATCH(U285,'Material routes'!$A$6:$A$1005,0)),"MISSING ID")</x:f>
        <x:v>proposal.branch.spring_steel</x:v>
      </x:c>
      <x:c r="T285" s="4" t="str">
        <x:f>IFERROR(INDEX('Material routes'!$D$6:$D$1005,MATCH(V285,'Material routes'!$A$6:$A$1005,0)),"MISSING ID")</x:f>
        <x:v>proposal.t4.acoustic_cassette</x:v>
      </x:c>
      <x:c r="U285" s="4" t="str">
        <x:v>design.t4.acoustic_cassette.in.2</x:v>
      </x:c>
      <x:c r="V285" s="4" t="str">
        <x:v>design.t4.acoustic_cassette.out</x:v>
      </x:c>
    </x:row>
    <x:row r="286" ht="115" customHeight="1">
      <x:c r="A286" s="4" t="str">
        <x:f>IFERROR(INDEX('Material routes'!$E$6:$E$1005,MATCH(U286,'Material routes'!$A$6:$A$1005,0)),"MISSING ID")</x:f>
        <x:v>Prepared bronze bearing stock</x:v>
      </x:c>
      <x:c r="B286" s="4" t="str">
        <x:f>IFERROR(INDEX('Material routes'!$F$6:$F$1005,MATCH(U286,'Material routes'!$A$6:$A$1005,0)),"MISSING ID")</x:f>
        <x:v>T2</x:v>
      </x:c>
      <x:c r="C286" s="4" t="str">
        <x:f>IFERROR(INDEX('Material routes'!$H$6:$H$1005,MATCH(U286,'Material routes'!$A$6:$A$1005,0)),"MISSING ID")</x:f>
        <x:v>Processed material</x:v>
      </x:c>
      <x:c r="D286" s="4" t="str">
        <x:f>IFERROR(INDEX('Material routes'!$G$6:$G$1005,MATCH(U286,'Material routes'!$A$6:$A$1005,0)),"MISSING ID")</x:f>
        <x:v>Resources</x:v>
      </x:c>
      <x:c r="E286" s="4" t="str">
        <x:f>IFERROR(INDEX('Material routes'!$C$6:$C$1005,MATCH(U286,'Material routes'!$A$6:$A$1005,0)),"MISSING ID")</x:f>
        <x:v>Ingredient candidate</x:v>
      </x:c>
      <x:c r="F286" s="4" t="str">
        <x:f>IFERROR(INDEX('Material routes'!$E$6:$E$1005,MATCH(V286,'Material routes'!$A$6:$A$1005,0)),"MISSING ID")</x:f>
        <x:v>Matched stone-resonator cassette</x:v>
      </x:c>
      <x:c r="G286" s="4" t="str">
        <x:f>IFERROR(INDEX('Material routes'!$F$6:$F$1005,MATCH(V286,'Material routes'!$A$6:$A$1005,0)),"MISSING ID")</x:f>
        <x:v>T4</x:v>
      </x:c>
      <x:c r="H286" s="4" t="str">
        <x:f>IFERROR(INDEX('Material routes'!$H$6:$H$1005,MATCH(V286,'Material routes'!$A$6:$A$1005,0)),"MISSING ID")</x:f>
        <x:v>Crafting component</x:v>
      </x:c>
      <x:c r="I286" s="4" t="str">
        <x:f>IFERROR(INDEX('Material routes'!$G$6:$G$1005,MATCH(V286,'Material routes'!$A$6:$A$1005,0)),"MISSING ID")</x:f>
        <x:v>Crafting components</x:v>
      </x:c>
      <x:c r="J286" s="4" t="str">
        <x:f>IFERROR(INDEX('Material routes'!$B$6:$B$1005,MATCH(U286,'Material routes'!$A$6:$A$1005,0)),"MISSING ID")</x:f>
        <x:v>design.t4.acoustic_cassette</x:v>
      </x:c>
      <x:c r="K286" s="4" t="str">
        <x:f>IFERROR(INDEX('Crafting recipes'!$C$6:$C$1005,MATCH(J286,'Crafting recipes'!$A$6:$A$1005,0)),"MISSING ID")</x:f>
        <x:v>Material refinement</x:v>
      </x:c>
      <x:c r="L286" s="4" t="str">
        <x:f>IFERROR(INDEX('Material routes'!$K$6:$K$1005,MATCH(U286,'Material routes'!$A$6:$A$1005,0)),"MISSING ID")</x:f>
        <x:v>Proposal</x:v>
      </x:c>
      <x:c r="M286" s="4" t="str">
        <x:f>IFERROR(INDEX('Material routes'!$M$6:$M$1005,MATCH(U286,'Material routes'!$A$6:$A$1005,0)),"MISSING ID")</x:f>
        <x:v>Partial proposal</x:v>
      </x:c>
      <x:c r="N286" s="4" t="str">
        <x:f>IF(IFERROR(INDEX('Material routes'!$I$6:$I$1005,MATCH(U286,'Material routes'!$A$6:$A$1005,0)),"MISSING ID")=0,"",IFERROR(INDEX('Material routes'!$I$6:$I$1005,MATCH(U286,'Material routes'!$A$6:$A$1005,0)),"MISSING ID"))</x:f>
      </x:c>
      <x:c r="O286" s="4" t="str">
        <x:f>IFERROR(INDEX('Material routes'!$J$6:$J$1005,MATCH(U286,'Material routes'!$A$6:$A$1005,0)),"MISSING ID")</x:f>
        <x:v>Unspecified</x:v>
      </x:c>
      <x:c r="P286" s="4" t="str">
        <x:f>IF(IFERROR(INDEX('Material routes'!$I$6:$I$1005,MATCH(V286,'Material routes'!$A$6:$A$1005,0)),"MISSING ID")=0,"",IFERROR(INDEX('Material routes'!$I$6:$I$1005,MATCH(V286,'Material routes'!$A$6:$A$1005,0)),"MISSING ID"))</x:f>
      </x:c>
      <x:c r="Q286" s="4" t="str">
        <x:f>IFERROR(INDEX('Material routes'!$J$6:$J$1005,MATCH(V286,'Material routes'!$A$6:$A$1005,0)),"MISSING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routes'!$D$6:$D$1005,MATCH(U286,'Material routes'!$A$6:$A$1005,0)),"MISSING ID")</x:f>
        <x:v>proposal.branch.bearing_bronze</x:v>
      </x:c>
      <x:c r="T286" s="4" t="str">
        <x:f>IFERROR(INDEX('Material routes'!$D$6:$D$1005,MATCH(V286,'Material routes'!$A$6:$A$1005,0)),"MISSING ID")</x:f>
        <x:v>proposal.t4.acoustic_cassette</x:v>
      </x:c>
      <x:c r="U286" s="4" t="str">
        <x:v>design.t4.acoustic_cassette.in.3</x:v>
      </x:c>
      <x:c r="V286" s="4" t="str">
        <x:v>design.t4.acoustic_cassette.out</x:v>
      </x:c>
    </x:row>
    <x:row r="287" ht="115" customHeight="1">
      <x:c r="A287" s="4" t="str">
        <x:f>IFERROR(INDEX('Material routes'!$E$6:$E$1005,MATCH(U287,'Material routes'!$A$6:$A$1005,0)),"MISSING ID")</x:f>
        <x:v>Unprocessed copper-rich stone</x:v>
      </x:c>
      <x:c r="B287" s="4" t="str">
        <x:f>IFERROR(INDEX('Material routes'!$F$6:$F$1005,MATCH(U287,'Material routes'!$A$6:$A$1005,0)),"MISSING ID")</x:f>
        <x:v>T0</x:v>
      </x:c>
      <x:c r="C287" s="4" t="str">
        <x:f>IFERROR(INDEX('Material routes'!$H$6:$H$1005,MATCH(U287,'Material routes'!$A$6:$A$1005,0)),"MISSING ID")</x:f>
        <x:v>Raw material</x:v>
      </x:c>
      <x:c r="D287" s="4" t="str">
        <x:f>IFERROR(INDEX('Material routes'!$G$6:$G$1005,MATCH(U287,'Material routes'!$A$6:$A$1005,0)),"MISSING ID")</x:f>
        <x:v>Resources</x:v>
      </x:c>
      <x:c r="E287" s="4" t="str">
        <x:f>IFERROR(INDEX('Material routes'!$C$6:$C$1005,MATCH(U287,'Material routes'!$A$6:$A$1005,0)),"MISSING ID")</x:f>
        <x:v>Ingredient candidate</x:v>
      </x:c>
      <x:c r="F287" s="4" t="str">
        <x:f>IFERROR(INDEX('Material routes'!$E$6:$E$1005,MATCH(V287,'Material routes'!$A$6:$A$1005,0)),"MISSING ID")</x:f>
        <x:v>Copper ore</x:v>
      </x:c>
      <x:c r="G287" s="4" t="str">
        <x:f>IFERROR(INDEX('Material routes'!$F$6:$F$1005,MATCH(V287,'Material routes'!$A$6:$A$1005,0)),"MISSING ID")</x:f>
        <x:v>T1</x:v>
      </x:c>
      <x:c r="H287" s="4" t="str">
        <x:f>IFERROR(INDEX('Material routes'!$H$6:$H$1005,MATCH(V287,'Material routes'!$A$6:$A$1005,0)),"MISSING ID")</x:f>
        <x:v>Raw material</x:v>
      </x:c>
      <x:c r="I287" s="4" t="str">
        <x:f>IFERROR(INDEX('Material routes'!$G$6:$G$1005,MATCH(V287,'Material routes'!$A$6:$A$1005,0)),"MISSING ID")</x:f>
        <x:v>Resources</x:v>
      </x:c>
      <x:c r="J287" s="4" t="str">
        <x:f>IFERROR(INDEX('Material routes'!$B$6:$B$1005,MATCH(U287,'Material routes'!$A$6:$A$1005,0)),"MISSING ID")</x:f>
        <x:v>design.review.proposal_natural_copper_ore</x:v>
      </x:c>
      <x:c r="K287" s="4" t="str">
        <x:f>IFERROR(INDEX('Crafting recipes'!$C$6:$C$1005,MATCH(J287,'Crafting recipes'!$A$6:$A$1005,0)),"MISSING ID")</x:f>
        <x:v>Material refinement</x:v>
      </x:c>
      <x:c r="L287" s="4" t="str">
        <x:f>IFERROR(INDEX('Material routes'!$K$6:$K$1005,MATCH(U287,'Material routes'!$A$6:$A$1005,0)),"MISSING ID")</x:f>
        <x:v>Proposal</x:v>
      </x:c>
      <x:c r="M287" s="4" t="str">
        <x:f>IFERROR(INDEX('Material routes'!$M$6:$M$1005,MATCH(U287,'Material routes'!$A$6:$A$1005,0)),"MISSING ID")</x:f>
        <x:v>Partial proposal</x:v>
      </x:c>
      <x:c r="N287" s="4" t="str">
        <x:f>IF(IFERROR(INDEX('Material routes'!$I$6:$I$1005,MATCH(U287,'Material routes'!$A$6:$A$1005,0)),"MISSING ID")=0,"",IFERROR(INDEX('Material routes'!$I$6:$I$1005,MATCH(U287,'Material routes'!$A$6:$A$1005,0)),"MISSING ID"))</x:f>
      </x:c>
      <x:c r="O287" s="4" t="str">
        <x:f>IFERROR(INDEX('Material routes'!$J$6:$J$1005,MATCH(U287,'Material routes'!$A$6:$A$1005,0)),"MISSING ID")</x:f>
        <x:v>Unspecified</x:v>
      </x:c>
      <x:c r="P287" s="4" t="str">
        <x:f>IF(IFERROR(INDEX('Material routes'!$I$6:$I$1005,MATCH(V287,'Material routes'!$A$6:$A$1005,0)),"MISSING ID")=0,"",IFERROR(INDEX('Material routes'!$I$6:$I$1005,MATCH(V287,'Material routes'!$A$6:$A$1005,0)),"MISSING ID"))</x:f>
      </x:c>
      <x:c r="Q287" s="4" t="str">
        <x:f>IFERROR(INDEX('Material routes'!$J$6:$J$1005,MATCH(V287,'Material routes'!$A$6:$A$1005,0)),"MISSING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routes'!$D$6:$D$1005,MATCH(U287,'Material routes'!$A$6:$A$1005,0)),"MISSING ID")</x:f>
        <x:v>proposal.natural.copper_stone</x:v>
      </x:c>
      <x:c r="T287" s="4" t="str">
        <x:f>IFERROR(INDEX('Material routes'!$D$6:$D$1005,MATCH(V287,'Material routes'!$A$6:$A$1005,0)),"MISSING ID")</x:f>
        <x:v>proposal.natural.copper_ore</x:v>
      </x:c>
      <x:c r="U287" s="4" t="str">
        <x:v>design.review.proposal_natural_copper_ore.in.1</x:v>
      </x:c>
      <x:c r="V287" s="4" t="str">
        <x:v>design.review.proposal_natural_copper_ore.out</x:v>
      </x:c>
    </x:row>
    <x:row r="288" ht="115" customHeight="1">
      <x:c r="A288" s="4" t="str">
        <x:f>IFERROR(INDEX('Material routes'!$E$6:$E$1005,MATCH(U288,'Material routes'!$A$6:$A$1005,0)),"MISSING ID")</x:f>
        <x:v>Clean graded bristle bundles</x:v>
      </x:c>
      <x:c r="B288" s="4" t="str">
        <x:f>IFERROR(INDEX('Material routes'!$F$6:$F$1005,MATCH(U288,'Material routes'!$A$6:$A$1005,0)),"MISSING ID")</x:f>
        <x:v>T1</x:v>
      </x:c>
      <x:c r="C288" s="4" t="str">
        <x:f>IFERROR(INDEX('Material routes'!$H$6:$H$1005,MATCH(U288,'Material routes'!$A$6:$A$1005,0)),"MISSING ID")</x:f>
        <x:v>Processed material</x:v>
      </x:c>
      <x:c r="D288" s="4" t="str">
        <x:f>IFERROR(INDEX('Material routes'!$G$6:$G$1005,MATCH(U288,'Material routes'!$A$6:$A$1005,0)),"MISSING ID")</x:f>
        <x:v>Resources</x:v>
      </x:c>
      <x:c r="E288" s="4" t="str">
        <x:f>IFERROR(INDEX('Material routes'!$C$6:$C$1005,MATCH(U288,'Material routes'!$A$6:$A$1005,0)),"MISSING ID")</x:f>
        <x:v>Ingredient candidate</x:v>
      </x:c>
      <x:c r="F288" s="4" t="str">
        <x:f>IFERROR(INDEX('Material routes'!$E$6:$E$1005,MATCH(V288,'Material routes'!$A$6:$A$1005,0)),"MISSING ID")</x:f>
        <x:v>Bristle brush strips</x:v>
      </x:c>
      <x:c r="G288" s="4" t="str">
        <x:f>IFERROR(INDEX('Material routes'!$F$6:$F$1005,MATCH(V288,'Material routes'!$A$6:$A$1005,0)),"MISSING ID")</x:f>
        <x:v>T2</x:v>
      </x:c>
      <x:c r="H288" s="4" t="str">
        <x:f>IFERROR(INDEX('Material routes'!$H$6:$H$1005,MATCH(V288,'Material routes'!$A$6:$A$1005,0)),"MISSING ID")</x:f>
        <x:v>Crafting component</x:v>
      </x:c>
      <x:c r="I288" s="4" t="str">
        <x:f>IFERROR(INDEX('Material routes'!$G$6:$G$1005,MATCH(V288,'Material routes'!$A$6:$A$1005,0)),"MISSING ID")</x:f>
        <x:v>Crafting components</x:v>
      </x:c>
      <x:c r="J288" s="4" t="str">
        <x:f>IFERROR(INDEX('Material routes'!$B$6:$B$1005,MATCH(U288,'Material routes'!$A$6:$A$1005,0)),"MISSING ID")</x:f>
        <x:v>design.review.proposal_bio_brush</x:v>
      </x:c>
      <x:c r="K288" s="4" t="str">
        <x:f>IFERROR(INDEX('Crafting recipes'!$C$6:$C$1005,MATCH(J288,'Crafting recipes'!$A$6:$A$1005,0)),"MISSING ID")</x:f>
        <x:v>Material refinement</x:v>
      </x:c>
      <x:c r="L288" s="4" t="str">
        <x:f>IFERROR(INDEX('Material routes'!$K$6:$K$1005,MATCH(U288,'Material routes'!$A$6:$A$1005,0)),"MISSING ID")</x:f>
        <x:v>Proposal</x:v>
      </x:c>
      <x:c r="M288" s="4" t="str">
        <x:f>IFERROR(INDEX('Material routes'!$M$6:$M$1005,MATCH(U288,'Material routes'!$A$6:$A$1005,0)),"MISSING ID")</x:f>
        <x:v>Partial proposal</x:v>
      </x:c>
      <x:c r="N288" s="4" t="str">
        <x:f>IF(IFERROR(INDEX('Material routes'!$I$6:$I$1005,MATCH(U288,'Material routes'!$A$6:$A$1005,0)),"MISSING ID")=0,"",IFERROR(INDEX('Material routes'!$I$6:$I$1005,MATCH(U288,'Material routes'!$A$6:$A$1005,0)),"MISSING ID"))</x:f>
      </x:c>
      <x:c r="O288" s="4" t="str">
        <x:f>IFERROR(INDEX('Material routes'!$J$6:$J$1005,MATCH(U288,'Material routes'!$A$6:$A$1005,0)),"MISSING ID")</x:f>
        <x:v>Unspecified</x:v>
      </x:c>
      <x:c r="P288" s="4" t="str">
        <x:f>IF(IFERROR(INDEX('Material routes'!$I$6:$I$1005,MATCH(V288,'Material routes'!$A$6:$A$1005,0)),"MISSING ID")=0,"",IFERROR(INDEX('Material routes'!$I$6:$I$1005,MATCH(V288,'Material routes'!$A$6:$A$1005,0)),"MISSING ID"))</x:f>
      </x:c>
      <x:c r="Q288" s="4" t="str">
        <x:f>IFERROR(INDEX('Material routes'!$J$6:$J$1005,MATCH(V288,'Material routes'!$A$6:$A$1005,0)),"MISSING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routes'!$D$6:$D$1005,MATCH(U288,'Material routes'!$A$6:$A$1005,0)),"MISSING ID")</x:f>
        <x:v>proposal.t1.bristle_bundle</x:v>
      </x:c>
      <x:c r="T288" s="4" t="str">
        <x:f>IFERROR(INDEX('Material routes'!$D$6:$D$1005,MATCH(V288,'Material routes'!$A$6:$A$1005,0)),"MISSING ID")</x:f>
        <x:v>proposal.bio.brush</x:v>
      </x:c>
      <x:c r="U288" s="4" t="str">
        <x:v>design.review.proposal_bio_brush.in.1</x:v>
      </x:c>
      <x:c r="V288" s="4" t="str">
        <x:v>design.review.proposal_bio_brush.out</x:v>
      </x:c>
    </x:row>
    <x:row r="289" ht="115" customHeight="1">
      <x:c r="A289" s="4" t="str">
        <x:f>IFERROR(INDEX('Material routes'!$E$6:$E$1005,MATCH(U289,'Material routes'!$A$6:$A$1005,0)),"MISSING ID")</x:f>
        <x:v>Prepared shell-binding adhesive</x:v>
      </x:c>
      <x:c r="B289" s="4" t="str">
        <x:f>IFERROR(INDEX('Material routes'!$F$6:$F$1005,MATCH(U289,'Material routes'!$A$6:$A$1005,0)),"MISSING ID")</x:f>
        <x:v>T1</x:v>
      </x:c>
      <x:c r="C289" s="4" t="str">
        <x:f>IFERROR(INDEX('Material routes'!$H$6:$H$1005,MATCH(U289,'Material routes'!$A$6:$A$1005,0)),"MISSING ID")</x:f>
        <x:v>Chemical material</x:v>
      </x:c>
      <x:c r="D289" s="4" t="str">
        <x:f>IFERROR(INDEX('Material routes'!$G$6:$G$1005,MATCH(U289,'Material routes'!$A$6:$A$1005,0)),"MISSING ID")</x:f>
        <x:v>Resources</x:v>
      </x:c>
      <x:c r="E289" s="4" t="str">
        <x:f>IFERROR(INDEX('Material routes'!$C$6:$C$1005,MATCH(U289,'Material routes'!$A$6:$A$1005,0)),"MISSING ID")</x:f>
        <x:v>Ingredient candidate</x:v>
      </x:c>
      <x:c r="F289" s="4" t="str">
        <x:f>IFERROR(INDEX('Material routes'!$E$6:$E$1005,MATCH(V289,'Material routes'!$A$6:$A$1005,0)),"MISSING ID")</x:f>
        <x:v>Bristle brush strips</x:v>
      </x:c>
      <x:c r="G289" s="4" t="str">
        <x:f>IFERROR(INDEX('Material routes'!$F$6:$F$1005,MATCH(V289,'Material routes'!$A$6:$A$1005,0)),"MISSING ID")</x:f>
        <x:v>T2</x:v>
      </x:c>
      <x:c r="H289" s="4" t="str">
        <x:f>IFERROR(INDEX('Material routes'!$H$6:$H$1005,MATCH(V289,'Material routes'!$A$6:$A$1005,0)),"MISSING ID")</x:f>
        <x:v>Crafting component</x:v>
      </x:c>
      <x:c r="I289" s="4" t="str">
        <x:f>IFERROR(INDEX('Material routes'!$G$6:$G$1005,MATCH(V289,'Material routes'!$A$6:$A$1005,0)),"MISSING ID")</x:f>
        <x:v>Crafting components</x:v>
      </x:c>
      <x:c r="J289" s="4" t="str">
        <x:f>IFERROR(INDEX('Material routes'!$B$6:$B$1005,MATCH(U289,'Material routes'!$A$6:$A$1005,0)),"MISSING ID")</x:f>
        <x:v>design.review.proposal_bio_brush</x:v>
      </x:c>
      <x:c r="K289" s="4" t="str">
        <x:f>IFERROR(INDEX('Crafting recipes'!$C$6:$C$1005,MATCH(J289,'Crafting recipes'!$A$6:$A$1005,0)),"MISSING ID")</x:f>
        <x:v>Material refinement</x:v>
      </x:c>
      <x:c r="L289" s="4" t="str">
        <x:f>IFERROR(INDEX('Material routes'!$K$6:$K$1005,MATCH(U289,'Material routes'!$A$6:$A$1005,0)),"MISSING ID")</x:f>
        <x:v>Proposal</x:v>
      </x:c>
      <x:c r="M289" s="4" t="str">
        <x:f>IFERROR(INDEX('Material routes'!$M$6:$M$1005,MATCH(U289,'Material routes'!$A$6:$A$1005,0)),"MISSING ID")</x:f>
        <x:v>Partial proposal</x:v>
      </x:c>
      <x:c r="N289" s="4" t="str">
        <x:f>IF(IFERROR(INDEX('Material routes'!$I$6:$I$1005,MATCH(U289,'Material routes'!$A$6:$A$1005,0)),"MISSING ID")=0,"",IFERROR(INDEX('Material routes'!$I$6:$I$1005,MATCH(U289,'Material routes'!$A$6:$A$1005,0)),"MISSING ID"))</x:f>
      </x:c>
      <x:c r="O289" s="4" t="str">
        <x:f>IFERROR(INDEX('Material routes'!$J$6:$J$1005,MATCH(U289,'Material routes'!$A$6:$A$1005,0)),"MISSING ID")</x:f>
        <x:v>Unspecified</x:v>
      </x:c>
      <x:c r="P289" s="4" t="str">
        <x:f>IF(IFERROR(INDEX('Material routes'!$I$6:$I$1005,MATCH(V289,'Material routes'!$A$6:$A$1005,0)),"MISSING ID")=0,"",IFERROR(INDEX('Material routes'!$I$6:$I$1005,MATCH(V289,'Material routes'!$A$6:$A$1005,0)),"MISSING ID"))</x:f>
      </x:c>
      <x:c r="Q289" s="4" t="str">
        <x:f>IFERROR(INDEX('Material routes'!$J$6:$J$1005,MATCH(V289,'Material routes'!$A$6:$A$1005,0)),"MISSING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routes'!$D$6:$D$1005,MATCH(U289,'Material routes'!$A$6:$A$1005,0)),"MISSING ID")</x:f>
        <x:v>proposal.t1.shell_adhesive</x:v>
      </x:c>
      <x:c r="T289" s="4" t="str">
        <x:f>IFERROR(INDEX('Material routes'!$D$6:$D$1005,MATCH(V289,'Material routes'!$A$6:$A$1005,0)),"MISSING ID")</x:f>
        <x:v>proposal.bio.brush</x:v>
      </x:c>
      <x:c r="U289" s="4" t="str">
        <x:v>design.review.proposal_bio_brush.in.2</x:v>
      </x:c>
      <x:c r="V289" s="4" t="str">
        <x:v>design.review.proposal_bio_brush.out</x:v>
      </x:c>
    </x:row>
    <x:row r="290" ht="115" customHeight="1">
      <x:c r="A290" s="4" t="str">
        <x:f>IFERROR(INDEX('Material routes'!$E$6:$E$1005,MATCH(U290,'Material routes'!$A$6:$A$1005,0)),"MISSING ID")</x:f>
        <x:v>Shaped fauna hard-part blanks</x:v>
      </x:c>
      <x:c r="B290" s="4" t="str">
        <x:f>IFERROR(INDEX('Material routes'!$F$6:$F$1005,MATCH(U290,'Material routes'!$A$6:$A$1005,0)),"MISSING ID")</x:f>
        <x:v>T1</x:v>
      </x:c>
      <x:c r="C290" s="4" t="str">
        <x:f>IFERROR(INDEX('Material routes'!$H$6:$H$1005,MATCH(U290,'Material routes'!$A$6:$A$1005,0)),"MISSING ID")</x:f>
        <x:v>Processed material</x:v>
      </x:c>
      <x:c r="D290" s="4" t="str">
        <x:f>IFERROR(INDEX('Material routes'!$G$6:$G$1005,MATCH(U290,'Material routes'!$A$6:$A$1005,0)),"MISSING ID")</x:f>
        <x:v>Resources</x:v>
      </x:c>
      <x:c r="E290" s="4" t="str">
        <x:f>IFERROR(INDEX('Material routes'!$C$6:$C$1005,MATCH(U290,'Material routes'!$A$6:$A$1005,0)),"MISSING ID")</x:f>
        <x:v>Ingredient candidate</x:v>
      </x:c>
      <x:c r="F290" s="4" t="str">
        <x:f>IFERROR(INDEX('Material routes'!$E$6:$E$1005,MATCH(V290,'Material routes'!$A$6:$A$1005,0)),"MISSING ID")</x:f>
        <x:v>Jaw cutting insert</x:v>
      </x:c>
      <x:c r="G290" s="4" t="str">
        <x:f>IFERROR(INDEX('Material routes'!$F$6:$F$1005,MATCH(V290,'Material routes'!$A$6:$A$1005,0)),"MISSING ID")</x:f>
        <x:v>T2</x:v>
      </x:c>
      <x:c r="H290" s="4" t="str">
        <x:f>IFERROR(INDEX('Material routes'!$H$6:$H$1005,MATCH(V290,'Material routes'!$A$6:$A$1005,0)),"MISSING ID")</x:f>
        <x:v>Crafting component</x:v>
      </x:c>
      <x:c r="I290" s="4" t="str">
        <x:f>IFERROR(INDEX('Material routes'!$G$6:$G$1005,MATCH(V290,'Material routes'!$A$6:$A$1005,0)),"MISSING ID")</x:f>
        <x:v>Crafting components</x:v>
      </x:c>
      <x:c r="J290" s="4" t="str">
        <x:f>IFERROR(INDEX('Material routes'!$B$6:$B$1005,MATCH(U290,'Material routes'!$A$6:$A$1005,0)),"MISSING ID")</x:f>
        <x:v>design.review.proposal_bio_insert</x:v>
      </x:c>
      <x:c r="K290" s="4" t="str">
        <x:f>IFERROR(INDEX('Crafting recipes'!$C$6:$C$1005,MATCH(J290,'Crafting recipes'!$A$6:$A$1005,0)),"MISSING ID")</x:f>
        <x:v>Material refinement</x:v>
      </x:c>
      <x:c r="L290" s="4" t="str">
        <x:f>IFERROR(INDEX('Material routes'!$K$6:$K$1005,MATCH(U290,'Material routes'!$A$6:$A$1005,0)),"MISSING ID")</x:f>
        <x:v>Proposal</x:v>
      </x:c>
      <x:c r="M290" s="4" t="str">
        <x:f>IFERROR(INDEX('Material routes'!$M$6:$M$1005,MATCH(U290,'Material routes'!$A$6:$A$1005,0)),"MISSING ID")</x:f>
        <x:v>Partial proposal</x:v>
      </x:c>
      <x:c r="N290" s="4" t="str">
        <x:f>IF(IFERROR(INDEX('Material routes'!$I$6:$I$1005,MATCH(U290,'Material routes'!$A$6:$A$1005,0)),"MISSING ID")=0,"",IFERROR(INDEX('Material routes'!$I$6:$I$1005,MATCH(U290,'Material routes'!$A$6:$A$1005,0)),"MISSING ID"))</x:f>
      </x:c>
      <x:c r="O290" s="4" t="str">
        <x:f>IFERROR(INDEX('Material routes'!$J$6:$J$1005,MATCH(U290,'Material routes'!$A$6:$A$1005,0)),"MISSING ID")</x:f>
        <x:v>Unspecified</x:v>
      </x:c>
      <x:c r="P290" s="4" t="str">
        <x:f>IF(IFERROR(INDEX('Material routes'!$I$6:$I$1005,MATCH(V290,'Material routes'!$A$6:$A$1005,0)),"MISSING ID")=0,"",IFERROR(INDEX('Material routes'!$I$6:$I$1005,MATCH(V290,'Material routes'!$A$6:$A$1005,0)),"MISSING ID"))</x:f>
      </x:c>
      <x:c r="Q290" s="4" t="str">
        <x:f>IFERROR(INDEX('Material routes'!$J$6:$J$1005,MATCH(V290,'Material routes'!$A$6:$A$1005,0)),"MISSING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routes'!$D$6:$D$1005,MATCH(U290,'Material routes'!$A$6:$A$1005,0)),"MISSING ID")</x:f>
        <x:v>proposal.t1.hardpart_blank</x:v>
      </x:c>
      <x:c r="T290" s="4" t="str">
        <x:f>IFERROR(INDEX('Material routes'!$D$6:$D$1005,MATCH(V290,'Material routes'!$A$6:$A$1005,0)),"MISSING ID")</x:f>
        <x:v>proposal.bio.insert</x:v>
      </x:c>
      <x:c r="U290" s="4" t="str">
        <x:v>design.review.proposal_bio_insert.in.1</x:v>
      </x:c>
      <x:c r="V290" s="4" t="str">
        <x:v>design.review.proposal_bio_insert.out</x:v>
      </x:c>
    </x:row>
    <x:row r="291" ht="115" customHeight="1">
      <x:c r="A291" s="4" t="str">
        <x:f>IFERROR(INDEX('Material routes'!$E$6:$E$1005,MATCH(U291,'Material routes'!$A$6:$A$1005,0)),"MISSING ID")</x:f>
        <x:v>Prepared shell-binding adhesive</x:v>
      </x:c>
      <x:c r="B291" s="4" t="str">
        <x:f>IFERROR(INDEX('Material routes'!$F$6:$F$1005,MATCH(U291,'Material routes'!$A$6:$A$1005,0)),"MISSING ID")</x:f>
        <x:v>T1</x:v>
      </x:c>
      <x:c r="C291" s="4" t="str">
        <x:f>IFERROR(INDEX('Material routes'!$H$6:$H$1005,MATCH(U291,'Material routes'!$A$6:$A$1005,0)),"MISSING ID")</x:f>
        <x:v>Chemical material</x:v>
      </x:c>
      <x:c r="D291" s="4" t="str">
        <x:f>IFERROR(INDEX('Material routes'!$G$6:$G$1005,MATCH(U291,'Material routes'!$A$6:$A$1005,0)),"MISSING ID")</x:f>
        <x:v>Resources</x:v>
      </x:c>
      <x:c r="E291" s="4" t="str">
        <x:f>IFERROR(INDEX('Material routes'!$C$6:$C$1005,MATCH(U291,'Material routes'!$A$6:$A$1005,0)),"MISSING ID")</x:f>
        <x:v>Ingredient candidate</x:v>
      </x:c>
      <x:c r="F291" s="4" t="str">
        <x:f>IFERROR(INDEX('Material routes'!$E$6:$E$1005,MATCH(V291,'Material routes'!$A$6:$A$1005,0)),"MISSING ID")</x:f>
        <x:v>Jaw cutting insert</x:v>
      </x:c>
      <x:c r="G291" s="4" t="str">
        <x:f>IFERROR(INDEX('Material routes'!$F$6:$F$1005,MATCH(V291,'Material routes'!$A$6:$A$1005,0)),"MISSING ID")</x:f>
        <x:v>T2</x:v>
      </x:c>
      <x:c r="H291" s="4" t="str">
        <x:f>IFERROR(INDEX('Material routes'!$H$6:$H$1005,MATCH(V291,'Material routes'!$A$6:$A$1005,0)),"MISSING ID")</x:f>
        <x:v>Crafting component</x:v>
      </x:c>
      <x:c r="I291" s="4" t="str">
        <x:f>IFERROR(INDEX('Material routes'!$G$6:$G$1005,MATCH(V291,'Material routes'!$A$6:$A$1005,0)),"MISSING ID")</x:f>
        <x:v>Crafting components</x:v>
      </x:c>
      <x:c r="J291" s="4" t="str">
        <x:f>IFERROR(INDEX('Material routes'!$B$6:$B$1005,MATCH(U291,'Material routes'!$A$6:$A$1005,0)),"MISSING ID")</x:f>
        <x:v>design.review.proposal_bio_insert</x:v>
      </x:c>
      <x:c r="K291" s="4" t="str">
        <x:f>IFERROR(INDEX('Crafting recipes'!$C$6:$C$1005,MATCH(J291,'Crafting recipes'!$A$6:$A$1005,0)),"MISSING ID")</x:f>
        <x:v>Material refinement</x:v>
      </x:c>
      <x:c r="L291" s="4" t="str">
        <x:f>IFERROR(INDEX('Material routes'!$K$6:$K$1005,MATCH(U291,'Material routes'!$A$6:$A$1005,0)),"MISSING ID")</x:f>
        <x:v>Proposal</x:v>
      </x:c>
      <x:c r="M291" s="4" t="str">
        <x:f>IFERROR(INDEX('Material routes'!$M$6:$M$1005,MATCH(U291,'Material routes'!$A$6:$A$1005,0)),"MISSING ID")</x:f>
        <x:v>Partial proposal</x:v>
      </x:c>
      <x:c r="N291" s="4" t="str">
        <x:f>IF(IFERROR(INDEX('Material routes'!$I$6:$I$1005,MATCH(U291,'Material routes'!$A$6:$A$1005,0)),"MISSING ID")=0,"",IFERROR(INDEX('Material routes'!$I$6:$I$1005,MATCH(U291,'Material routes'!$A$6:$A$1005,0)),"MISSING ID"))</x:f>
      </x:c>
      <x:c r="O291" s="4" t="str">
        <x:f>IFERROR(INDEX('Material routes'!$J$6:$J$1005,MATCH(U291,'Material routes'!$A$6:$A$1005,0)),"MISSING ID")</x:f>
        <x:v>Unspecified</x:v>
      </x:c>
      <x:c r="P291" s="4" t="str">
        <x:f>IF(IFERROR(INDEX('Material routes'!$I$6:$I$1005,MATCH(V291,'Material routes'!$A$6:$A$1005,0)),"MISSING ID")=0,"",IFERROR(INDEX('Material routes'!$I$6:$I$1005,MATCH(V291,'Material routes'!$A$6:$A$1005,0)),"MISSING ID"))</x:f>
      </x:c>
      <x:c r="Q291" s="4" t="str">
        <x:f>IFERROR(INDEX('Material routes'!$J$6:$J$1005,MATCH(V291,'Material routes'!$A$6:$A$1005,0)),"MISSING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routes'!$D$6:$D$1005,MATCH(U291,'Material routes'!$A$6:$A$1005,0)),"MISSING ID")</x:f>
        <x:v>proposal.t1.shell_adhesive</x:v>
      </x:c>
      <x:c r="T291" s="4" t="str">
        <x:f>IFERROR(INDEX('Material routes'!$D$6:$D$1005,MATCH(V291,'Material routes'!$A$6:$A$1005,0)),"MISSING ID")</x:f>
        <x:v>proposal.bio.insert</x:v>
      </x:c>
      <x:c r="U291" s="4" t="str">
        <x:v>design.review.proposal_bio_insert.in.2</x:v>
      </x:c>
      <x:c r="V291" s="4" t="str">
        <x:v>design.review.proposal_bio_insert.out</x:v>
      </x:c>
    </x:row>
    <x:row r="292" ht="115" customHeight="1">
      <x:c r="A292" s="4" t="str">
        <x:f>IFERROR(INDEX('Material routes'!$E$6:$E$1005,MATCH(U292,'Material routes'!$A$6:$A$1005,0)),"MISSING ID")</x:f>
        <x:v>Charge-organ tissue</x:v>
      </x:c>
      <x:c r="B292" s="4" t="str">
        <x:f>IFERROR(INDEX('Material routes'!$F$6:$F$1005,MATCH(U292,'Material routes'!$A$6:$A$1005,0)),"MISSING ID")</x:f>
        <x:v>T0</x:v>
      </x:c>
      <x:c r="C292" s="4" t="str">
        <x:f>IFERROR(INDEX('Material routes'!$H$6:$H$1005,MATCH(U292,'Material routes'!$A$6:$A$1005,0)),"MISSING ID")</x:f>
        <x:v>Raw material</x:v>
      </x:c>
      <x:c r="D292" s="4" t="str">
        <x:f>IFERROR(INDEX('Material routes'!$G$6:$G$1005,MATCH(U292,'Material routes'!$A$6:$A$1005,0)),"MISSING ID")</x:f>
        <x:v>Resources</x:v>
      </x:c>
      <x:c r="E292" s="4" t="str">
        <x:f>IFERROR(INDEX('Material routes'!$C$6:$C$1005,MATCH(U292,'Material routes'!$A$6:$A$1005,0)),"MISSING ID")</x:f>
        <x:v>Ingredient candidate</x:v>
      </x:c>
      <x:c r="F292" s="4" t="str">
        <x:f>IFERROR(INDEX('Material routes'!$E$6:$E$1005,MATCH(V292,'Material routes'!$A$6:$A$1005,0)),"MISSING ID")</x:f>
        <x:v>Dry organ electrode scaffold</x:v>
      </x:c>
      <x:c r="G292" s="4" t="str">
        <x:f>IFERROR(INDEX('Material routes'!$F$6:$F$1005,MATCH(V292,'Material routes'!$A$6:$A$1005,0)),"MISSING ID")</x:f>
        <x:v>T1</x:v>
      </x:c>
      <x:c r="H292" s="4" t="str">
        <x:f>IFERROR(INDEX('Material routes'!$H$6:$H$1005,MATCH(V292,'Material routes'!$A$6:$A$1005,0)),"MISSING ID")</x:f>
        <x:v>Crafting component</x:v>
      </x:c>
      <x:c r="I292" s="4" t="str">
        <x:f>IFERROR(INDEX('Material routes'!$G$6:$G$1005,MATCH(V292,'Material routes'!$A$6:$A$1005,0)),"MISSING ID")</x:f>
        <x:v>Crafting components</x:v>
      </x:c>
      <x:c r="J292" s="4" t="str">
        <x:f>IFERROR(INDEX('Material routes'!$B$6:$B$1005,MATCH(U292,'Material routes'!$A$6:$A$1005,0)),"MISSING ID")</x:f>
        <x:v>design.review.proposal_bio_electrode</x:v>
      </x:c>
      <x:c r="K292" s="4" t="str">
        <x:f>IFERROR(INDEX('Crafting recipes'!$C$6:$C$1005,MATCH(J292,'Crafting recipes'!$A$6:$A$1005,0)),"MISSING ID")</x:f>
        <x:v>Material refinement</x:v>
      </x:c>
      <x:c r="L292" s="4" t="str">
        <x:f>IFERROR(INDEX('Material routes'!$K$6:$K$1005,MATCH(U292,'Material routes'!$A$6:$A$1005,0)),"MISSING ID")</x:f>
        <x:v>Proposal</x:v>
      </x:c>
      <x:c r="M292" s="4" t="str">
        <x:f>IFERROR(INDEX('Material routes'!$M$6:$M$1005,MATCH(U292,'Material routes'!$A$6:$A$1005,0)),"MISSING ID")</x:f>
        <x:v>Partial proposal</x:v>
      </x:c>
      <x:c r="N292" s="4" t="str">
        <x:f>IF(IFERROR(INDEX('Material routes'!$I$6:$I$1005,MATCH(U292,'Material routes'!$A$6:$A$1005,0)),"MISSING ID")=0,"",IFERROR(INDEX('Material routes'!$I$6:$I$1005,MATCH(U292,'Material routes'!$A$6:$A$1005,0)),"MISSING ID"))</x:f>
      </x:c>
      <x:c r="O292" s="4" t="str">
        <x:f>IFERROR(INDEX('Material routes'!$J$6:$J$1005,MATCH(U292,'Material routes'!$A$6:$A$1005,0)),"MISSING ID")</x:f>
        <x:v>Unspecified</x:v>
      </x:c>
      <x:c r="P292" s="4" t="str">
        <x:f>IF(IFERROR(INDEX('Material routes'!$I$6:$I$1005,MATCH(V292,'Material routes'!$A$6:$A$1005,0)),"MISSING ID")=0,"",IFERROR(INDEX('Material routes'!$I$6:$I$1005,MATCH(V292,'Material routes'!$A$6:$A$1005,0)),"MISSING ID"))</x:f>
      </x:c>
      <x:c r="Q292" s="4" t="str">
        <x:f>IFERROR(INDEX('Material routes'!$J$6:$J$1005,MATCH(V292,'Material routes'!$A$6:$A$1005,0)),"MISSING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routes'!$D$6:$D$1005,MATCH(U292,'Material routes'!$A$6:$A$1005,0)),"MISSING ID")</x:f>
        <x:v>proposal.bio.organ</x:v>
      </x:c>
      <x:c r="T292" s="4" t="str">
        <x:f>IFERROR(INDEX('Material routes'!$D$6:$D$1005,MATCH(V292,'Material routes'!$A$6:$A$1005,0)),"MISSING ID")</x:f>
        <x:v>proposal.bio.electrode</x:v>
      </x:c>
      <x:c r="U292" s="4" t="str">
        <x:v>design.review.proposal_bio_electrode.in.1</x:v>
      </x:c>
      <x:c r="V292" s="4" t="str">
        <x:v>design.review.proposal_bio_electrode.out</x:v>
      </x:c>
    </x:row>
    <x:row r="293" ht="115" customHeight="1">
      <x:c r="A293" s="4" t="str">
        <x:f>IFERROR(INDEX('Material routes'!$E$6:$E$1005,MATCH(U293,'Material routes'!$A$6:$A$1005,0)),"MISSING ID")</x:f>
        <x:v>Shell husks / shed plates</x:v>
      </x:c>
      <x:c r="B293" s="4" t="str">
        <x:f>IFERROR(INDEX('Material routes'!$F$6:$F$1005,MATCH(U293,'Material routes'!$A$6:$A$1005,0)),"MISSING ID")</x:f>
        <x:v>T0</x:v>
      </x:c>
      <x:c r="C293" s="4" t="str">
        <x:f>IFERROR(INDEX('Material routes'!$H$6:$H$1005,MATCH(U293,'Material routes'!$A$6:$A$1005,0)),"MISSING ID")</x:f>
        <x:v>Raw material</x:v>
      </x:c>
      <x:c r="D293" s="4" t="str">
        <x:f>IFERROR(INDEX('Material routes'!$G$6:$G$1005,MATCH(U293,'Material routes'!$A$6:$A$1005,0)),"MISSING ID")</x:f>
        <x:v>Resources</x:v>
      </x:c>
      <x:c r="E293" s="4" t="str">
        <x:f>IFERROR(INDEX('Material routes'!$C$6:$C$1005,MATCH(U293,'Material routes'!$A$6:$A$1005,0)),"MISSING ID")</x:f>
        <x:v>Ingredient candidate</x:v>
      </x:c>
      <x:c r="F293" s="4" t="str">
        <x:f>IFERROR(INDEX('Material routes'!$E$6:$E$1005,MATCH(V293,'Material routes'!$A$6:$A$1005,0)),"MISSING ID")</x:f>
        <x:v>Charcoal</x:v>
      </x:c>
      <x:c r="G293" s="4" t="str">
        <x:f>IFERROR(INDEX('Material routes'!$F$6:$F$1005,MATCH(V293,'Material routes'!$A$6:$A$1005,0)),"MISSING ID")</x:f>
        <x:v>T1</x:v>
      </x:c>
      <x:c r="H293" s="4" t="str">
        <x:f>IFERROR(INDEX('Material routes'!$H$6:$H$1005,MATCH(V293,'Material routes'!$A$6:$A$1005,0)),"MISSING ID")</x:f>
        <x:v>Processed material</x:v>
      </x:c>
      <x:c r="I293" s="4" t="str">
        <x:f>IFERROR(INDEX('Material routes'!$G$6:$G$1005,MATCH(V293,'Material routes'!$A$6:$A$1005,0)),"MISSING ID")</x:f>
        <x:v>Resources</x:v>
      </x:c>
      <x:c r="J293" s="4" t="str">
        <x:f>IFERROR(INDEX('Material routes'!$B$6:$B$1005,MATCH(U293,'Material routes'!$A$6:$A$1005,0)),"MISSING ID")</x:f>
        <x:v>design.review.proposal_natural_charcoal</x:v>
      </x:c>
      <x:c r="K293" s="4" t="str">
        <x:f>IFERROR(INDEX('Crafting recipes'!$C$6:$C$1005,MATCH(J293,'Crafting recipes'!$A$6:$A$1005,0)),"MISSING ID")</x:f>
        <x:v>Material refinement</x:v>
      </x:c>
      <x:c r="L293" s="4" t="str">
        <x:f>IFERROR(INDEX('Material routes'!$K$6:$K$1005,MATCH(U293,'Material routes'!$A$6:$A$1005,0)),"MISSING ID")</x:f>
        <x:v>Proposal</x:v>
      </x:c>
      <x:c r="M293" s="4" t="str">
        <x:f>IFERROR(INDEX('Material routes'!$M$6:$M$1005,MATCH(U293,'Material routes'!$A$6:$A$1005,0)),"MISSING ID")</x:f>
        <x:v>Partial proposal</x:v>
      </x:c>
      <x:c r="N293" s="4" t="str">
        <x:f>IF(IFERROR(INDEX('Material routes'!$I$6:$I$1005,MATCH(U293,'Material routes'!$A$6:$A$1005,0)),"MISSING ID")=0,"",IFERROR(INDEX('Material routes'!$I$6:$I$1005,MATCH(U293,'Material routes'!$A$6:$A$1005,0)),"MISSING ID"))</x:f>
      </x:c>
      <x:c r="O293" s="4" t="str">
        <x:f>IFERROR(INDEX('Material routes'!$J$6:$J$1005,MATCH(U293,'Material routes'!$A$6:$A$1005,0)),"MISSING ID")</x:f>
        <x:v>Unspecified</x:v>
      </x:c>
      <x:c r="P293" s="4" t="str">
        <x:f>IF(IFERROR(INDEX('Material routes'!$I$6:$I$1005,MATCH(V293,'Material routes'!$A$6:$A$1005,0)),"MISSING ID")=0,"",IFERROR(INDEX('Material routes'!$I$6:$I$1005,MATCH(V293,'Material routes'!$A$6:$A$1005,0)),"MISSING ID"))</x:f>
      </x:c>
      <x:c r="Q293" s="4" t="str">
        <x:f>IFERROR(INDEX('Material routes'!$J$6:$J$1005,MATCH(V293,'Material routes'!$A$6:$A$1005,0)),"MISSING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routes'!$D$6:$D$1005,MATCH(U293,'Material routes'!$A$6:$A$1005,0)),"MISSING ID")</x:f>
        <x:v>proposal.bio.shell</x:v>
      </x:c>
      <x:c r="T293" s="4" t="str">
        <x:f>IFERROR(INDEX('Material routes'!$D$6:$D$1005,MATCH(V293,'Material routes'!$A$6:$A$1005,0)),"MISSING ID")</x:f>
        <x:v>proposal.natural.charcoal</x:v>
      </x:c>
      <x:c r="U293" s="4" t="str">
        <x:v>design.review.proposal_natural_charcoal.in.1</x:v>
      </x:c>
      <x:c r="V293" s="4" t="str">
        <x:v>design.review.proposal_natural_charcoal.out</x:v>
      </x:c>
    </x:row>
    <x:row r="294" ht="115" customHeight="1">
      <x:c r="A294" s="4" t="str">
        <x:f>IFERROR(INDEX('Material routes'!$E$6:$E$1005,MATCH(U294,'Material routes'!$A$6:$A$1005,0)),"MISSING ID")</x:f>
        <x:v>Shell husks / shed plates</x:v>
      </x:c>
      <x:c r="B294" s="4" t="str">
        <x:f>IFERROR(INDEX('Material routes'!$F$6:$F$1005,MATCH(U294,'Material routes'!$A$6:$A$1005,0)),"MISSING ID")</x:f>
        <x:v>T0</x:v>
      </x:c>
      <x:c r="C294" s="4" t="str">
        <x:f>IFERROR(INDEX('Material routes'!$H$6:$H$1005,MATCH(U294,'Material routes'!$A$6:$A$1005,0)),"MISSING ID")</x:f>
        <x:v>Raw material</x:v>
      </x:c>
      <x:c r="D294" s="4" t="str">
        <x:f>IFERROR(INDEX('Material routes'!$G$6:$G$1005,MATCH(U294,'Material routes'!$A$6:$A$1005,0)),"MISSING ID")</x:f>
        <x:v>Resources</x:v>
      </x:c>
      <x:c r="E294" s="4" t="str">
        <x:f>IFERROR(INDEX('Material routes'!$C$6:$C$1005,MATCH(U294,'Material routes'!$A$6:$A$1005,0)),"MISSING ID")</x:f>
        <x:v>Ingredient candidate</x:v>
      </x:c>
      <x:c r="F294" s="4" t="str">
        <x:f>IFERROR(INDEX('Material routes'!$E$6:$E$1005,MATCH(V294,'Material routes'!$A$6:$A$1005,0)),"MISSING ID")</x:f>
        <x:v>Chitin-char</x:v>
      </x:c>
      <x:c r="G294" s="4" t="str">
        <x:f>IFERROR(INDEX('Material routes'!$F$6:$F$1005,MATCH(V294,'Material routes'!$A$6:$A$1005,0)),"MISSING ID")</x:f>
        <x:v>T1</x:v>
      </x:c>
      <x:c r="H294" s="4" t="str">
        <x:f>IFERROR(INDEX('Material routes'!$H$6:$H$1005,MATCH(V294,'Material routes'!$A$6:$A$1005,0)),"MISSING ID")</x:f>
        <x:v>Processed material</x:v>
      </x:c>
      <x:c r="I294" s="4" t="str">
        <x:f>IFERROR(INDEX('Material routes'!$G$6:$G$1005,MATCH(V294,'Material routes'!$A$6:$A$1005,0)),"MISSING ID")</x:f>
        <x:v>Resources</x:v>
      </x:c>
      <x:c r="J294" s="4" t="str">
        <x:f>IFERROR(INDEX('Material routes'!$B$6:$B$1005,MATCH(U294,'Material routes'!$A$6:$A$1005,0)),"MISSING ID")</x:f>
        <x:v>design.review.proposal_fire_chitin_char</x:v>
      </x:c>
      <x:c r="K294" s="4" t="str">
        <x:f>IFERROR(INDEX('Crafting recipes'!$C$6:$C$1005,MATCH(J294,'Crafting recipes'!$A$6:$A$1005,0)),"MISSING ID")</x:f>
        <x:v>Material refinement</x:v>
      </x:c>
      <x:c r="L294" s="4" t="str">
        <x:f>IFERROR(INDEX('Material routes'!$K$6:$K$1005,MATCH(U294,'Material routes'!$A$6:$A$1005,0)),"MISSING ID")</x:f>
        <x:v>Proposal</x:v>
      </x:c>
      <x:c r="M294" s="4" t="str">
        <x:f>IFERROR(INDEX('Material routes'!$M$6:$M$1005,MATCH(U294,'Material routes'!$A$6:$A$1005,0)),"MISSING ID")</x:f>
        <x:v>Partial proposal</x:v>
      </x:c>
      <x:c r="N294" s="4" t="str">
        <x:f>IF(IFERROR(INDEX('Material routes'!$I$6:$I$1005,MATCH(U294,'Material routes'!$A$6:$A$1005,0)),"MISSING ID")=0,"",IFERROR(INDEX('Material routes'!$I$6:$I$1005,MATCH(U294,'Material routes'!$A$6:$A$1005,0)),"MISSING ID"))</x:f>
      </x:c>
      <x:c r="O294" s="4" t="str">
        <x:f>IFERROR(INDEX('Material routes'!$J$6:$J$1005,MATCH(U294,'Material routes'!$A$6:$A$1005,0)),"MISSING ID")</x:f>
        <x:v>Unspecified</x:v>
      </x:c>
      <x:c r="P294" s="4" t="str">
        <x:f>IF(IFERROR(INDEX('Material routes'!$I$6:$I$1005,MATCH(V294,'Material routes'!$A$6:$A$1005,0)),"MISSING ID")=0,"",IFERROR(INDEX('Material routes'!$I$6:$I$1005,MATCH(V294,'Material routes'!$A$6:$A$1005,0)),"MISSING ID"))</x:f>
      </x:c>
      <x:c r="Q294" s="4" t="str">
        <x:f>IFERROR(INDEX('Material routes'!$J$6:$J$1005,MATCH(V294,'Material routes'!$A$6:$A$1005,0)),"MISSING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routes'!$D$6:$D$1005,MATCH(U294,'Material routes'!$A$6:$A$1005,0)),"MISSING ID")</x:f>
        <x:v>proposal.bio.shell</x:v>
      </x:c>
      <x:c r="T294" s="4" t="str">
        <x:f>IFERROR(INDEX('Material routes'!$D$6:$D$1005,MATCH(V294,'Material routes'!$A$6:$A$1005,0)),"MISSING ID")</x:f>
        <x:v>proposal.fire.chitin_char</x:v>
      </x:c>
      <x:c r="U294" s="4" t="str">
        <x:v>design.review.proposal_fire_chitin_char.in.1</x:v>
      </x:c>
      <x:c r="V294" s="4" t="str">
        <x:v>design.review.proposal_fire_chitin_char.out</x:v>
      </x:c>
    </x:row>
    <x:row r="295" ht="115" customHeight="1">
      <x:c r="A295" s="4" t="str">
        <x:f>IFERROR(INDEX('Material routes'!$E$6:$E$1005,MATCH(U295,'Material routes'!$A$6:$A$1005,0)),"MISSING ID")</x:f>
        <x:v>Rough clear-glass blank</x:v>
      </x:c>
      <x:c r="B295" s="4" t="str">
        <x:f>IFERROR(INDEX('Material routes'!$F$6:$F$1005,MATCH(U295,'Material routes'!$A$6:$A$1005,0)),"MISSING ID")</x:f>
        <x:v>T1</x:v>
      </x:c>
      <x:c r="C295" s="4" t="str">
        <x:f>IFERROR(INDEX('Material routes'!$H$6:$H$1005,MATCH(U295,'Material routes'!$A$6:$A$1005,0)),"MISSING ID")</x:f>
        <x:v>Processed material</x:v>
      </x:c>
      <x:c r="D295" s="4" t="str">
        <x:f>IFERROR(INDEX('Material routes'!$G$6:$G$1005,MATCH(U295,'Material routes'!$A$6:$A$1005,0)),"MISSING ID")</x:f>
        <x:v>Resources</x:v>
      </x:c>
      <x:c r="E295" s="4" t="str">
        <x:f>IFERROR(INDEX('Material routes'!$C$6:$C$1005,MATCH(U295,'Material routes'!$A$6:$A$1005,0)),"MISSING ID")</x:f>
        <x:v>Ingredient candidate</x:v>
      </x:c>
      <x:c r="F295" s="4" t="str">
        <x:f>IFERROR(INDEX('Material routes'!$E$6:$E$1005,MATCH(V295,'Material routes'!$A$6:$A$1005,0)),"MISSING ID")</x:f>
        <x:v>Matched glass stopper</x:v>
      </x:c>
      <x:c r="G295" s="4" t="str">
        <x:f>IFERROR(INDEX('Material routes'!$F$6:$F$1005,MATCH(V295,'Material routes'!$A$6:$A$1005,0)),"MISSING ID")</x:f>
        <x:v>T2</x:v>
      </x:c>
      <x:c r="H295" s="4" t="str">
        <x:f>IFERROR(INDEX('Material routes'!$H$6:$H$1005,MATCH(V295,'Material routes'!$A$6:$A$1005,0)),"MISSING ID")</x:f>
        <x:v>Container part</x:v>
      </x:c>
      <x:c r="I295" s="4" t="str">
        <x:f>IFERROR(INDEX('Material routes'!$G$6:$G$1005,MATCH(V295,'Material routes'!$A$6:$A$1005,0)),"MISSING ID")</x:f>
        <x:v>Containers</x:v>
      </x:c>
      <x:c r="J295" s="4" t="str">
        <x:f>IFERROR(INDEX('Material routes'!$B$6:$B$1005,MATCH(U295,'Material routes'!$A$6:$A$1005,0)),"MISSING ID")</x:f>
        <x:v>design.review.proposal_container_glass_stopper</x:v>
      </x:c>
      <x:c r="K295" s="4" t="str">
        <x:f>IFERROR(INDEX('Crafting recipes'!$C$6:$C$1005,MATCH(J295,'Crafting recipes'!$A$6:$A$1005,0)),"MISSING ID")</x:f>
        <x:v>Material refinement</x:v>
      </x:c>
      <x:c r="L295" s="4" t="str">
        <x:f>IFERROR(INDEX('Material routes'!$K$6:$K$1005,MATCH(U295,'Material routes'!$A$6:$A$1005,0)),"MISSING ID")</x:f>
        <x:v>Proposal</x:v>
      </x:c>
      <x:c r="M295" s="4" t="str">
        <x:f>IFERROR(INDEX('Material routes'!$M$6:$M$1005,MATCH(U295,'Material routes'!$A$6:$A$1005,0)),"MISSING ID")</x:f>
        <x:v>Partial proposal</x:v>
      </x:c>
      <x:c r="N295" s="4" t="str">
        <x:f>IF(IFERROR(INDEX('Material routes'!$I$6:$I$1005,MATCH(U295,'Material routes'!$A$6:$A$1005,0)),"MISSING ID")=0,"",IFERROR(INDEX('Material routes'!$I$6:$I$1005,MATCH(U295,'Material routes'!$A$6:$A$1005,0)),"MISSING ID"))</x:f>
      </x:c>
      <x:c r="O295" s="4" t="str">
        <x:f>IFERROR(INDEX('Material routes'!$J$6:$J$1005,MATCH(U295,'Material routes'!$A$6:$A$1005,0)),"MISSING ID")</x:f>
        <x:v>Unspecified</x:v>
      </x:c>
      <x:c r="P295" s="4" t="str">
        <x:f>IF(IFERROR(INDEX('Material routes'!$I$6:$I$1005,MATCH(V295,'Material routes'!$A$6:$A$1005,0)),"MISSING ID")=0,"",IFERROR(INDEX('Material routes'!$I$6:$I$1005,MATCH(V295,'Material routes'!$A$6:$A$1005,0)),"MISSING ID"))</x:f>
      </x:c>
      <x:c r="Q295" s="4" t="str">
        <x:f>IFERROR(INDEX('Material routes'!$J$6:$J$1005,MATCH(V295,'Material routes'!$A$6:$A$1005,0)),"MISSING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routes'!$D$6:$D$1005,MATCH(U295,'Material routes'!$A$6:$A$1005,0)),"MISSING ID")</x:f>
        <x:v>proposal.t1.clear_glass_blank</x:v>
      </x:c>
      <x:c r="T295" s="4" t="str">
        <x:f>IFERROR(INDEX('Material routes'!$D$6:$D$1005,MATCH(V295,'Material routes'!$A$6:$A$1005,0)),"MISSING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routes'!$E$6:$E$1005,MATCH(U296,'Material routes'!$A$6:$A$1005,0)),"MISSING ID")</x:f>
        <x:v>Graded abrasive grit</x:v>
      </x:c>
      <x:c r="B296" s="4" t="str">
        <x:f>IFERROR(INDEX('Material routes'!$F$6:$F$1005,MATCH(U296,'Material routes'!$A$6:$A$1005,0)),"MISSING ID")</x:f>
        <x:v>T1</x:v>
      </x:c>
      <x:c r="C296" s="4" t="str">
        <x:f>IFERROR(INDEX('Material routes'!$H$6:$H$1005,MATCH(U296,'Material routes'!$A$6:$A$1005,0)),"MISSING ID")</x:f>
        <x:v>Processed material</x:v>
      </x:c>
      <x:c r="D296" s="4" t="str">
        <x:f>IFERROR(INDEX('Material routes'!$G$6:$G$1005,MATCH(U296,'Material routes'!$A$6:$A$1005,0)),"MISSING ID")</x:f>
        <x:v>Resources</x:v>
      </x:c>
      <x:c r="E296" s="4" t="str">
        <x:f>IFERROR(INDEX('Material routes'!$C$6:$C$1005,MATCH(U296,'Material routes'!$A$6:$A$1005,0)),"MISSING ID")</x:f>
        <x:v>Ingredient candidate</x:v>
      </x:c>
      <x:c r="F296" s="4" t="str">
        <x:f>IFERROR(INDEX('Material routes'!$E$6:$E$1005,MATCH(V296,'Material routes'!$A$6:$A$1005,0)),"MISSING ID")</x:f>
        <x:v>Matched glass stopper</x:v>
      </x:c>
      <x:c r="G296" s="4" t="str">
        <x:f>IFERROR(INDEX('Material routes'!$F$6:$F$1005,MATCH(V296,'Material routes'!$A$6:$A$1005,0)),"MISSING ID")</x:f>
        <x:v>T2</x:v>
      </x:c>
      <x:c r="H296" s="4" t="str">
        <x:f>IFERROR(INDEX('Material routes'!$H$6:$H$1005,MATCH(V296,'Material routes'!$A$6:$A$1005,0)),"MISSING ID")</x:f>
        <x:v>Container part</x:v>
      </x:c>
      <x:c r="I296" s="4" t="str">
        <x:f>IFERROR(INDEX('Material routes'!$G$6:$G$1005,MATCH(V296,'Material routes'!$A$6:$A$1005,0)),"MISSING ID")</x:f>
        <x:v>Containers</x:v>
      </x:c>
      <x:c r="J296" s="4" t="str">
        <x:f>IFERROR(INDEX('Material routes'!$B$6:$B$1005,MATCH(U296,'Material routes'!$A$6:$A$1005,0)),"MISSING ID")</x:f>
        <x:v>design.review.proposal_container_glass_stopper</x:v>
      </x:c>
      <x:c r="K296" s="4" t="str">
        <x:f>IFERROR(INDEX('Crafting recipes'!$C$6:$C$1005,MATCH(J296,'Crafting recipes'!$A$6:$A$1005,0)),"MISSING ID")</x:f>
        <x:v>Material refinement</x:v>
      </x:c>
      <x:c r="L296" s="4" t="str">
        <x:f>IFERROR(INDEX('Material routes'!$K$6:$K$1005,MATCH(U296,'Material routes'!$A$6:$A$1005,0)),"MISSING ID")</x:f>
        <x:v>Proposal</x:v>
      </x:c>
      <x:c r="M296" s="4" t="str">
        <x:f>IFERROR(INDEX('Material routes'!$M$6:$M$1005,MATCH(U296,'Material routes'!$A$6:$A$1005,0)),"MISSING ID")</x:f>
        <x:v>Partial proposal</x:v>
      </x:c>
      <x:c r="N296" s="4" t="str">
        <x:f>IF(IFERROR(INDEX('Material routes'!$I$6:$I$1005,MATCH(U296,'Material routes'!$A$6:$A$1005,0)),"MISSING ID")=0,"",IFERROR(INDEX('Material routes'!$I$6:$I$1005,MATCH(U296,'Material routes'!$A$6:$A$1005,0)),"MISSING ID"))</x:f>
      </x:c>
      <x:c r="O296" s="4" t="str">
        <x:f>IFERROR(INDEX('Material routes'!$J$6:$J$1005,MATCH(U296,'Material routes'!$A$6:$A$1005,0)),"MISSING ID")</x:f>
        <x:v>Unspecified</x:v>
      </x:c>
      <x:c r="P296" s="4" t="str">
        <x:f>IF(IFERROR(INDEX('Material routes'!$I$6:$I$1005,MATCH(V296,'Material routes'!$A$6:$A$1005,0)),"MISSING ID")=0,"",IFERROR(INDEX('Material routes'!$I$6:$I$1005,MATCH(V296,'Material routes'!$A$6:$A$1005,0)),"MISSING ID"))</x:f>
      </x:c>
      <x:c r="Q296" s="4" t="str">
        <x:f>IFERROR(INDEX('Material routes'!$J$6:$J$1005,MATCH(V296,'Material routes'!$A$6:$A$1005,0)),"MISSING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routes'!$D$6:$D$1005,MATCH(U296,'Material routes'!$A$6:$A$1005,0)),"MISSING ID")</x:f>
        <x:v>proposal.natural.abrasive</x:v>
      </x:c>
      <x:c r="T296" s="4" t="str">
        <x:f>IFERROR(INDEX('Material routes'!$D$6:$D$1005,MATCH(V296,'Material routes'!$A$6:$A$1005,0)),"MISSING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routes'!$E$6:$E$1005,MATCH(U297,'Material routes'!$A$6:$A$1005,0)),"MISSING ID")</x:f>
        <x:v>Steel stock</x:v>
      </x:c>
      <x:c r="B297" s="4" t="str">
        <x:f>IFERROR(INDEX('Material routes'!$F$6:$F$1005,MATCH(U297,'Material routes'!$A$6:$A$1005,0)),"MISSING ID")</x:f>
        <x:v>T2</x:v>
      </x:c>
      <x:c r="C297" s="4" t="str">
        <x:f>IFERROR(INDEX('Material routes'!$H$6:$H$1005,MATCH(U297,'Material routes'!$A$6:$A$1005,0)),"MISSING ID")</x:f>
        <x:v>Processed material</x:v>
      </x:c>
      <x:c r="D297" s="4" t="str">
        <x:f>IFERROR(INDEX('Material routes'!$G$6:$G$1005,MATCH(U297,'Material routes'!$A$6:$A$1005,0)),"MISSING ID")</x:f>
        <x:v>Resources</x:v>
      </x:c>
      <x:c r="E297" s="4" t="str">
        <x:f>IFERROR(INDEX('Material routes'!$C$6:$C$1005,MATCH(U297,'Material routes'!$A$6:$A$1005,0)),"MISSING ID")</x:f>
        <x:v>Ingredient candidate</x:v>
      </x:c>
      <x:c r="F297" s="4" t="str">
        <x:f>IFERROR(INDEX('Material routes'!$E$6:$E$1005,MATCH(V297,'Material routes'!$A$6:$A$1005,0)),"MISSING ID")</x:f>
        <x:v>Compression seal collar</x:v>
      </x:c>
      <x:c r="G297" s="4" t="str">
        <x:f>IFERROR(INDEX('Material routes'!$F$6:$F$1005,MATCH(V297,'Material routes'!$A$6:$A$1005,0)),"MISSING ID")</x:f>
        <x:v>T3</x:v>
      </x:c>
      <x:c r="H297" s="4" t="str">
        <x:f>IFERROR(INDEX('Material routes'!$H$6:$H$1005,MATCH(V297,'Material routes'!$A$6:$A$1005,0)),"MISSING ID")</x:f>
        <x:v>Container part</x:v>
      </x:c>
      <x:c r="I297" s="4" t="str">
        <x:f>IFERROR(INDEX('Material routes'!$G$6:$G$1005,MATCH(V297,'Material routes'!$A$6:$A$1005,0)),"MISSING ID")</x:f>
        <x:v>Containers</x:v>
      </x:c>
      <x:c r="J297" s="4" t="str">
        <x:f>IFERROR(INDEX('Material routes'!$B$6:$B$1005,MATCH(U297,'Material routes'!$A$6:$A$1005,0)),"MISSING ID")</x:f>
        <x:v>design.review.proposal_container_seal_collar</x:v>
      </x:c>
      <x:c r="K297" s="4" t="str">
        <x:f>IFERROR(INDEX('Crafting recipes'!$C$6:$C$1005,MATCH(J297,'Crafting recipes'!$A$6:$A$1005,0)),"MISSING ID")</x:f>
        <x:v>Material refinement</x:v>
      </x:c>
      <x:c r="L297" s="4" t="str">
        <x:f>IFERROR(INDEX('Material routes'!$K$6:$K$1005,MATCH(U297,'Material routes'!$A$6:$A$1005,0)),"MISSING ID")</x:f>
        <x:v>Proposal</x:v>
      </x:c>
      <x:c r="M297" s="4" t="str">
        <x:f>IFERROR(INDEX('Material routes'!$M$6:$M$1005,MATCH(U297,'Material routes'!$A$6:$A$1005,0)),"MISSING ID")</x:f>
        <x:v>Partial proposal</x:v>
      </x:c>
      <x:c r="N297" s="4" t="str">
        <x:f>IF(IFERROR(INDEX('Material routes'!$I$6:$I$1005,MATCH(U297,'Material routes'!$A$6:$A$1005,0)),"MISSING ID")=0,"",IFERROR(INDEX('Material routes'!$I$6:$I$1005,MATCH(U297,'Material routes'!$A$6:$A$1005,0)),"MISSING ID"))</x:f>
      </x:c>
      <x:c r="O297" s="4" t="str">
        <x:f>IFERROR(INDEX('Material routes'!$J$6:$J$1005,MATCH(U297,'Material routes'!$A$6:$A$1005,0)),"MISSING ID")</x:f>
        <x:v>Unspecified</x:v>
      </x:c>
      <x:c r="P297" s="4" t="str">
        <x:f>IF(IFERROR(INDEX('Material routes'!$I$6:$I$1005,MATCH(V297,'Material routes'!$A$6:$A$1005,0)),"MISSING ID")=0,"",IFERROR(INDEX('Material routes'!$I$6:$I$1005,MATCH(V297,'Material routes'!$A$6:$A$1005,0)),"MISSING ID"))</x:f>
      </x:c>
      <x:c r="Q297" s="4" t="str">
        <x:f>IFERROR(INDEX('Material routes'!$J$6:$J$1005,MATCH(V297,'Material routes'!$A$6:$A$1005,0)),"MISSING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routes'!$D$6:$D$1005,MATCH(U297,'Material routes'!$A$6:$A$1005,0)),"MISSING ID")</x:f>
        <x:v>author.metallurgy.steel_stock</x:v>
      </x:c>
      <x:c r="T297" s="4" t="str">
        <x:f>IFERROR(INDEX('Material routes'!$D$6:$D$1005,MATCH(V297,'Material routes'!$A$6:$A$1005,0)),"MISSING ID")</x:f>
        <x:v>proposal.container.seal_collar</x:v>
      </x:c>
      <x:c r="U297" s="4" t="str">
        <x:v>design.review.proposal_container_seal_collar.in.1</x:v>
      </x:c>
      <x:c r="V297" s="4" t="str">
        <x:v>design.review.proposal_container_seal_collar.out</x:v>
      </x:c>
    </x:row>
    <x:row r="298" ht="115" customHeight="1">
      <x:c r="A298" s="4" t="str">
        <x:f>IFERROR(INDEX('Material routes'!$E$6:$E$1005,MATCH(U298,'Material routes'!$A$6:$A$1005,0)),"MISSING ID")</x:f>
        <x:v>Filled faunal seal compound</x:v>
      </x:c>
      <x:c r="B298" s="4" t="str">
        <x:f>IFERROR(INDEX('Material routes'!$F$6:$F$1005,MATCH(U298,'Material routes'!$A$6:$A$1005,0)),"MISSING ID")</x:f>
        <x:v>T2</x:v>
      </x:c>
      <x:c r="C298" s="4" t="str">
        <x:f>IFERROR(INDEX('Material routes'!$H$6:$H$1005,MATCH(U298,'Material routes'!$A$6:$A$1005,0)),"MISSING ID")</x:f>
        <x:v>Chemical material</x:v>
      </x:c>
      <x:c r="D298" s="4" t="str">
        <x:f>IFERROR(INDEX('Material routes'!$G$6:$G$1005,MATCH(U298,'Material routes'!$A$6:$A$1005,0)),"MISSING ID")</x:f>
        <x:v>Resources</x:v>
      </x:c>
      <x:c r="E298" s="4" t="str">
        <x:f>IFERROR(INDEX('Material routes'!$C$6:$C$1005,MATCH(U298,'Material routes'!$A$6:$A$1005,0)),"MISSING ID")</x:f>
        <x:v>Ingredient candidate</x:v>
      </x:c>
      <x:c r="F298" s="4" t="str">
        <x:f>IFERROR(INDEX('Material routes'!$E$6:$E$1005,MATCH(V298,'Material routes'!$A$6:$A$1005,0)),"MISSING ID")</x:f>
        <x:v>Compression seal collar</x:v>
      </x:c>
      <x:c r="G298" s="4" t="str">
        <x:f>IFERROR(INDEX('Material routes'!$F$6:$F$1005,MATCH(V298,'Material routes'!$A$6:$A$1005,0)),"MISSING ID")</x:f>
        <x:v>T3</x:v>
      </x:c>
      <x:c r="H298" s="4" t="str">
        <x:f>IFERROR(INDEX('Material routes'!$H$6:$H$1005,MATCH(V298,'Material routes'!$A$6:$A$1005,0)),"MISSING ID")</x:f>
        <x:v>Container part</x:v>
      </x:c>
      <x:c r="I298" s="4" t="str">
        <x:f>IFERROR(INDEX('Material routes'!$G$6:$G$1005,MATCH(V298,'Material routes'!$A$6:$A$1005,0)),"MISSING ID")</x:f>
        <x:v>Containers</x:v>
      </x:c>
      <x:c r="J298" s="4" t="str">
        <x:f>IFERROR(INDEX('Material routes'!$B$6:$B$1005,MATCH(U298,'Material routes'!$A$6:$A$1005,0)),"MISSING ID")</x:f>
        <x:v>design.review.proposal_container_seal_collar</x:v>
      </x:c>
      <x:c r="K298" s="4" t="str">
        <x:f>IFERROR(INDEX('Crafting recipes'!$C$6:$C$1005,MATCH(J298,'Crafting recipes'!$A$6:$A$1005,0)),"MISSING ID")</x:f>
        <x:v>Material refinement</x:v>
      </x:c>
      <x:c r="L298" s="4" t="str">
        <x:f>IFERROR(INDEX('Material routes'!$K$6:$K$1005,MATCH(U298,'Material routes'!$A$6:$A$1005,0)),"MISSING ID")</x:f>
        <x:v>Proposal</x:v>
      </x:c>
      <x:c r="M298" s="4" t="str">
        <x:f>IFERROR(INDEX('Material routes'!$M$6:$M$1005,MATCH(U298,'Material routes'!$A$6:$A$1005,0)),"MISSING ID")</x:f>
        <x:v>Partial proposal</x:v>
      </x:c>
      <x:c r="N298" s="4" t="str">
        <x:f>IF(IFERROR(INDEX('Material routes'!$I$6:$I$1005,MATCH(U298,'Material routes'!$A$6:$A$1005,0)),"MISSING ID")=0,"",IFERROR(INDEX('Material routes'!$I$6:$I$1005,MATCH(U298,'Material routes'!$A$6:$A$1005,0)),"MISSING ID"))</x:f>
      </x:c>
      <x:c r="O298" s="4" t="str">
        <x:f>IFERROR(INDEX('Material routes'!$J$6:$J$1005,MATCH(U298,'Material routes'!$A$6:$A$1005,0)),"MISSING ID")</x:f>
        <x:v>Unspecified</x:v>
      </x:c>
      <x:c r="P298" s="4" t="str">
        <x:f>IF(IFERROR(INDEX('Material routes'!$I$6:$I$1005,MATCH(V298,'Material routes'!$A$6:$A$1005,0)),"MISSING ID")=0,"",IFERROR(INDEX('Material routes'!$I$6:$I$1005,MATCH(V298,'Material routes'!$A$6:$A$1005,0)),"MISSING ID"))</x:f>
      </x:c>
      <x:c r="Q298" s="4" t="str">
        <x:f>IFERROR(INDEX('Material routes'!$J$6:$J$1005,MATCH(V298,'Material routes'!$A$6:$A$1005,0)),"MISSING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routes'!$D$6:$D$1005,MATCH(U298,'Material routes'!$A$6:$A$1005,0)),"MISSING ID")</x:f>
        <x:v>proposal.branch.filled_seal</x:v>
      </x:c>
      <x:c r="T298" s="4" t="str">
        <x:f>IFERROR(INDEX('Material routes'!$D$6:$D$1005,MATCH(V298,'Material routes'!$A$6:$A$1005,0)),"MISSING ID")</x:f>
        <x:v>proposal.container.seal_collar</x:v>
      </x:c>
      <x:c r="U298" s="4" t="str">
        <x:v>design.review.proposal_container_seal_collar.in.2</x:v>
      </x:c>
      <x:c r="V298" s="4" t="str">
        <x:v>design.review.proposal_container_seal_collar.out</x:v>
      </x:c>
    </x:row>
    <x:row r="299" ht="115" customHeight="1">
      <x:c r="A299" s="4" t="str">
        <x:f>IFERROR(INDEX('Material routes'!$E$6:$E$1005,MATCH(U299,'Material routes'!$A$6:$A$1005,0)),"MISSING ID")</x:f>
        <x:v>Steel stock</x:v>
      </x:c>
      <x:c r="B299" s="4" t="str">
        <x:f>IFERROR(INDEX('Material routes'!$F$6:$F$1005,MATCH(U299,'Material routes'!$A$6:$A$1005,0)),"MISSING ID")</x:f>
        <x:v>T2</x:v>
      </x:c>
      <x:c r="C299" s="4" t="str">
        <x:f>IFERROR(INDEX('Material routes'!$H$6:$H$1005,MATCH(U299,'Material routes'!$A$6:$A$1005,0)),"MISSING ID")</x:f>
        <x:v>Processed material</x:v>
      </x:c>
      <x:c r="D299" s="4" t="str">
        <x:f>IFERROR(INDEX('Material routes'!$G$6:$G$1005,MATCH(U299,'Material routes'!$A$6:$A$1005,0)),"MISSING ID")</x:f>
        <x:v>Resources</x:v>
      </x:c>
      <x:c r="E299" s="4" t="str">
        <x:f>IFERROR(INDEX('Material routes'!$C$6:$C$1005,MATCH(U299,'Material routes'!$A$6:$A$1005,0)),"MISSING ID")</x:f>
        <x:v>Ingredient candidate</x:v>
      </x:c>
      <x:c r="F299" s="4" t="str">
        <x:f>IFERROR(INDEX('Material routes'!$E$6:$E$1005,MATCH(V299,'Material routes'!$A$6:$A$1005,0)),"MISSING ID")</x:f>
        <x:v>Canister body blank</x:v>
      </x:c>
      <x:c r="G299" s="4" t="str">
        <x:f>IFERROR(INDEX('Material routes'!$F$6:$F$1005,MATCH(V299,'Material routes'!$A$6:$A$1005,0)),"MISSING ID")</x:f>
        <x:v>T3</x:v>
      </x:c>
      <x:c r="H299" s="4" t="str">
        <x:f>IFERROR(INDEX('Material routes'!$H$6:$H$1005,MATCH(V299,'Material routes'!$A$6:$A$1005,0)),"MISSING ID")</x:f>
        <x:v>Container part</x:v>
      </x:c>
      <x:c r="I299" s="4" t="str">
        <x:f>IFERROR(INDEX('Material routes'!$G$6:$G$1005,MATCH(V299,'Material routes'!$A$6:$A$1005,0)),"MISSING ID")</x:f>
        <x:v>Crafting components</x:v>
      </x:c>
      <x:c r="J299" s="4" t="str">
        <x:f>IFERROR(INDEX('Material routes'!$B$6:$B$1005,MATCH(U299,'Material routes'!$A$6:$A$1005,0)),"MISSING ID")</x:f>
        <x:v>design.review.proposal_canister_body_blank</x:v>
      </x:c>
      <x:c r="K299" s="4" t="str">
        <x:f>IFERROR(INDEX('Crafting recipes'!$C$6:$C$1005,MATCH(J299,'Crafting recipes'!$A$6:$A$1005,0)),"MISSING ID")</x:f>
        <x:v>Material refinement</x:v>
      </x:c>
      <x:c r="L299" s="4" t="str">
        <x:f>IFERROR(INDEX('Material routes'!$K$6:$K$1005,MATCH(U299,'Material routes'!$A$6:$A$1005,0)),"MISSING ID")</x:f>
        <x:v>Proposal</x:v>
      </x:c>
      <x:c r="M299" s="4" t="str">
        <x:f>IFERROR(INDEX('Material routes'!$M$6:$M$1005,MATCH(U299,'Material routes'!$A$6:$A$1005,0)),"MISSING ID")</x:f>
        <x:v>Partial proposal</x:v>
      </x:c>
      <x:c r="N299" s="4" t="str">
        <x:f>IF(IFERROR(INDEX('Material routes'!$I$6:$I$1005,MATCH(U299,'Material routes'!$A$6:$A$1005,0)),"MISSING ID")=0,"",IFERROR(INDEX('Material routes'!$I$6:$I$1005,MATCH(U299,'Material routes'!$A$6:$A$1005,0)),"MISSING ID"))</x:f>
      </x:c>
      <x:c r="O299" s="4" t="str">
        <x:f>IFERROR(INDEX('Material routes'!$J$6:$J$1005,MATCH(U299,'Material routes'!$A$6:$A$1005,0)),"MISSING ID")</x:f>
        <x:v>Unspecified</x:v>
      </x:c>
      <x:c r="P299" s="4" t="str">
        <x:f>IF(IFERROR(INDEX('Material routes'!$I$6:$I$1005,MATCH(V299,'Material routes'!$A$6:$A$1005,0)),"MISSING ID")=0,"",IFERROR(INDEX('Material routes'!$I$6:$I$1005,MATCH(V299,'Material routes'!$A$6:$A$1005,0)),"MISSING ID"))</x:f>
      </x:c>
      <x:c r="Q299" s="4" t="str">
        <x:f>IFERROR(INDEX('Material routes'!$J$6:$J$1005,MATCH(V299,'Material routes'!$A$6:$A$1005,0)),"MISSING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routes'!$D$6:$D$1005,MATCH(U299,'Material routes'!$A$6:$A$1005,0)),"MISSING ID")</x:f>
        <x:v>author.metallurgy.steel_stock</x:v>
      </x:c>
      <x:c r="T299" s="4" t="str">
        <x:f>IFERROR(INDEX('Material routes'!$D$6:$D$1005,MATCH(V299,'Material routes'!$A$6:$A$1005,0)),"MISSING ID")</x:f>
        <x:v>proposal.canister.body_blank</x:v>
      </x:c>
      <x:c r="U299" s="4" t="str">
        <x:v>design.review.proposal_canister_body_blank.in.1</x:v>
      </x:c>
      <x:c r="V299" s="4" t="str">
        <x:v>design.review.proposal_canister_body_blank.out</x:v>
      </x:c>
    </x:row>
    <x:row r="300" ht="115" customHeight="1">
      <x:c r="A300" s="4" t="str">
        <x:f>IFERROR(INDEX('Material routes'!$E$6:$E$1005,MATCH(U300,'Material routes'!$A$6:$A$1005,0)),"MISSING ID")</x:f>
        <x:v>Filled faunal seal compound</x:v>
      </x:c>
      <x:c r="B300" s="4" t="str">
        <x:f>IFERROR(INDEX('Material routes'!$F$6:$F$1005,MATCH(U300,'Material routes'!$A$6:$A$1005,0)),"MISSING ID")</x:f>
        <x:v>T2</x:v>
      </x:c>
      <x:c r="C300" s="4" t="str">
        <x:f>IFERROR(INDEX('Material routes'!$H$6:$H$1005,MATCH(U300,'Material routes'!$A$6:$A$1005,0)),"MISSING ID")</x:f>
        <x:v>Chemical material</x:v>
      </x:c>
      <x:c r="D300" s="4" t="str">
        <x:f>IFERROR(INDEX('Material routes'!$G$6:$G$1005,MATCH(U300,'Material routes'!$A$6:$A$1005,0)),"MISSING ID")</x:f>
        <x:v>Resources</x:v>
      </x:c>
      <x:c r="E300" s="4" t="str">
        <x:f>IFERROR(INDEX('Material routes'!$C$6:$C$1005,MATCH(U300,'Material routes'!$A$6:$A$1005,0)),"MISSING ID")</x:f>
        <x:v>Ingredient candidate</x:v>
      </x:c>
      <x:c r="F300" s="4" t="str">
        <x:f>IFERROR(INDEX('Material routes'!$E$6:$E$1005,MATCH(V300,'Material routes'!$A$6:$A$1005,0)),"MISSING ID")</x:f>
        <x:v>Replacement seal ring</x:v>
      </x:c>
      <x:c r="G300" s="4" t="str">
        <x:f>IFERROR(INDEX('Material routes'!$F$6:$F$1005,MATCH(V300,'Material routes'!$A$6:$A$1005,0)),"MISSING ID")</x:f>
        <x:v>T3</x:v>
      </x:c>
      <x:c r="H300" s="4" t="str">
        <x:f>IFERROR(INDEX('Material routes'!$H$6:$H$1005,MATCH(V300,'Material routes'!$A$6:$A$1005,0)),"MISSING ID")</x:f>
        <x:v>Container part</x:v>
      </x:c>
      <x:c r="I300" s="4" t="str">
        <x:f>IFERROR(INDEX('Material routes'!$G$6:$G$1005,MATCH(V300,'Material routes'!$A$6:$A$1005,0)),"MISSING ID")</x:f>
        <x:v>Crafting components</x:v>
      </x:c>
      <x:c r="J300" s="4" t="str">
        <x:f>IFERROR(INDEX('Material routes'!$B$6:$B$1005,MATCH(U300,'Material routes'!$A$6:$A$1005,0)),"MISSING ID")</x:f>
        <x:v>design.review.proposal_canister_seal_ring</x:v>
      </x:c>
      <x:c r="K300" s="4" t="str">
        <x:f>IFERROR(INDEX('Crafting recipes'!$C$6:$C$1005,MATCH(J300,'Crafting recipes'!$A$6:$A$1005,0)),"MISSING ID")</x:f>
        <x:v>Material refinement</x:v>
      </x:c>
      <x:c r="L300" s="4" t="str">
        <x:f>IFERROR(INDEX('Material routes'!$K$6:$K$1005,MATCH(U300,'Material routes'!$A$6:$A$1005,0)),"MISSING ID")</x:f>
        <x:v>Proposal</x:v>
      </x:c>
      <x:c r="M300" s="4" t="str">
        <x:f>IFERROR(INDEX('Material routes'!$M$6:$M$1005,MATCH(U300,'Material routes'!$A$6:$A$1005,0)),"MISSING ID")</x:f>
        <x:v>Partial proposal</x:v>
      </x:c>
      <x:c r="N300" s="4" t="str">
        <x:f>IF(IFERROR(INDEX('Material routes'!$I$6:$I$1005,MATCH(U300,'Material routes'!$A$6:$A$1005,0)),"MISSING ID")=0,"",IFERROR(INDEX('Material routes'!$I$6:$I$1005,MATCH(U300,'Material routes'!$A$6:$A$1005,0)),"MISSING ID"))</x:f>
      </x:c>
      <x:c r="O300" s="4" t="str">
        <x:f>IFERROR(INDEX('Material routes'!$J$6:$J$1005,MATCH(U300,'Material routes'!$A$6:$A$1005,0)),"MISSING ID")</x:f>
        <x:v>Unspecified</x:v>
      </x:c>
      <x:c r="P300" s="4" t="str">
        <x:f>IF(IFERROR(INDEX('Material routes'!$I$6:$I$1005,MATCH(V300,'Material routes'!$A$6:$A$1005,0)),"MISSING ID")=0,"",IFERROR(INDEX('Material routes'!$I$6:$I$1005,MATCH(V300,'Material routes'!$A$6:$A$1005,0)),"MISSING ID"))</x:f>
      </x:c>
      <x:c r="Q300" s="4" t="str">
        <x:f>IFERROR(INDEX('Material routes'!$J$6:$J$1005,MATCH(V300,'Material routes'!$A$6:$A$1005,0)),"MISSING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routes'!$D$6:$D$1005,MATCH(U300,'Material routes'!$A$6:$A$1005,0)),"MISSING ID")</x:f>
        <x:v>proposal.branch.filled_seal</x:v>
      </x:c>
      <x:c r="T300" s="4" t="str">
        <x:f>IFERROR(INDEX('Material routes'!$D$6:$D$1005,MATCH(V300,'Material routes'!$A$6:$A$1005,0)),"MISSING ID")</x:f>
        <x:v>proposal.canister.seal_ring</x:v>
      </x:c>
      <x:c r="U300" s="4" t="str">
        <x:v>design.review.proposal_canister_seal_ring.in.1</x:v>
      </x:c>
      <x:c r="V300" s="4" t="str">
        <x:v>design.review.proposal_canister_seal_ring.out</x:v>
      </x:c>
    </x:row>
    <x:row r="301" ht="115" customHeight="1">
      <x:c r="A301" s="4" t="str">
        <x:f>IFERROR(INDEX('Material routes'!$E$6:$E$1005,MATCH(U301,'Material routes'!$A$6:$A$1005,0)),"MISSING ID")</x:f>
        <x:v>Flexible membrane-bonding compound</x:v>
      </x:c>
      <x:c r="B301" s="4" t="str">
        <x:f>IFERROR(INDEX('Material routes'!$F$6:$F$1005,MATCH(U301,'Material routes'!$A$6:$A$1005,0)),"MISSING ID")</x:f>
        <x:v>T2</x:v>
      </x:c>
      <x:c r="C301" s="4" t="str">
        <x:f>IFERROR(INDEX('Material routes'!$H$6:$H$1005,MATCH(U301,'Material routes'!$A$6:$A$1005,0)),"MISSING ID")</x:f>
        <x:v>Chemical material</x:v>
      </x:c>
      <x:c r="D301" s="4" t="str">
        <x:f>IFERROR(INDEX('Material routes'!$G$6:$G$1005,MATCH(U301,'Material routes'!$A$6:$A$1005,0)),"MISSING ID")</x:f>
        <x:v>Resources</x:v>
      </x:c>
      <x:c r="E301" s="4" t="str">
        <x:f>IFERROR(INDEX('Material routes'!$C$6:$C$1005,MATCH(U301,'Material routes'!$A$6:$A$1005,0)),"MISSING ID")</x:f>
        <x:v>Ingredient candidate</x:v>
      </x:c>
      <x:c r="F301" s="4" t="str">
        <x:f>IFERROR(INDEX('Material routes'!$E$6:$E$1005,MATCH(V301,'Material routes'!$A$6:$A$1005,0)),"MISSING ID")</x:f>
        <x:v>Replacement seal ring</x:v>
      </x:c>
      <x:c r="G301" s="4" t="str">
        <x:f>IFERROR(INDEX('Material routes'!$F$6:$F$1005,MATCH(V301,'Material routes'!$A$6:$A$1005,0)),"MISSING ID")</x:f>
        <x:v>T3</x:v>
      </x:c>
      <x:c r="H301" s="4" t="str">
        <x:f>IFERROR(INDEX('Material routes'!$H$6:$H$1005,MATCH(V301,'Material routes'!$A$6:$A$1005,0)),"MISSING ID")</x:f>
        <x:v>Container part</x:v>
      </x:c>
      <x:c r="I301" s="4" t="str">
        <x:f>IFERROR(INDEX('Material routes'!$G$6:$G$1005,MATCH(V301,'Material routes'!$A$6:$A$1005,0)),"MISSING ID")</x:f>
        <x:v>Crafting components</x:v>
      </x:c>
      <x:c r="J301" s="4" t="str">
        <x:f>IFERROR(INDEX('Material routes'!$B$6:$B$1005,MATCH(U301,'Material routes'!$A$6:$A$1005,0)),"MISSING ID")</x:f>
        <x:v>design.review.proposal_canister_seal_ring</x:v>
      </x:c>
      <x:c r="K301" s="4" t="str">
        <x:f>IFERROR(INDEX('Crafting recipes'!$C$6:$C$1005,MATCH(J301,'Crafting recipes'!$A$6:$A$1005,0)),"MISSING ID")</x:f>
        <x:v>Material refinement</x:v>
      </x:c>
      <x:c r="L301" s="4" t="str">
        <x:f>IFERROR(INDEX('Material routes'!$K$6:$K$1005,MATCH(U301,'Material routes'!$A$6:$A$1005,0)),"MISSING ID")</x:f>
        <x:v>Proposal</x:v>
      </x:c>
      <x:c r="M301" s="4" t="str">
        <x:f>IFERROR(INDEX('Material routes'!$M$6:$M$1005,MATCH(U301,'Material routes'!$A$6:$A$1005,0)),"MISSING ID")</x:f>
        <x:v>Partial proposal</x:v>
      </x:c>
      <x:c r="N301" s="4" t="str">
        <x:f>IF(IFERROR(INDEX('Material routes'!$I$6:$I$1005,MATCH(U301,'Material routes'!$A$6:$A$1005,0)),"MISSING ID")=0,"",IFERROR(INDEX('Material routes'!$I$6:$I$1005,MATCH(U301,'Material routes'!$A$6:$A$1005,0)),"MISSING ID"))</x:f>
      </x:c>
      <x:c r="O301" s="4" t="str">
        <x:f>IFERROR(INDEX('Material routes'!$J$6:$J$1005,MATCH(U301,'Material routes'!$A$6:$A$1005,0)),"MISSING ID")</x:f>
        <x:v>Unspecified</x:v>
      </x:c>
      <x:c r="P301" s="4" t="str">
        <x:f>IF(IFERROR(INDEX('Material routes'!$I$6:$I$1005,MATCH(V301,'Material routes'!$A$6:$A$1005,0)),"MISSING ID")=0,"",IFERROR(INDEX('Material routes'!$I$6:$I$1005,MATCH(V301,'Material routes'!$A$6:$A$1005,0)),"MISSING ID"))</x:f>
      </x:c>
      <x:c r="Q301" s="4" t="str">
        <x:f>IFERROR(INDEX('Material routes'!$J$6:$J$1005,MATCH(V301,'Material routes'!$A$6:$A$1005,0)),"MISSING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routes'!$D$6:$D$1005,MATCH(U301,'Material routes'!$A$6:$A$1005,0)),"MISSING ID")</x:f>
        <x:v>proposal.branch.flex_bond</x:v>
      </x:c>
      <x:c r="T301" s="4" t="str">
        <x:f>IFERROR(INDEX('Material routes'!$D$6:$D$1005,MATCH(V301,'Material routes'!$A$6:$A$1005,0)),"MISSING ID")</x:f>
        <x:v>proposal.canister.seal_ring</x:v>
      </x:c>
      <x:c r="U301" s="4" t="str">
        <x:v>design.review.proposal_canister_seal_ring.in.2</x:v>
      </x:c>
      <x:c r="V301" s="4" t="str">
        <x:v>design.review.proposal_canister_seal_ring.out</x:v>
      </x:c>
    </x:row>
    <x:row r="302" ht="115" customHeight="1">
      <x:c r="A302" s="4" t="str">
        <x:f>IFERROR(INDEX('Material routes'!$E$6:$E$1005,MATCH(U302,'Material routes'!$A$6:$A$1005,0)),"MISSING ID")</x:f>
        <x:v>Steel stock</x:v>
      </x:c>
      <x:c r="B302" s="4" t="str">
        <x:f>IFERROR(INDEX('Material routes'!$F$6:$F$1005,MATCH(U302,'Material routes'!$A$6:$A$1005,0)),"MISSING ID")</x:f>
        <x:v>T2</x:v>
      </x:c>
      <x:c r="C302" s="4" t="str">
        <x:f>IFERROR(INDEX('Material routes'!$H$6:$H$1005,MATCH(U302,'Material routes'!$A$6:$A$1005,0)),"MISSING ID")</x:f>
        <x:v>Processed material</x:v>
      </x:c>
      <x:c r="D302" s="4" t="str">
        <x:f>IFERROR(INDEX('Material routes'!$G$6:$G$1005,MATCH(U302,'Material routes'!$A$6:$A$1005,0)),"MISSING ID")</x:f>
        <x:v>Resources</x:v>
      </x:c>
      <x:c r="E302" s="4" t="str">
        <x:f>IFERROR(INDEX('Material routes'!$C$6:$C$1005,MATCH(U302,'Material routes'!$A$6:$A$1005,0)),"MISSING ID")</x:f>
        <x:v>Ingredient candidate</x:v>
      </x:c>
      <x:c r="F302" s="4" t="str">
        <x:f>IFERROR(INDEX('Material routes'!$E$6:$E$1005,MATCH(V302,'Material routes'!$A$6:$A$1005,0)),"MISSING ID")</x:f>
        <x:v>Fitted seal seat</x:v>
      </x:c>
      <x:c r="G302" s="4" t="str">
        <x:f>IFERROR(INDEX('Material routes'!$F$6:$F$1005,MATCH(V302,'Material routes'!$A$6:$A$1005,0)),"MISSING ID")</x:f>
        <x:v>T3</x:v>
      </x:c>
      <x:c r="H302" s="4" t="str">
        <x:f>IFERROR(INDEX('Material routes'!$H$6:$H$1005,MATCH(V302,'Material routes'!$A$6:$A$1005,0)),"MISSING ID")</x:f>
        <x:v>Container part</x:v>
      </x:c>
      <x:c r="I302" s="4" t="str">
        <x:f>IFERROR(INDEX('Material routes'!$G$6:$G$1005,MATCH(V302,'Material routes'!$A$6:$A$1005,0)),"MISSING ID")</x:f>
        <x:v>Crafting components</x:v>
      </x:c>
      <x:c r="J302" s="4" t="str">
        <x:f>IFERROR(INDEX('Material routes'!$B$6:$B$1005,MATCH(U302,'Material routes'!$A$6:$A$1005,0)),"MISSING ID")</x:f>
        <x:v>design.review.proposal_canister_seal_seat</x:v>
      </x:c>
      <x:c r="K302" s="4" t="str">
        <x:f>IFERROR(INDEX('Crafting recipes'!$C$6:$C$1005,MATCH(J302,'Crafting recipes'!$A$6:$A$1005,0)),"MISSING ID")</x:f>
        <x:v>Material refinement</x:v>
      </x:c>
      <x:c r="L302" s="4" t="str">
        <x:f>IFERROR(INDEX('Material routes'!$K$6:$K$1005,MATCH(U302,'Material routes'!$A$6:$A$1005,0)),"MISSING ID")</x:f>
        <x:v>Proposal</x:v>
      </x:c>
      <x:c r="M302" s="4" t="str">
        <x:f>IFERROR(INDEX('Material routes'!$M$6:$M$1005,MATCH(U302,'Material routes'!$A$6:$A$1005,0)),"MISSING ID")</x:f>
        <x:v>Partial proposal</x:v>
      </x:c>
      <x:c r="N302" s="4" t="str">
        <x:f>IF(IFERROR(INDEX('Material routes'!$I$6:$I$1005,MATCH(U302,'Material routes'!$A$6:$A$1005,0)),"MISSING ID")=0,"",IFERROR(INDEX('Material routes'!$I$6:$I$1005,MATCH(U302,'Material routes'!$A$6:$A$1005,0)),"MISSING ID"))</x:f>
      </x:c>
      <x:c r="O302" s="4" t="str">
        <x:f>IFERROR(INDEX('Material routes'!$J$6:$J$1005,MATCH(U302,'Material routes'!$A$6:$A$1005,0)),"MISSING ID")</x:f>
        <x:v>Unspecified</x:v>
      </x:c>
      <x:c r="P302" s="4" t="str">
        <x:f>IF(IFERROR(INDEX('Material routes'!$I$6:$I$1005,MATCH(V302,'Material routes'!$A$6:$A$1005,0)),"MISSING ID")=0,"",IFERROR(INDEX('Material routes'!$I$6:$I$1005,MATCH(V302,'Material routes'!$A$6:$A$1005,0)),"MISSING ID"))</x:f>
      </x:c>
      <x:c r="Q302" s="4" t="str">
        <x:f>IFERROR(INDEX('Material routes'!$J$6:$J$1005,MATCH(V302,'Material routes'!$A$6:$A$1005,0)),"MISSING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routes'!$D$6:$D$1005,MATCH(U302,'Material routes'!$A$6:$A$1005,0)),"MISSING ID")</x:f>
        <x:v>author.metallurgy.steel_stock</x:v>
      </x:c>
      <x:c r="T302" s="4" t="str">
        <x:f>IFERROR(INDEX('Material routes'!$D$6:$D$1005,MATCH(V302,'Material routes'!$A$6:$A$1005,0)),"MISSING ID")</x:f>
        <x:v>proposal.canister.seal_seat</x:v>
      </x:c>
      <x:c r="U302" s="4" t="str">
        <x:v>design.review.proposal_canister_seal_seat.in.1</x:v>
      </x:c>
      <x:c r="V302" s="4" t="str">
        <x:v>design.review.proposal_canister_seal_seat.out</x:v>
      </x:c>
    </x:row>
    <x:row r="303" ht="115" customHeight="1">
      <x:c r="A303" s="4" t="str">
        <x:f>IFERROR(INDEX('Material routes'!$E$6:$E$1005,MATCH(U303,'Material routes'!$A$6:$A$1005,0)),"MISSING ID")</x:f>
        <x:v>Prepared bronze bearing stock</x:v>
      </x:c>
      <x:c r="B303" s="4" t="str">
        <x:f>IFERROR(INDEX('Material routes'!$F$6:$F$1005,MATCH(U303,'Material routes'!$A$6:$A$1005,0)),"MISSING ID")</x:f>
        <x:v>T2</x:v>
      </x:c>
      <x:c r="C303" s="4" t="str">
        <x:f>IFERROR(INDEX('Material routes'!$H$6:$H$1005,MATCH(U303,'Material routes'!$A$6:$A$1005,0)),"MISSING ID")</x:f>
        <x:v>Processed material</x:v>
      </x:c>
      <x:c r="D303" s="4" t="str">
        <x:f>IFERROR(INDEX('Material routes'!$G$6:$G$1005,MATCH(U303,'Material routes'!$A$6:$A$1005,0)),"MISSING ID")</x:f>
        <x:v>Resources</x:v>
      </x:c>
      <x:c r="E303" s="4" t="str">
        <x:f>IFERROR(INDEX('Material routes'!$C$6:$C$1005,MATCH(U303,'Material routes'!$A$6:$A$1005,0)),"MISSING ID")</x:f>
        <x:v>Ingredient candidate</x:v>
      </x:c>
      <x:c r="F303" s="4" t="str">
        <x:f>IFERROR(INDEX('Material routes'!$E$6:$E$1005,MATCH(V303,'Material routes'!$A$6:$A$1005,0)),"MISSING ID")</x:f>
        <x:v>Fitted seal seat</x:v>
      </x:c>
      <x:c r="G303" s="4" t="str">
        <x:f>IFERROR(INDEX('Material routes'!$F$6:$F$1005,MATCH(V303,'Material routes'!$A$6:$A$1005,0)),"MISSING ID")</x:f>
        <x:v>T3</x:v>
      </x:c>
      <x:c r="H303" s="4" t="str">
        <x:f>IFERROR(INDEX('Material routes'!$H$6:$H$1005,MATCH(V303,'Material routes'!$A$6:$A$1005,0)),"MISSING ID")</x:f>
        <x:v>Container part</x:v>
      </x:c>
      <x:c r="I303" s="4" t="str">
        <x:f>IFERROR(INDEX('Material routes'!$G$6:$G$1005,MATCH(V303,'Material routes'!$A$6:$A$1005,0)),"MISSING ID")</x:f>
        <x:v>Crafting components</x:v>
      </x:c>
      <x:c r="J303" s="4" t="str">
        <x:f>IFERROR(INDEX('Material routes'!$B$6:$B$1005,MATCH(U303,'Material routes'!$A$6:$A$1005,0)),"MISSING ID")</x:f>
        <x:v>design.review.proposal_canister_seal_seat</x:v>
      </x:c>
      <x:c r="K303" s="4" t="str">
        <x:f>IFERROR(INDEX('Crafting recipes'!$C$6:$C$1005,MATCH(J303,'Crafting recipes'!$A$6:$A$1005,0)),"MISSING ID")</x:f>
        <x:v>Material refinement</x:v>
      </x:c>
      <x:c r="L303" s="4" t="str">
        <x:f>IFERROR(INDEX('Material routes'!$K$6:$K$1005,MATCH(U303,'Material routes'!$A$6:$A$1005,0)),"MISSING ID")</x:f>
        <x:v>Proposal</x:v>
      </x:c>
      <x:c r="M303" s="4" t="str">
        <x:f>IFERROR(INDEX('Material routes'!$M$6:$M$1005,MATCH(U303,'Material routes'!$A$6:$A$1005,0)),"MISSING ID")</x:f>
        <x:v>Partial proposal</x:v>
      </x:c>
      <x:c r="N303" s="4" t="str">
        <x:f>IF(IFERROR(INDEX('Material routes'!$I$6:$I$1005,MATCH(U303,'Material routes'!$A$6:$A$1005,0)),"MISSING ID")=0,"",IFERROR(INDEX('Material routes'!$I$6:$I$1005,MATCH(U303,'Material routes'!$A$6:$A$1005,0)),"MISSING ID"))</x:f>
      </x:c>
      <x:c r="O303" s="4" t="str">
        <x:f>IFERROR(INDEX('Material routes'!$J$6:$J$1005,MATCH(U303,'Material routes'!$A$6:$A$1005,0)),"MISSING ID")</x:f>
        <x:v>Unspecified</x:v>
      </x:c>
      <x:c r="P303" s="4" t="str">
        <x:f>IF(IFERROR(INDEX('Material routes'!$I$6:$I$1005,MATCH(V303,'Material routes'!$A$6:$A$1005,0)),"MISSING ID")=0,"",IFERROR(INDEX('Material routes'!$I$6:$I$1005,MATCH(V303,'Material routes'!$A$6:$A$1005,0)),"MISSING ID"))</x:f>
      </x:c>
      <x:c r="Q303" s="4" t="str">
        <x:f>IFERROR(INDEX('Material routes'!$J$6:$J$1005,MATCH(V303,'Material routes'!$A$6:$A$1005,0)),"MISSING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routes'!$D$6:$D$1005,MATCH(U303,'Material routes'!$A$6:$A$1005,0)),"MISSING ID")</x:f>
        <x:v>proposal.branch.bearing_bronze</x:v>
      </x:c>
      <x:c r="T303" s="4" t="str">
        <x:f>IFERROR(INDEX('Material routes'!$D$6:$D$1005,MATCH(V303,'Material routes'!$A$6:$A$1005,0)),"MISSING ID")</x:f>
        <x:v>proposal.canister.seal_seat</x:v>
      </x:c>
      <x:c r="U303" s="4" t="str">
        <x:v>design.review.proposal_canister_seal_seat.in.2</x:v>
      </x:c>
      <x:c r="V303" s="4" t="str">
        <x:v>design.review.proposal_canister_seal_seat.out</x:v>
      </x:c>
    </x:row>
    <x:row r="304" ht="115" customHeight="1">
      <x:c r="A304" s="4" t="str">
        <x:f>IFERROR(INDEX('Material routes'!$E$6:$E$1005,MATCH(U304,'Material routes'!$A$6:$A$1005,0)),"MISSING ID")</x:f>
        <x:v>Drawn steel tube stock</x:v>
      </x:c>
      <x:c r="B304" s="4" t="str">
        <x:f>IFERROR(INDEX('Material routes'!$F$6:$F$1005,MATCH(U304,'Material routes'!$A$6:$A$1005,0)),"MISSING ID")</x:f>
        <x:v>T3</x:v>
      </x:c>
      <x:c r="C304" s="4" t="str">
        <x:f>IFERROR(INDEX('Material routes'!$H$6:$H$1005,MATCH(U304,'Material routes'!$A$6:$A$1005,0)),"MISSING ID")</x:f>
        <x:v>Processed material</x:v>
      </x:c>
      <x:c r="D304" s="4" t="str">
        <x:f>IFERROR(INDEX('Material routes'!$G$6:$G$1005,MATCH(U304,'Material routes'!$A$6:$A$1005,0)),"MISSING ID")</x:f>
        <x:v>Resources</x:v>
      </x:c>
      <x:c r="E304" s="4" t="str">
        <x:f>IFERROR(INDEX('Material routes'!$C$6:$C$1005,MATCH(U304,'Material routes'!$A$6:$A$1005,0)),"MISSING ID")</x:f>
        <x:v>Ingredient candidate</x:v>
      </x:c>
      <x:c r="F304" s="4" t="str">
        <x:f>IFERROR(INDEX('Material routes'!$E$6:$E$1005,MATCH(V304,'Material routes'!$A$6:$A$1005,0)),"MISSING ID")</x:f>
        <x:v>Feed-line section</x:v>
      </x:c>
      <x:c r="G304" s="4" t="str">
        <x:f>IFERROR(INDEX('Material routes'!$F$6:$F$1005,MATCH(V304,'Material routes'!$A$6:$A$1005,0)),"MISSING ID")</x:f>
        <x:v>T4</x:v>
      </x:c>
      <x:c r="H304" s="4" t="str">
        <x:f>IFERROR(INDEX('Material routes'!$H$6:$H$1005,MATCH(V304,'Material routes'!$A$6:$A$1005,0)),"MISSING ID")</x:f>
        <x:v>Container part</x:v>
      </x:c>
      <x:c r="I304" s="4" t="str">
        <x:f>IFERROR(INDEX('Material routes'!$G$6:$G$1005,MATCH(V304,'Material routes'!$A$6:$A$1005,0)),"MISSING ID")</x:f>
        <x:v>Crafting components</x:v>
      </x:c>
      <x:c r="J304" s="4" t="str">
        <x:f>IFERROR(INDEX('Material routes'!$B$6:$B$1005,MATCH(U304,'Material routes'!$A$6:$A$1005,0)),"MISSING ID")</x:f>
        <x:v>design.review.proposal_canister_feed_line</x:v>
      </x:c>
      <x:c r="K304" s="4" t="str">
        <x:f>IFERROR(INDEX('Crafting recipes'!$C$6:$C$1005,MATCH(J304,'Crafting recipes'!$A$6:$A$1005,0)),"MISSING ID")</x:f>
        <x:v>Material refinement</x:v>
      </x:c>
      <x:c r="L304" s="4" t="str">
        <x:f>IFERROR(INDEX('Material routes'!$K$6:$K$1005,MATCH(U304,'Material routes'!$A$6:$A$1005,0)),"MISSING ID")</x:f>
        <x:v>Proposal</x:v>
      </x:c>
      <x:c r="M304" s="4" t="str">
        <x:f>IFERROR(INDEX('Material routes'!$M$6:$M$1005,MATCH(U304,'Material routes'!$A$6:$A$1005,0)),"MISSING ID")</x:f>
        <x:v>Partial proposal</x:v>
      </x:c>
      <x:c r="N304" s="4" t="str">
        <x:f>IF(IFERROR(INDEX('Material routes'!$I$6:$I$1005,MATCH(U304,'Material routes'!$A$6:$A$1005,0)),"MISSING ID")=0,"",IFERROR(INDEX('Material routes'!$I$6:$I$1005,MATCH(U304,'Material routes'!$A$6:$A$1005,0)),"MISSING ID"))</x:f>
      </x:c>
      <x:c r="O304" s="4" t="str">
        <x:f>IFERROR(INDEX('Material routes'!$J$6:$J$1005,MATCH(U304,'Material routes'!$A$6:$A$1005,0)),"MISSING ID")</x:f>
        <x:v>Unspecified</x:v>
      </x:c>
      <x:c r="P304" s="4" t="str">
        <x:f>IF(IFERROR(INDEX('Material routes'!$I$6:$I$1005,MATCH(V304,'Material routes'!$A$6:$A$1005,0)),"MISSING ID")=0,"",IFERROR(INDEX('Material routes'!$I$6:$I$1005,MATCH(V304,'Material routes'!$A$6:$A$1005,0)),"MISSING ID"))</x:f>
      </x:c>
      <x:c r="Q304" s="4" t="str">
        <x:f>IFERROR(INDEX('Material routes'!$J$6:$J$1005,MATCH(V304,'Material routes'!$A$6:$A$1005,0)),"MISSING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routes'!$D$6:$D$1005,MATCH(U304,'Material routes'!$A$6:$A$1005,0)),"MISSING ID")</x:f>
        <x:v>proposal.t3.precision_tube</x:v>
      </x:c>
      <x:c r="T304" s="4" t="str">
        <x:f>IFERROR(INDEX('Material routes'!$D$6:$D$1005,MATCH(V304,'Material routes'!$A$6:$A$1005,0)),"MISSING ID")</x:f>
        <x:v>proposal.canister.feed_line</x:v>
      </x:c>
      <x:c r="U304" s="4" t="str">
        <x:v>design.review.proposal_canister_feed_line.in.1</x:v>
      </x:c>
      <x:c r="V304" s="4" t="str">
        <x:v>design.review.proposal_canister_feed_line.out</x:v>
      </x:c>
    </x:row>
    <x:row r="305" ht="115" customHeight="1">
      <x:c r="A305" s="4" t="str">
        <x:f>IFERROR(INDEX('Material routes'!$E$6:$E$1005,MATCH(U305,'Material routes'!$A$6:$A$1005,0)),"MISSING ID")</x:f>
        <x:v>Husk-reinforced packing stock</x:v>
      </x:c>
      <x:c r="B305" s="4" t="str">
        <x:f>IFERROR(INDEX('Material routes'!$F$6:$F$1005,MATCH(U305,'Material routes'!$A$6:$A$1005,0)),"MISSING ID")</x:f>
        <x:v>T3</x:v>
      </x:c>
      <x:c r="C305" s="4" t="str">
        <x:f>IFERROR(INDEX('Material routes'!$H$6:$H$1005,MATCH(U305,'Material routes'!$A$6:$A$1005,0)),"MISSING ID")</x:f>
        <x:v>Processed material</x:v>
      </x:c>
      <x:c r="D305" s="4" t="str">
        <x:f>IFERROR(INDEX('Material routes'!$G$6:$G$1005,MATCH(U305,'Material routes'!$A$6:$A$1005,0)),"MISSING ID")</x:f>
        <x:v>Resources</x:v>
      </x:c>
      <x:c r="E305" s="4" t="str">
        <x:f>IFERROR(INDEX('Material routes'!$C$6:$C$1005,MATCH(U305,'Material routes'!$A$6:$A$1005,0)),"MISSING ID")</x:f>
        <x:v>Ingredient candidate</x:v>
      </x:c>
      <x:c r="F305" s="4" t="str">
        <x:f>IFERROR(INDEX('Material routes'!$E$6:$E$1005,MATCH(V305,'Material routes'!$A$6:$A$1005,0)),"MISSING ID")</x:f>
        <x:v>Feed-line section</x:v>
      </x:c>
      <x:c r="G305" s="4" t="str">
        <x:f>IFERROR(INDEX('Material routes'!$F$6:$F$1005,MATCH(V305,'Material routes'!$A$6:$A$1005,0)),"MISSING ID")</x:f>
        <x:v>T4</x:v>
      </x:c>
      <x:c r="H305" s="4" t="str">
        <x:f>IFERROR(INDEX('Material routes'!$H$6:$H$1005,MATCH(V305,'Material routes'!$A$6:$A$1005,0)),"MISSING ID")</x:f>
        <x:v>Container part</x:v>
      </x:c>
      <x:c r="I305" s="4" t="str">
        <x:f>IFERROR(INDEX('Material routes'!$G$6:$G$1005,MATCH(V305,'Material routes'!$A$6:$A$1005,0)),"MISSING ID")</x:f>
        <x:v>Crafting components</x:v>
      </x:c>
      <x:c r="J305" s="4" t="str">
        <x:f>IFERROR(INDEX('Material routes'!$B$6:$B$1005,MATCH(U305,'Material routes'!$A$6:$A$1005,0)),"MISSING ID")</x:f>
        <x:v>design.review.proposal_canister_feed_line</x:v>
      </x:c>
      <x:c r="K305" s="4" t="str">
        <x:f>IFERROR(INDEX('Crafting recipes'!$C$6:$C$1005,MATCH(J305,'Crafting recipes'!$A$6:$A$1005,0)),"MISSING ID")</x:f>
        <x:v>Material refinement</x:v>
      </x:c>
      <x:c r="L305" s="4" t="str">
        <x:f>IFERROR(INDEX('Material routes'!$K$6:$K$1005,MATCH(U305,'Material routes'!$A$6:$A$1005,0)),"MISSING ID")</x:f>
        <x:v>Proposal</x:v>
      </x:c>
      <x:c r="M305" s="4" t="str">
        <x:f>IFERROR(INDEX('Material routes'!$M$6:$M$1005,MATCH(U305,'Material routes'!$A$6:$A$1005,0)),"MISSING ID")</x:f>
        <x:v>Partial proposal</x:v>
      </x:c>
      <x:c r="N305" s="4" t="str">
        <x:f>IF(IFERROR(INDEX('Material routes'!$I$6:$I$1005,MATCH(U305,'Material routes'!$A$6:$A$1005,0)),"MISSING ID")=0,"",IFERROR(INDEX('Material routes'!$I$6:$I$1005,MATCH(U305,'Material routes'!$A$6:$A$1005,0)),"MISSING ID"))</x:f>
      </x:c>
      <x:c r="O305" s="4" t="str">
        <x:f>IFERROR(INDEX('Material routes'!$J$6:$J$1005,MATCH(U305,'Material routes'!$A$6:$A$1005,0)),"MISSING ID")</x:f>
        <x:v>Unspecified</x:v>
      </x:c>
      <x:c r="P305" s="4" t="str">
        <x:f>IF(IFERROR(INDEX('Material routes'!$I$6:$I$1005,MATCH(V305,'Material routes'!$A$6:$A$1005,0)),"MISSING ID")=0,"",IFERROR(INDEX('Material routes'!$I$6:$I$1005,MATCH(V305,'Material routes'!$A$6:$A$1005,0)),"MISSING ID"))</x:f>
      </x:c>
      <x:c r="Q305" s="4" t="str">
        <x:f>IFERROR(INDEX('Material routes'!$J$6:$J$1005,MATCH(V305,'Material routes'!$A$6:$A$1005,0)),"MISSING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routes'!$D$6:$D$1005,MATCH(U305,'Material routes'!$A$6:$A$1005,0)),"MISSING ID")</x:f>
        <x:v>proposal.t3.packing_stock</x:v>
      </x:c>
      <x:c r="T305" s="4" t="str">
        <x:f>IFERROR(INDEX('Material routes'!$D$6:$D$1005,MATCH(V305,'Material routes'!$A$6:$A$1005,0)),"MISSING ID")</x:f>
        <x:v>proposal.canister.feed_line</x:v>
      </x:c>
      <x:c r="U305" s="4" t="str">
        <x:v>design.review.proposal_canister_feed_line.in.2</x:v>
      </x:c>
      <x:c r="V305" s="4" t="str">
        <x:v>design.review.proposal_canister_feed_line.out</x:v>
      </x:c>
    </x:row>
    <x:row r="306" ht="115" customHeight="1">
      <x:c r="A306" s="4" t="str">
        <x:f>IFERROR(INDEX('Material routes'!$E$6:$E$1005,MATCH(U306,'Material routes'!$A$6:$A$1005,0)),"MISSING ID")</x:f>
        <x:v>Drawn steel tube stock</x:v>
      </x:c>
      <x:c r="B306" s="4" t="str">
        <x:f>IFERROR(INDEX('Material routes'!$F$6:$F$1005,MATCH(U306,'Material routes'!$A$6:$A$1005,0)),"MISSING ID")</x:f>
        <x:v>T3</x:v>
      </x:c>
      <x:c r="C306" s="4" t="str">
        <x:f>IFERROR(INDEX('Material routes'!$H$6:$H$1005,MATCH(U306,'Material routes'!$A$6:$A$1005,0)),"MISSING ID")</x:f>
        <x:v>Processed material</x:v>
      </x:c>
      <x:c r="D306" s="4" t="str">
        <x:f>IFERROR(INDEX('Material routes'!$G$6:$G$1005,MATCH(U306,'Material routes'!$A$6:$A$1005,0)),"MISSING ID")</x:f>
        <x:v>Resources</x:v>
      </x:c>
      <x:c r="E306" s="4" t="str">
        <x:f>IFERROR(INDEX('Material routes'!$C$6:$C$1005,MATCH(U306,'Material routes'!$A$6:$A$1005,0)),"MISSING ID")</x:f>
        <x:v>Ingredient candidate</x:v>
      </x:c>
      <x:c r="F306" s="4" t="str">
        <x:f>IFERROR(INDEX('Material routes'!$E$6:$E$1005,MATCH(V306,'Material routes'!$A$6:$A$1005,0)),"MISSING ID")</x:f>
        <x:v>Feed-line coupling</x:v>
      </x:c>
      <x:c r="G306" s="4" t="str">
        <x:f>IFERROR(INDEX('Material routes'!$F$6:$F$1005,MATCH(V306,'Material routes'!$A$6:$A$1005,0)),"MISSING ID")</x:f>
        <x:v>T4</x:v>
      </x:c>
      <x:c r="H306" s="4" t="str">
        <x:f>IFERROR(INDEX('Material routes'!$H$6:$H$1005,MATCH(V306,'Material routes'!$A$6:$A$1005,0)),"MISSING ID")</x:f>
        <x:v>Container part</x:v>
      </x:c>
      <x:c r="I306" s="4" t="str">
        <x:f>IFERROR(INDEX('Material routes'!$G$6:$G$1005,MATCH(V306,'Material routes'!$A$6:$A$1005,0)),"MISSING ID")</x:f>
        <x:v>Crafting components</x:v>
      </x:c>
      <x:c r="J306" s="4" t="str">
        <x:f>IFERROR(INDEX('Material routes'!$B$6:$B$1005,MATCH(U306,'Material routes'!$A$6:$A$1005,0)),"MISSING ID")</x:f>
        <x:v>design.review.proposal_canister_coupling</x:v>
      </x:c>
      <x:c r="K306" s="4" t="str">
        <x:f>IFERROR(INDEX('Crafting recipes'!$C$6:$C$1005,MATCH(J306,'Crafting recipes'!$A$6:$A$1005,0)),"MISSING ID")</x:f>
        <x:v>Material refinement</x:v>
      </x:c>
      <x:c r="L306" s="4" t="str">
        <x:f>IFERROR(INDEX('Material routes'!$K$6:$K$1005,MATCH(U306,'Material routes'!$A$6:$A$1005,0)),"MISSING ID")</x:f>
        <x:v>Proposal</x:v>
      </x:c>
      <x:c r="M306" s="4" t="str">
        <x:f>IFERROR(INDEX('Material routes'!$M$6:$M$1005,MATCH(U306,'Material routes'!$A$6:$A$1005,0)),"MISSING ID")</x:f>
        <x:v>Partial proposal</x:v>
      </x:c>
      <x:c r="N306" s="4" t="str">
        <x:f>IF(IFERROR(INDEX('Material routes'!$I$6:$I$1005,MATCH(U306,'Material routes'!$A$6:$A$1005,0)),"MISSING ID")=0,"",IFERROR(INDEX('Material routes'!$I$6:$I$1005,MATCH(U306,'Material routes'!$A$6:$A$1005,0)),"MISSING ID"))</x:f>
      </x:c>
      <x:c r="O306" s="4" t="str">
        <x:f>IFERROR(INDEX('Material routes'!$J$6:$J$1005,MATCH(U306,'Material routes'!$A$6:$A$1005,0)),"MISSING ID")</x:f>
        <x:v>Unspecified</x:v>
      </x:c>
      <x:c r="P306" s="4" t="str">
        <x:f>IF(IFERROR(INDEX('Material routes'!$I$6:$I$1005,MATCH(V306,'Material routes'!$A$6:$A$1005,0)),"MISSING ID")=0,"",IFERROR(INDEX('Material routes'!$I$6:$I$1005,MATCH(V306,'Material routes'!$A$6:$A$1005,0)),"MISSING ID"))</x:f>
      </x:c>
      <x:c r="Q306" s="4" t="str">
        <x:f>IFERROR(INDEX('Material routes'!$J$6:$J$1005,MATCH(V306,'Material routes'!$A$6:$A$1005,0)),"MISSING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routes'!$D$6:$D$1005,MATCH(U306,'Material routes'!$A$6:$A$1005,0)),"MISSING ID")</x:f>
        <x:v>proposal.t3.precision_tube</x:v>
      </x:c>
      <x:c r="T306" s="4" t="str">
        <x:f>IFERROR(INDEX('Material routes'!$D$6:$D$1005,MATCH(V306,'Material routes'!$A$6:$A$1005,0)),"MISSING ID")</x:f>
        <x:v>proposal.canister.coupling</x:v>
      </x:c>
      <x:c r="U306" s="4" t="str">
        <x:v>design.review.proposal_canister_coupling.in.1</x:v>
      </x:c>
      <x:c r="V306" s="4" t="str">
        <x:v>design.review.proposal_canister_coupling.out</x:v>
      </x:c>
    </x:row>
    <x:row r="307" ht="115" customHeight="1">
      <x:c r="A307" s="4" t="str">
        <x:f>IFERROR(INDEX('Material routes'!$E$6:$E$1005,MATCH(U307,'Material routes'!$A$6:$A$1005,0)),"MISSING ID")</x:f>
        <x:v>Husk-reinforced packing stock</x:v>
      </x:c>
      <x:c r="B307" s="4" t="str">
        <x:f>IFERROR(INDEX('Material routes'!$F$6:$F$1005,MATCH(U307,'Material routes'!$A$6:$A$1005,0)),"MISSING ID")</x:f>
        <x:v>T3</x:v>
      </x:c>
      <x:c r="C307" s="4" t="str">
        <x:f>IFERROR(INDEX('Material routes'!$H$6:$H$1005,MATCH(U307,'Material routes'!$A$6:$A$1005,0)),"MISSING ID")</x:f>
        <x:v>Processed material</x:v>
      </x:c>
      <x:c r="D307" s="4" t="str">
        <x:f>IFERROR(INDEX('Material routes'!$G$6:$G$1005,MATCH(U307,'Material routes'!$A$6:$A$1005,0)),"MISSING ID")</x:f>
        <x:v>Resources</x:v>
      </x:c>
      <x:c r="E307" s="4" t="str">
        <x:f>IFERROR(INDEX('Material routes'!$C$6:$C$1005,MATCH(U307,'Material routes'!$A$6:$A$1005,0)),"MISSING ID")</x:f>
        <x:v>Ingredient candidate</x:v>
      </x:c>
      <x:c r="F307" s="4" t="str">
        <x:f>IFERROR(INDEX('Material routes'!$E$6:$E$1005,MATCH(V307,'Material routes'!$A$6:$A$1005,0)),"MISSING ID")</x:f>
        <x:v>Feed-line coupling</x:v>
      </x:c>
      <x:c r="G307" s="4" t="str">
        <x:f>IFERROR(INDEX('Material routes'!$F$6:$F$1005,MATCH(V307,'Material routes'!$A$6:$A$1005,0)),"MISSING ID")</x:f>
        <x:v>T4</x:v>
      </x:c>
      <x:c r="H307" s="4" t="str">
        <x:f>IFERROR(INDEX('Material routes'!$H$6:$H$1005,MATCH(V307,'Material routes'!$A$6:$A$1005,0)),"MISSING ID")</x:f>
        <x:v>Container part</x:v>
      </x:c>
      <x:c r="I307" s="4" t="str">
        <x:f>IFERROR(INDEX('Material routes'!$G$6:$G$1005,MATCH(V307,'Material routes'!$A$6:$A$1005,0)),"MISSING ID")</x:f>
        <x:v>Crafting components</x:v>
      </x:c>
      <x:c r="J307" s="4" t="str">
        <x:f>IFERROR(INDEX('Material routes'!$B$6:$B$1005,MATCH(U307,'Material routes'!$A$6:$A$1005,0)),"MISSING ID")</x:f>
        <x:v>design.review.proposal_canister_coupling</x:v>
      </x:c>
      <x:c r="K307" s="4" t="str">
        <x:f>IFERROR(INDEX('Crafting recipes'!$C$6:$C$1005,MATCH(J307,'Crafting recipes'!$A$6:$A$1005,0)),"MISSING ID")</x:f>
        <x:v>Material refinement</x:v>
      </x:c>
      <x:c r="L307" s="4" t="str">
        <x:f>IFERROR(INDEX('Material routes'!$K$6:$K$1005,MATCH(U307,'Material routes'!$A$6:$A$1005,0)),"MISSING ID")</x:f>
        <x:v>Proposal</x:v>
      </x:c>
      <x:c r="M307" s="4" t="str">
        <x:f>IFERROR(INDEX('Material routes'!$M$6:$M$1005,MATCH(U307,'Material routes'!$A$6:$A$1005,0)),"MISSING ID")</x:f>
        <x:v>Partial proposal</x:v>
      </x:c>
      <x:c r="N307" s="4" t="str">
        <x:f>IF(IFERROR(INDEX('Material routes'!$I$6:$I$1005,MATCH(U307,'Material routes'!$A$6:$A$1005,0)),"MISSING ID")=0,"",IFERROR(INDEX('Material routes'!$I$6:$I$1005,MATCH(U307,'Material routes'!$A$6:$A$1005,0)),"MISSING ID"))</x:f>
      </x:c>
      <x:c r="O307" s="4" t="str">
        <x:f>IFERROR(INDEX('Material routes'!$J$6:$J$1005,MATCH(U307,'Material routes'!$A$6:$A$1005,0)),"MISSING ID")</x:f>
        <x:v>Unspecified</x:v>
      </x:c>
      <x:c r="P307" s="4" t="str">
        <x:f>IF(IFERROR(INDEX('Material routes'!$I$6:$I$1005,MATCH(V307,'Material routes'!$A$6:$A$1005,0)),"MISSING ID")=0,"",IFERROR(INDEX('Material routes'!$I$6:$I$1005,MATCH(V307,'Material routes'!$A$6:$A$1005,0)),"MISSING ID"))</x:f>
      </x:c>
      <x:c r="Q307" s="4" t="str">
        <x:f>IFERROR(INDEX('Material routes'!$J$6:$J$1005,MATCH(V307,'Material routes'!$A$6:$A$1005,0)),"MISSING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routes'!$D$6:$D$1005,MATCH(U307,'Material routes'!$A$6:$A$1005,0)),"MISSING ID")</x:f>
        <x:v>proposal.t3.packing_stock</x:v>
      </x:c>
      <x:c r="T307" s="4" t="str">
        <x:f>IFERROR(INDEX('Material routes'!$D$6:$D$1005,MATCH(V307,'Material routes'!$A$6:$A$1005,0)),"MISSING ID")</x:f>
        <x:v>proposal.canister.coupling</x:v>
      </x:c>
      <x:c r="U307" s="4" t="str">
        <x:v>design.review.proposal_canister_coupling.in.2</x:v>
      </x:c>
      <x:c r="V307" s="4" t="str">
        <x:v>design.review.proposal_canister_coupling.out</x:v>
      </x:c>
    </x:row>
    <x:row r="308" ht="115" customHeight="1">
      <x:c r="A308" s="4" t="str">
        <x:f>IFERROR(INDEX('Material routes'!$E$6:$E$1005,MATCH(U308,'Material routes'!$A$6:$A$1005,0)),"MISSING ID")</x:f>
        <x:v>Prepared bronze bearing stock</x:v>
      </x:c>
      <x:c r="B308" s="4" t="str">
        <x:f>IFERROR(INDEX('Material routes'!$F$6:$F$1005,MATCH(U308,'Material routes'!$A$6:$A$1005,0)),"MISSING ID")</x:f>
        <x:v>T2</x:v>
      </x:c>
      <x:c r="C308" s="4" t="str">
        <x:f>IFERROR(INDEX('Material routes'!$H$6:$H$1005,MATCH(U308,'Material routes'!$A$6:$A$1005,0)),"MISSING ID")</x:f>
        <x:v>Processed material</x:v>
      </x:c>
      <x:c r="D308" s="4" t="str">
        <x:f>IFERROR(INDEX('Material routes'!$G$6:$G$1005,MATCH(U308,'Material routes'!$A$6:$A$1005,0)),"MISSING ID")</x:f>
        <x:v>Resources</x:v>
      </x:c>
      <x:c r="E308" s="4" t="str">
        <x:f>IFERROR(INDEX('Material routes'!$C$6:$C$1005,MATCH(U308,'Material routes'!$A$6:$A$1005,0)),"MISSING ID")</x:f>
        <x:v>Ingredient candidate</x:v>
      </x:c>
      <x:c r="F308" s="4" t="str">
        <x:f>IFERROR(INDEX('Material routes'!$E$6:$E$1005,MATCH(V308,'Material routes'!$A$6:$A$1005,0)),"MISSING ID")</x:f>
        <x:v>Feed-line coupling</x:v>
      </x:c>
      <x:c r="G308" s="4" t="str">
        <x:f>IFERROR(INDEX('Material routes'!$F$6:$F$1005,MATCH(V308,'Material routes'!$A$6:$A$1005,0)),"MISSING ID")</x:f>
        <x:v>T4</x:v>
      </x:c>
      <x:c r="H308" s="4" t="str">
        <x:f>IFERROR(INDEX('Material routes'!$H$6:$H$1005,MATCH(V308,'Material routes'!$A$6:$A$1005,0)),"MISSING ID")</x:f>
        <x:v>Container part</x:v>
      </x:c>
      <x:c r="I308" s="4" t="str">
        <x:f>IFERROR(INDEX('Material routes'!$G$6:$G$1005,MATCH(V308,'Material routes'!$A$6:$A$1005,0)),"MISSING ID")</x:f>
        <x:v>Crafting components</x:v>
      </x:c>
      <x:c r="J308" s="4" t="str">
        <x:f>IFERROR(INDEX('Material routes'!$B$6:$B$1005,MATCH(U308,'Material routes'!$A$6:$A$1005,0)),"MISSING ID")</x:f>
        <x:v>design.review.proposal_canister_coupling</x:v>
      </x:c>
      <x:c r="K308" s="4" t="str">
        <x:f>IFERROR(INDEX('Crafting recipes'!$C$6:$C$1005,MATCH(J308,'Crafting recipes'!$A$6:$A$1005,0)),"MISSING ID")</x:f>
        <x:v>Material refinement</x:v>
      </x:c>
      <x:c r="L308" s="4" t="str">
        <x:f>IFERROR(INDEX('Material routes'!$K$6:$K$1005,MATCH(U308,'Material routes'!$A$6:$A$1005,0)),"MISSING ID")</x:f>
        <x:v>Proposal</x:v>
      </x:c>
      <x:c r="M308" s="4" t="str">
        <x:f>IFERROR(INDEX('Material routes'!$M$6:$M$1005,MATCH(U308,'Material routes'!$A$6:$A$1005,0)),"MISSING ID")</x:f>
        <x:v>Partial proposal</x:v>
      </x:c>
      <x:c r="N308" s="4" t="str">
        <x:f>IF(IFERROR(INDEX('Material routes'!$I$6:$I$1005,MATCH(U308,'Material routes'!$A$6:$A$1005,0)),"MISSING ID")=0,"",IFERROR(INDEX('Material routes'!$I$6:$I$1005,MATCH(U308,'Material routes'!$A$6:$A$1005,0)),"MISSING ID"))</x:f>
      </x:c>
      <x:c r="O308" s="4" t="str">
        <x:f>IFERROR(INDEX('Material routes'!$J$6:$J$1005,MATCH(U308,'Material routes'!$A$6:$A$1005,0)),"MISSING ID")</x:f>
        <x:v>Unspecified</x:v>
      </x:c>
      <x:c r="P308" s="4" t="str">
        <x:f>IF(IFERROR(INDEX('Material routes'!$I$6:$I$1005,MATCH(V308,'Material routes'!$A$6:$A$1005,0)),"MISSING ID")=0,"",IFERROR(INDEX('Material routes'!$I$6:$I$1005,MATCH(V308,'Material routes'!$A$6:$A$1005,0)),"MISSING ID"))</x:f>
      </x:c>
      <x:c r="Q308" s="4" t="str">
        <x:f>IFERROR(INDEX('Material routes'!$J$6:$J$1005,MATCH(V308,'Material routes'!$A$6:$A$1005,0)),"MISSING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routes'!$D$6:$D$1005,MATCH(U308,'Material routes'!$A$6:$A$1005,0)),"MISSING ID")</x:f>
        <x:v>proposal.branch.bearing_bronze</x:v>
      </x:c>
      <x:c r="T308" s="4" t="str">
        <x:f>IFERROR(INDEX('Material routes'!$D$6:$D$1005,MATCH(V308,'Material routes'!$A$6:$A$1005,0)),"MISSING ID")</x:f>
        <x:v>proposal.canister.coupling</x:v>
      </x:c>
      <x:c r="U308" s="4" t="str">
        <x:v>design.review.proposal_canister_coupling.in.3</x:v>
      </x:c>
      <x:c r="V308" s="4" t="str">
        <x:v>design.review.proposal_canister_coupling.out</x:v>
      </x:c>
    </x:row>
    <x:row r="309" ht="115" customHeight="1">
      <x:c r="A309" s="4" t="str">
        <x:f>IFERROR(INDEX('Material routes'!$E$6:$E$1005,MATCH(U309,'Material routes'!$A$6:$A$1005,0)),"MISSING ID")</x:f>
        <x:v>Insulating ceramic blanks</x:v>
      </x:c>
      <x:c r="B309" s="4" t="str">
        <x:f>IFERROR(INDEX('Material routes'!$F$6:$F$1005,MATCH(U309,'Material routes'!$A$6:$A$1005,0)),"MISSING ID")</x:f>
        <x:v>T2</x:v>
      </x:c>
      <x:c r="C309" s="4" t="str">
        <x:f>IFERROR(INDEX('Material routes'!$H$6:$H$1005,MATCH(U309,'Material routes'!$A$6:$A$1005,0)),"MISSING ID")</x:f>
        <x:v>Processed material</x:v>
      </x:c>
      <x:c r="D309" s="4" t="str">
        <x:f>IFERROR(INDEX('Material routes'!$G$6:$G$1005,MATCH(U309,'Material routes'!$A$6:$A$1005,0)),"MISSING ID")</x:f>
        <x:v>Resources</x:v>
      </x:c>
      <x:c r="E309" s="4" t="str">
        <x:f>IFERROR(INDEX('Material routes'!$C$6:$C$1005,MATCH(U309,'Material routes'!$A$6:$A$1005,0)),"MISSING ID")</x:f>
        <x:v>Ingredient candidate</x:v>
      </x:c>
      <x:c r="F309" s="4" t="str">
        <x:f>IFERROR(INDEX('Material routes'!$E$6:$E$1005,MATCH(V309,'Material routes'!$A$6:$A$1005,0)),"MISSING ID")</x:f>
        <x:v>Canister mouthpiece interface</x:v>
      </x:c>
      <x:c r="G309" s="4" t="str">
        <x:f>IFERROR(INDEX('Material routes'!$F$6:$F$1005,MATCH(V309,'Material routes'!$A$6:$A$1005,0)),"MISSING ID")</x:f>
        <x:v>T3</x:v>
      </x:c>
      <x:c r="H309" s="4" t="str">
        <x:f>IFERROR(INDEX('Material routes'!$H$6:$H$1005,MATCH(V309,'Material routes'!$A$6:$A$1005,0)),"MISSING ID")</x:f>
        <x:v>Container part</x:v>
      </x:c>
      <x:c r="I309" s="4" t="str">
        <x:f>IFERROR(INDEX('Material routes'!$G$6:$G$1005,MATCH(V309,'Material routes'!$A$6:$A$1005,0)),"MISSING ID")</x:f>
        <x:v>Crafting components</x:v>
      </x:c>
      <x:c r="J309" s="4" t="str">
        <x:f>IFERROR(INDEX('Material routes'!$B$6:$B$1005,MATCH(U309,'Material routes'!$A$6:$A$1005,0)),"MISSING ID")</x:f>
        <x:v>design.review.proposal_canister_mouthpiece</x:v>
      </x:c>
      <x:c r="K309" s="4" t="str">
        <x:f>IFERROR(INDEX('Crafting recipes'!$C$6:$C$1005,MATCH(J309,'Crafting recipes'!$A$6:$A$1005,0)),"MISSING ID")</x:f>
        <x:v>Material refinement</x:v>
      </x:c>
      <x:c r="L309" s="4" t="str">
        <x:f>IFERROR(INDEX('Material routes'!$K$6:$K$1005,MATCH(U309,'Material routes'!$A$6:$A$1005,0)),"MISSING ID")</x:f>
        <x:v>Proposal</x:v>
      </x:c>
      <x:c r="M309" s="4" t="str">
        <x:f>IFERROR(INDEX('Material routes'!$M$6:$M$1005,MATCH(U309,'Material routes'!$A$6:$A$1005,0)),"MISSING ID")</x:f>
        <x:v>Partial proposal</x:v>
      </x:c>
      <x:c r="N309" s="4" t="str">
        <x:f>IF(IFERROR(INDEX('Material routes'!$I$6:$I$1005,MATCH(U309,'Material routes'!$A$6:$A$1005,0)),"MISSING ID")=0,"",IFERROR(INDEX('Material routes'!$I$6:$I$1005,MATCH(U309,'Material routes'!$A$6:$A$1005,0)),"MISSING ID"))</x:f>
      </x:c>
      <x:c r="O309" s="4" t="str">
        <x:f>IFERROR(INDEX('Material routes'!$J$6:$J$1005,MATCH(U309,'Material routes'!$A$6:$A$1005,0)),"MISSING ID")</x:f>
        <x:v>Unspecified</x:v>
      </x:c>
      <x:c r="P309" s="4" t="str">
        <x:f>IF(IFERROR(INDEX('Material routes'!$I$6:$I$1005,MATCH(V309,'Material routes'!$A$6:$A$1005,0)),"MISSING ID")=0,"",IFERROR(INDEX('Material routes'!$I$6:$I$1005,MATCH(V309,'Material routes'!$A$6:$A$1005,0)),"MISSING ID"))</x:f>
      </x:c>
      <x:c r="Q309" s="4" t="str">
        <x:f>IFERROR(INDEX('Material routes'!$J$6:$J$1005,MATCH(V309,'Material routes'!$A$6:$A$1005,0)),"MISSING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routes'!$D$6:$D$1005,MATCH(U309,'Material routes'!$A$6:$A$1005,0)),"MISSING ID")</x:f>
        <x:v>proposal.natural.ceramic</x:v>
      </x:c>
      <x:c r="T309" s="4" t="str">
        <x:f>IFERROR(INDEX('Material routes'!$D$6:$D$1005,MATCH(V309,'Material routes'!$A$6:$A$1005,0)),"MISSING ID")</x:f>
        <x:v>proposal.canister.mouthpiece</x:v>
      </x:c>
      <x:c r="U309" s="4" t="str">
        <x:v>design.review.proposal_canister_mouthpiece.in.1</x:v>
      </x:c>
      <x:c r="V309" s="4" t="str">
        <x:v>design.review.proposal_canister_mouthpiece.out</x:v>
      </x:c>
    </x:row>
    <x:row r="310" ht="115" customHeight="1">
      <x:c r="A310" s="4" t="str">
        <x:f>IFERROR(INDEX('Material routes'!$E$6:$E$1005,MATCH(U310,'Material routes'!$A$6:$A$1005,0)),"MISSING ID")</x:f>
        <x:v>Filled faunal seal compound</x:v>
      </x:c>
      <x:c r="B310" s="4" t="str">
        <x:f>IFERROR(INDEX('Material routes'!$F$6:$F$1005,MATCH(U310,'Material routes'!$A$6:$A$1005,0)),"MISSING ID")</x:f>
        <x:v>T2</x:v>
      </x:c>
      <x:c r="C310" s="4" t="str">
        <x:f>IFERROR(INDEX('Material routes'!$H$6:$H$1005,MATCH(U310,'Material routes'!$A$6:$A$1005,0)),"MISSING ID")</x:f>
        <x:v>Chemical material</x:v>
      </x:c>
      <x:c r="D310" s="4" t="str">
        <x:f>IFERROR(INDEX('Material routes'!$G$6:$G$1005,MATCH(U310,'Material routes'!$A$6:$A$1005,0)),"MISSING ID")</x:f>
        <x:v>Resources</x:v>
      </x:c>
      <x:c r="E310" s="4" t="str">
        <x:f>IFERROR(INDEX('Material routes'!$C$6:$C$1005,MATCH(U310,'Material routes'!$A$6:$A$1005,0)),"MISSING ID")</x:f>
        <x:v>Ingredient candidate</x:v>
      </x:c>
      <x:c r="F310" s="4" t="str">
        <x:f>IFERROR(INDEX('Material routes'!$E$6:$E$1005,MATCH(V310,'Material routes'!$A$6:$A$1005,0)),"MISSING ID")</x:f>
        <x:v>Canister mouthpiece interface</x:v>
      </x:c>
      <x:c r="G310" s="4" t="str">
        <x:f>IFERROR(INDEX('Material routes'!$F$6:$F$1005,MATCH(V310,'Material routes'!$A$6:$A$1005,0)),"MISSING ID")</x:f>
        <x:v>T3</x:v>
      </x:c>
      <x:c r="H310" s="4" t="str">
        <x:f>IFERROR(INDEX('Material routes'!$H$6:$H$1005,MATCH(V310,'Material routes'!$A$6:$A$1005,0)),"MISSING ID")</x:f>
        <x:v>Container part</x:v>
      </x:c>
      <x:c r="I310" s="4" t="str">
        <x:f>IFERROR(INDEX('Material routes'!$G$6:$G$1005,MATCH(V310,'Material routes'!$A$6:$A$1005,0)),"MISSING ID")</x:f>
        <x:v>Crafting components</x:v>
      </x:c>
      <x:c r="J310" s="4" t="str">
        <x:f>IFERROR(INDEX('Material routes'!$B$6:$B$1005,MATCH(U310,'Material routes'!$A$6:$A$1005,0)),"MISSING ID")</x:f>
        <x:v>design.review.proposal_canister_mouthpiece</x:v>
      </x:c>
      <x:c r="K310" s="4" t="str">
        <x:f>IFERROR(INDEX('Crafting recipes'!$C$6:$C$1005,MATCH(J310,'Crafting recipes'!$A$6:$A$1005,0)),"MISSING ID")</x:f>
        <x:v>Material refinement</x:v>
      </x:c>
      <x:c r="L310" s="4" t="str">
        <x:f>IFERROR(INDEX('Material routes'!$K$6:$K$1005,MATCH(U310,'Material routes'!$A$6:$A$1005,0)),"MISSING ID")</x:f>
        <x:v>Proposal</x:v>
      </x:c>
      <x:c r="M310" s="4" t="str">
        <x:f>IFERROR(INDEX('Material routes'!$M$6:$M$1005,MATCH(U310,'Material routes'!$A$6:$A$1005,0)),"MISSING ID")</x:f>
        <x:v>Partial proposal</x:v>
      </x:c>
      <x:c r="N310" s="4" t="str">
        <x:f>IF(IFERROR(INDEX('Material routes'!$I$6:$I$1005,MATCH(U310,'Material routes'!$A$6:$A$1005,0)),"MISSING ID")=0,"",IFERROR(INDEX('Material routes'!$I$6:$I$1005,MATCH(U310,'Material routes'!$A$6:$A$1005,0)),"MISSING ID"))</x:f>
      </x:c>
      <x:c r="O310" s="4" t="str">
        <x:f>IFERROR(INDEX('Material routes'!$J$6:$J$1005,MATCH(U310,'Material routes'!$A$6:$A$1005,0)),"MISSING ID")</x:f>
        <x:v>Unspecified</x:v>
      </x:c>
      <x:c r="P310" s="4" t="str">
        <x:f>IF(IFERROR(INDEX('Material routes'!$I$6:$I$1005,MATCH(V310,'Material routes'!$A$6:$A$1005,0)),"MISSING ID")=0,"",IFERROR(INDEX('Material routes'!$I$6:$I$1005,MATCH(V310,'Material routes'!$A$6:$A$1005,0)),"MISSING ID"))</x:f>
      </x:c>
      <x:c r="Q310" s="4" t="str">
        <x:f>IFERROR(INDEX('Material routes'!$J$6:$J$1005,MATCH(V310,'Material routes'!$A$6:$A$1005,0)),"MISSING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routes'!$D$6:$D$1005,MATCH(U310,'Material routes'!$A$6:$A$1005,0)),"MISSING ID")</x:f>
        <x:v>proposal.branch.filled_seal</x:v>
      </x:c>
      <x:c r="T310" s="4" t="str">
        <x:f>IFERROR(INDEX('Material routes'!$D$6:$D$1005,MATCH(V310,'Material routes'!$A$6:$A$1005,0)),"MISSING ID")</x:f>
        <x:v>proposal.canister.mouthpiece</x:v>
      </x:c>
      <x:c r="U310" s="4" t="str">
        <x:v>design.review.proposal_canister_mouthpiece.in.2</x:v>
      </x:c>
      <x:c r="V310" s="4" t="str">
        <x:v>design.review.proposal_canister_mouthpiece.out</x:v>
      </x:c>
    </x:row>
    <x:row r="311" ht="115" customHeight="1">
      <x:c r="A311" s="4" t="str">
        <x:f>IFERROR(INDEX('Material routes'!$E$6:$E$1005,MATCH(U311,'Material routes'!$A$6:$A$1005,0)),"MISSING ID")</x:f>
        <x:v>Selected viewing-glass stock</x:v>
      </x:c>
      <x:c r="B311" s="4" t="str">
        <x:f>IFERROR(INDEX('Material routes'!$F$6:$F$1005,MATCH(U311,'Material routes'!$A$6:$A$1005,0)),"MISSING ID")</x:f>
        <x:v>T2</x:v>
      </x:c>
      <x:c r="C311" s="4" t="str">
        <x:f>IFERROR(INDEX('Material routes'!$H$6:$H$1005,MATCH(U311,'Material routes'!$A$6:$A$1005,0)),"MISSING ID")</x:f>
        <x:v>Processed material</x:v>
      </x:c>
      <x:c r="D311" s="4" t="str">
        <x:f>IFERROR(INDEX('Material routes'!$G$6:$G$1005,MATCH(U311,'Material routes'!$A$6:$A$1005,0)),"MISSING ID")</x:f>
        <x:v>Resources</x:v>
      </x:c>
      <x:c r="E311" s="4" t="str">
        <x:f>IFERROR(INDEX('Material routes'!$C$6:$C$1005,MATCH(U311,'Material routes'!$A$6:$A$1005,0)),"MISSING ID")</x:f>
        <x:v>Ingredient candidate</x:v>
      </x:c>
      <x:c r="F311" s="4" t="str">
        <x:f>IFERROR(INDEX('Material routes'!$E$6:$E$1005,MATCH(V311,'Material routes'!$A$6:$A$1005,0)),"MISSING ID")</x:f>
        <x:v>Canister viewing-port insert</x:v>
      </x:c>
      <x:c r="G311" s="4" t="str">
        <x:f>IFERROR(INDEX('Material routes'!$F$6:$F$1005,MATCH(V311,'Material routes'!$A$6:$A$1005,0)),"MISSING ID")</x:f>
        <x:v>T3</x:v>
      </x:c>
      <x:c r="H311" s="4" t="str">
        <x:f>IFERROR(INDEX('Material routes'!$H$6:$H$1005,MATCH(V311,'Material routes'!$A$6:$A$1005,0)),"MISSING ID")</x:f>
        <x:v>Container part</x:v>
      </x:c>
      <x:c r="I311" s="4" t="str">
        <x:f>IFERROR(INDEX('Material routes'!$G$6:$G$1005,MATCH(V311,'Material routes'!$A$6:$A$1005,0)),"MISSING ID")</x:f>
        <x:v>Crafting components</x:v>
      </x:c>
      <x:c r="J311" s="4" t="str">
        <x:f>IFERROR(INDEX('Material routes'!$B$6:$B$1005,MATCH(U311,'Material routes'!$A$6:$A$1005,0)),"MISSING ID")</x:f>
        <x:v>design.review.proposal_canister_window</x:v>
      </x:c>
      <x:c r="K311" s="4" t="str">
        <x:f>IFERROR(INDEX('Crafting recipes'!$C$6:$C$1005,MATCH(J311,'Crafting recipes'!$A$6:$A$1005,0)),"MISSING ID")</x:f>
        <x:v>Material refinement</x:v>
      </x:c>
      <x:c r="L311" s="4" t="str">
        <x:f>IFERROR(INDEX('Material routes'!$K$6:$K$1005,MATCH(U311,'Material routes'!$A$6:$A$1005,0)),"MISSING ID")</x:f>
        <x:v>Proposal</x:v>
      </x:c>
      <x:c r="M311" s="4" t="str">
        <x:f>IFERROR(INDEX('Material routes'!$M$6:$M$1005,MATCH(U311,'Material routes'!$A$6:$A$1005,0)),"MISSING ID")</x:f>
        <x:v>Partial proposal</x:v>
      </x:c>
      <x:c r="N311" s="4" t="str">
        <x:f>IF(IFERROR(INDEX('Material routes'!$I$6:$I$1005,MATCH(U311,'Material routes'!$A$6:$A$1005,0)),"MISSING ID")=0,"",IFERROR(INDEX('Material routes'!$I$6:$I$1005,MATCH(U311,'Material routes'!$A$6:$A$1005,0)),"MISSING ID"))</x:f>
      </x:c>
      <x:c r="O311" s="4" t="str">
        <x:f>IFERROR(INDEX('Material routes'!$J$6:$J$1005,MATCH(U311,'Material routes'!$A$6:$A$1005,0)),"MISSING ID")</x:f>
        <x:v>Unspecified</x:v>
      </x:c>
      <x:c r="P311" s="4" t="str">
        <x:f>IF(IFERROR(INDEX('Material routes'!$I$6:$I$1005,MATCH(V311,'Material routes'!$A$6:$A$1005,0)),"MISSING ID")=0,"",IFERROR(INDEX('Material routes'!$I$6:$I$1005,MATCH(V311,'Material routes'!$A$6:$A$1005,0)),"MISSING ID"))</x:f>
      </x:c>
      <x:c r="Q311" s="4" t="str">
        <x:f>IFERROR(INDEX('Material routes'!$J$6:$J$1005,MATCH(V311,'Material routes'!$A$6:$A$1005,0)),"MISSING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routes'!$D$6:$D$1005,MATCH(U311,'Material routes'!$A$6:$A$1005,0)),"MISSING ID")</x:f>
        <x:v>proposal.branch.viewing_glass</x:v>
      </x:c>
      <x:c r="T311" s="4" t="str">
        <x:f>IFERROR(INDEX('Material routes'!$D$6:$D$1005,MATCH(V311,'Material routes'!$A$6:$A$1005,0)),"MISSING ID")</x:f>
        <x:v>proposal.canister.window</x:v>
      </x:c>
      <x:c r="U311" s="4" t="str">
        <x:v>design.review.proposal_canister_window.in.1</x:v>
      </x:c>
      <x:c r="V311" s="4" t="str">
        <x:v>design.review.proposal_canister_window.out</x:v>
      </x:c>
    </x:row>
    <x:row r="312" ht="115" customHeight="1">
      <x:c r="A312" s="4" t="str">
        <x:f>IFERROR(INDEX('Material routes'!$E$6:$E$1005,MATCH(U312,'Material routes'!$A$6:$A$1005,0)),"MISSING ID")</x:f>
        <x:v>Graded abrasive grit</x:v>
      </x:c>
      <x:c r="B312" s="4" t="str">
        <x:f>IFERROR(INDEX('Material routes'!$F$6:$F$1005,MATCH(U312,'Material routes'!$A$6:$A$1005,0)),"MISSING ID")</x:f>
        <x:v>T1</x:v>
      </x:c>
      <x:c r="C312" s="4" t="str">
        <x:f>IFERROR(INDEX('Material routes'!$H$6:$H$1005,MATCH(U312,'Material routes'!$A$6:$A$1005,0)),"MISSING ID")</x:f>
        <x:v>Processed material</x:v>
      </x:c>
      <x:c r="D312" s="4" t="str">
        <x:f>IFERROR(INDEX('Material routes'!$G$6:$G$1005,MATCH(U312,'Material routes'!$A$6:$A$1005,0)),"MISSING ID")</x:f>
        <x:v>Resources</x:v>
      </x:c>
      <x:c r="E312" s="4" t="str">
        <x:f>IFERROR(INDEX('Material routes'!$C$6:$C$1005,MATCH(U312,'Material routes'!$A$6:$A$1005,0)),"MISSING ID")</x:f>
        <x:v>Ingredient candidate</x:v>
      </x:c>
      <x:c r="F312" s="4" t="str">
        <x:f>IFERROR(INDEX('Material routes'!$E$6:$E$1005,MATCH(V312,'Material routes'!$A$6:$A$1005,0)),"MISSING ID")</x:f>
        <x:v>Canister viewing-port insert</x:v>
      </x:c>
      <x:c r="G312" s="4" t="str">
        <x:f>IFERROR(INDEX('Material routes'!$F$6:$F$1005,MATCH(V312,'Material routes'!$A$6:$A$1005,0)),"MISSING ID")</x:f>
        <x:v>T3</x:v>
      </x:c>
      <x:c r="H312" s="4" t="str">
        <x:f>IFERROR(INDEX('Material routes'!$H$6:$H$1005,MATCH(V312,'Material routes'!$A$6:$A$1005,0)),"MISSING ID")</x:f>
        <x:v>Container part</x:v>
      </x:c>
      <x:c r="I312" s="4" t="str">
        <x:f>IFERROR(INDEX('Material routes'!$G$6:$G$1005,MATCH(V312,'Material routes'!$A$6:$A$1005,0)),"MISSING ID")</x:f>
        <x:v>Crafting components</x:v>
      </x:c>
      <x:c r="J312" s="4" t="str">
        <x:f>IFERROR(INDEX('Material routes'!$B$6:$B$1005,MATCH(U312,'Material routes'!$A$6:$A$1005,0)),"MISSING ID")</x:f>
        <x:v>design.review.proposal_canister_window</x:v>
      </x:c>
      <x:c r="K312" s="4" t="str">
        <x:f>IFERROR(INDEX('Crafting recipes'!$C$6:$C$1005,MATCH(J312,'Crafting recipes'!$A$6:$A$1005,0)),"MISSING ID")</x:f>
        <x:v>Material refinement</x:v>
      </x:c>
      <x:c r="L312" s="4" t="str">
        <x:f>IFERROR(INDEX('Material routes'!$K$6:$K$1005,MATCH(U312,'Material routes'!$A$6:$A$1005,0)),"MISSING ID")</x:f>
        <x:v>Proposal</x:v>
      </x:c>
      <x:c r="M312" s="4" t="str">
        <x:f>IFERROR(INDEX('Material routes'!$M$6:$M$1005,MATCH(U312,'Material routes'!$A$6:$A$1005,0)),"MISSING ID")</x:f>
        <x:v>Partial proposal</x:v>
      </x:c>
      <x:c r="N312" s="4" t="str">
        <x:f>IF(IFERROR(INDEX('Material routes'!$I$6:$I$1005,MATCH(U312,'Material routes'!$A$6:$A$1005,0)),"MISSING ID")=0,"",IFERROR(INDEX('Material routes'!$I$6:$I$1005,MATCH(U312,'Material routes'!$A$6:$A$1005,0)),"MISSING ID"))</x:f>
      </x:c>
      <x:c r="O312" s="4" t="str">
        <x:f>IFERROR(INDEX('Material routes'!$J$6:$J$1005,MATCH(U312,'Material routes'!$A$6:$A$1005,0)),"MISSING ID")</x:f>
        <x:v>Unspecified</x:v>
      </x:c>
      <x:c r="P312" s="4" t="str">
        <x:f>IF(IFERROR(INDEX('Material routes'!$I$6:$I$1005,MATCH(V312,'Material routes'!$A$6:$A$1005,0)),"MISSING ID")=0,"",IFERROR(INDEX('Material routes'!$I$6:$I$1005,MATCH(V312,'Material routes'!$A$6:$A$1005,0)),"MISSING ID"))</x:f>
      </x:c>
      <x:c r="Q312" s="4" t="str">
        <x:f>IFERROR(INDEX('Material routes'!$J$6:$J$1005,MATCH(V312,'Material routes'!$A$6:$A$1005,0)),"MISSING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routes'!$D$6:$D$1005,MATCH(U312,'Material routes'!$A$6:$A$1005,0)),"MISSING ID")</x:f>
        <x:v>proposal.natural.abrasive</x:v>
      </x:c>
      <x:c r="T312" s="4" t="str">
        <x:f>IFERROR(INDEX('Material routes'!$D$6:$D$1005,MATCH(V312,'Material routes'!$A$6:$A$1005,0)),"MISSING ID")</x:f>
        <x:v>proposal.canister.window</x:v>
      </x:c>
      <x:c r="U312" s="4" t="str">
        <x:v>design.review.proposal_canister_window.in.2</x:v>
      </x:c>
      <x:c r="V312" s="4" t="str">
        <x:v>design.review.proposal_canister_window.out</x:v>
      </x:c>
    </x:row>
    <x:row r="313" ht="115" customHeight="1">
      <x:c r="A313" s="4" t="str">
        <x:f>IFERROR(INDEX('Material routes'!$E$6:$E$1005,MATCH(U313,'Material routes'!$A$6:$A$1005,0)),"MISSING ID")</x:f>
        <x:v>Steel stock</x:v>
      </x:c>
      <x:c r="B313" s="4" t="str">
        <x:f>IFERROR(INDEX('Material routes'!$F$6:$F$1005,MATCH(U313,'Material routes'!$A$6:$A$1005,0)),"MISSING ID")</x:f>
        <x:v>T2</x:v>
      </x:c>
      <x:c r="C313" s="4" t="str">
        <x:f>IFERROR(INDEX('Material routes'!$H$6:$H$1005,MATCH(U313,'Material routes'!$A$6:$A$1005,0)),"MISSING ID")</x:f>
        <x:v>Processed material</x:v>
      </x:c>
      <x:c r="D313" s="4" t="str">
        <x:f>IFERROR(INDEX('Material routes'!$G$6:$G$1005,MATCH(U313,'Material routes'!$A$6:$A$1005,0)),"MISSING ID")</x:f>
        <x:v>Resources</x:v>
      </x:c>
      <x:c r="E313" s="4" t="str">
        <x:f>IFERROR(INDEX('Material routes'!$C$6:$C$1005,MATCH(U313,'Material routes'!$A$6:$A$1005,0)),"MISSING ID")</x:f>
        <x:v>Ingredient candidate</x:v>
      </x:c>
      <x:c r="F313" s="4" t="str">
        <x:f>IFERROR(INDEX('Material routes'!$E$6:$E$1005,MATCH(V313,'Material routes'!$A$6:$A$1005,0)),"MISSING ID")</x:f>
        <x:v>Canister mounting bracket</x:v>
      </x:c>
      <x:c r="G313" s="4" t="str">
        <x:f>IFERROR(INDEX('Material routes'!$F$6:$F$1005,MATCH(V313,'Material routes'!$A$6:$A$1005,0)),"MISSING ID")</x:f>
        <x:v>T3</x:v>
      </x:c>
      <x:c r="H313" s="4" t="str">
        <x:f>IFERROR(INDEX('Material routes'!$H$6:$H$1005,MATCH(V313,'Material routes'!$A$6:$A$1005,0)),"MISSING ID")</x:f>
        <x:v>Container part</x:v>
      </x:c>
      <x:c r="I313" s="4" t="str">
        <x:f>IFERROR(INDEX('Material routes'!$G$6:$G$1005,MATCH(V313,'Material routes'!$A$6:$A$1005,0)),"MISSING ID")</x:f>
        <x:v>Crafting components</x:v>
      </x:c>
      <x:c r="J313" s="4" t="str">
        <x:f>IFERROR(INDEX('Material routes'!$B$6:$B$1005,MATCH(U313,'Material routes'!$A$6:$A$1005,0)),"MISSING ID")</x:f>
        <x:v>design.review.proposal_canister_mount</x:v>
      </x:c>
      <x:c r="K313" s="4" t="str">
        <x:f>IFERROR(INDEX('Crafting recipes'!$C$6:$C$1005,MATCH(J313,'Crafting recipes'!$A$6:$A$1005,0)),"MISSING ID")</x:f>
        <x:v>Material refinement</x:v>
      </x:c>
      <x:c r="L313" s="4" t="str">
        <x:f>IFERROR(INDEX('Material routes'!$K$6:$K$1005,MATCH(U313,'Material routes'!$A$6:$A$1005,0)),"MISSING ID")</x:f>
        <x:v>Proposal</x:v>
      </x:c>
      <x:c r="M313" s="4" t="str">
        <x:f>IFERROR(INDEX('Material routes'!$M$6:$M$1005,MATCH(U313,'Material routes'!$A$6:$A$1005,0)),"MISSING ID")</x:f>
        <x:v>Partial proposal</x:v>
      </x:c>
      <x:c r="N313" s="4" t="str">
        <x:f>IF(IFERROR(INDEX('Material routes'!$I$6:$I$1005,MATCH(U313,'Material routes'!$A$6:$A$1005,0)),"MISSING ID")=0,"",IFERROR(INDEX('Material routes'!$I$6:$I$1005,MATCH(U313,'Material routes'!$A$6:$A$1005,0)),"MISSING ID"))</x:f>
      </x:c>
      <x:c r="O313" s="4" t="str">
        <x:f>IFERROR(INDEX('Material routes'!$J$6:$J$1005,MATCH(U313,'Material routes'!$A$6:$A$1005,0)),"MISSING ID")</x:f>
        <x:v>Unspecified</x:v>
      </x:c>
      <x:c r="P313" s="4" t="str">
        <x:f>IF(IFERROR(INDEX('Material routes'!$I$6:$I$1005,MATCH(V313,'Material routes'!$A$6:$A$1005,0)),"MISSING ID")=0,"",IFERROR(INDEX('Material routes'!$I$6:$I$1005,MATCH(V313,'Material routes'!$A$6:$A$1005,0)),"MISSING ID"))</x:f>
      </x:c>
      <x:c r="Q313" s="4" t="str">
        <x:f>IFERROR(INDEX('Material routes'!$J$6:$J$1005,MATCH(V313,'Material routes'!$A$6:$A$1005,0)),"MISSING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routes'!$D$6:$D$1005,MATCH(U313,'Material routes'!$A$6:$A$1005,0)),"MISSING ID")</x:f>
        <x:v>author.metallurgy.steel_stock</x:v>
      </x:c>
      <x:c r="T313" s="4" t="str">
        <x:f>IFERROR(INDEX('Material routes'!$D$6:$D$1005,MATCH(V313,'Material routes'!$A$6:$A$1005,0)),"MISSING ID")</x:f>
        <x:v>proposal.canister.mount</x:v>
      </x:c>
      <x:c r="U313" s="4" t="str">
        <x:v>design.review.proposal_canister_mount.in.1</x:v>
      </x:c>
      <x:c r="V313" s="4" t="str">
        <x:v>design.review.proposal_canister_mount.out</x:v>
      </x:c>
    </x:row>
    <x:row r="314" ht="115" customHeight="1">
      <x:c r="A314" s="4" t="str">
        <x:f>IFERROR(INDEX('Material routes'!$E$6:$E$1005,MATCH(U314,'Material routes'!$A$6:$A$1005,0)),"MISSING ID")</x:f>
        <x:v>Reclaimed bronze billet</x:v>
      </x:c>
      <x:c r="B314" s="4" t="str">
        <x:f>IFERROR(INDEX('Material routes'!$F$6:$F$1005,MATCH(U314,'Material routes'!$A$6:$A$1005,0)),"MISSING ID")</x:f>
        <x:v>T1</x:v>
      </x:c>
      <x:c r="C314" s="4" t="str">
        <x:f>IFERROR(INDEX('Material routes'!$H$6:$H$1005,MATCH(U314,'Material routes'!$A$6:$A$1005,0)),"MISSING ID")</x:f>
        <x:v>Processed material</x:v>
      </x:c>
      <x:c r="D314" s="4" t="str">
        <x:f>IFERROR(INDEX('Material routes'!$G$6:$G$1005,MATCH(U314,'Material routes'!$A$6:$A$1005,0)),"MISSING ID")</x:f>
        <x:v>Resources</x:v>
      </x:c>
      <x:c r="E314" s="4" t="str">
        <x:f>IFERROR(INDEX('Material routes'!$C$6:$C$1005,MATCH(U314,'Material routes'!$A$6:$A$1005,0)),"MISSING ID")</x:f>
        <x:v>Ingredient candidate</x:v>
      </x:c>
      <x:c r="F314" s="4" t="str">
        <x:f>IFERROR(INDEX('Material routes'!$E$6:$E$1005,MATCH(V314,'Material routes'!$A$6:$A$1005,0)),"MISSING ID")</x:f>
        <x:v>Canister maker plate</x:v>
      </x:c>
      <x:c r="G314" s="4" t="str">
        <x:f>IFERROR(INDEX('Material routes'!$F$6:$F$1005,MATCH(V314,'Material routes'!$A$6:$A$1005,0)),"MISSING ID")</x:f>
        <x:v>T2</x:v>
      </x:c>
      <x:c r="H314" s="4" t="str">
        <x:f>IFERROR(INDEX('Material routes'!$H$6:$H$1005,MATCH(V314,'Material routes'!$A$6:$A$1005,0)),"MISSING ID")</x:f>
        <x:v>Crafting component</x:v>
      </x:c>
      <x:c r="I314" s="4" t="str">
        <x:f>IFERROR(INDEX('Material routes'!$G$6:$G$1005,MATCH(V314,'Material routes'!$A$6:$A$1005,0)),"MISSING ID")</x:f>
        <x:v>Crafting components</x:v>
      </x:c>
      <x:c r="J314" s="4" t="str">
        <x:f>IFERROR(INDEX('Material routes'!$B$6:$B$1005,MATCH(U314,'Material routes'!$A$6:$A$1005,0)),"MISSING ID")</x:f>
        <x:v>design.review.proposal_canister_maker_plate</x:v>
      </x:c>
      <x:c r="K314" s="4" t="str">
        <x:f>IFERROR(INDEX('Crafting recipes'!$C$6:$C$1005,MATCH(J314,'Crafting recipes'!$A$6:$A$1005,0)),"MISSING ID")</x:f>
        <x:v>Material refinement</x:v>
      </x:c>
      <x:c r="L314" s="4" t="str">
        <x:f>IFERROR(INDEX('Material routes'!$K$6:$K$1005,MATCH(U314,'Material routes'!$A$6:$A$1005,0)),"MISSING ID")</x:f>
        <x:v>Proposal</x:v>
      </x:c>
      <x:c r="M314" s="4" t="str">
        <x:f>IFERROR(INDEX('Material routes'!$M$6:$M$1005,MATCH(U314,'Material routes'!$A$6:$A$1005,0)),"MISSING ID")</x:f>
        <x:v>Partial proposal</x:v>
      </x:c>
      <x:c r="N314" s="4" t="str">
        <x:f>IF(IFERROR(INDEX('Material routes'!$I$6:$I$1005,MATCH(U314,'Material routes'!$A$6:$A$1005,0)),"MISSING ID")=0,"",IFERROR(INDEX('Material routes'!$I$6:$I$1005,MATCH(U314,'Material routes'!$A$6:$A$1005,0)),"MISSING ID"))</x:f>
      </x:c>
      <x:c r="O314" s="4" t="str">
        <x:f>IFERROR(INDEX('Material routes'!$J$6:$J$1005,MATCH(U314,'Material routes'!$A$6:$A$1005,0)),"MISSING ID")</x:f>
        <x:v>Unspecified</x:v>
      </x:c>
      <x:c r="P314" s="4" t="str">
        <x:f>IF(IFERROR(INDEX('Material routes'!$I$6:$I$1005,MATCH(V314,'Material routes'!$A$6:$A$1005,0)),"MISSING ID")=0,"",IFERROR(INDEX('Material routes'!$I$6:$I$1005,MATCH(V314,'Material routes'!$A$6:$A$1005,0)),"MISSING ID"))</x:f>
      </x:c>
      <x:c r="Q314" s="4" t="str">
        <x:f>IFERROR(INDEX('Material routes'!$J$6:$J$1005,MATCH(V314,'Material routes'!$A$6:$A$1005,0)),"MISSING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routes'!$D$6:$D$1005,MATCH(U314,'Material routes'!$A$6:$A$1005,0)),"MISSING ID")</x:f>
        <x:v>proposal.t1.bronze_billet</x:v>
      </x:c>
      <x:c r="T314" s="4" t="str">
        <x:f>IFERROR(INDEX('Material routes'!$D$6:$D$1005,MATCH(V314,'Material routes'!$A$6:$A$1005,0)),"MISSING ID")</x:f>
        <x:v>proposal.canister.maker_plate</x:v>
      </x:c>
      <x:c r="U314" s="4" t="str">
        <x:v>design.review.proposal_canister_maker_plate.in.1</x:v>
      </x:c>
      <x:c r="V314" s="4" t="str">
        <x:v>design.review.proposal_canister_maker_plate.out</x:v>
      </x:c>
    </x:row>
    <x:row r="315" ht="115" customHeight="1">
      <x:c r="A315" s="4" t="str">
        <x:f>IFERROR(INDEX('Material routes'!$E$6:$E$1005,MATCH(U315,'Material routes'!$A$6:$A$1005,0)),"MISSING ID")</x:f>
        <x:v>Prepared mineral pigment powder</x:v>
      </x:c>
      <x:c r="B315" s="4" t="str">
        <x:f>IFERROR(INDEX('Material routes'!$F$6:$F$1005,MATCH(U315,'Material routes'!$A$6:$A$1005,0)),"MISSING ID")</x:f>
        <x:v>T1</x:v>
      </x:c>
      <x:c r="C315" s="4" t="str">
        <x:f>IFERROR(INDEX('Material routes'!$H$6:$H$1005,MATCH(U315,'Material routes'!$A$6:$A$1005,0)),"MISSING ID")</x:f>
        <x:v>Processed material</x:v>
      </x:c>
      <x:c r="D315" s="4" t="str">
        <x:f>IFERROR(INDEX('Material routes'!$G$6:$G$1005,MATCH(U315,'Material routes'!$A$6:$A$1005,0)),"MISSING ID")</x:f>
        <x:v>Resources</x:v>
      </x:c>
      <x:c r="E315" s="4" t="str">
        <x:f>IFERROR(INDEX('Material routes'!$C$6:$C$1005,MATCH(U315,'Material routes'!$A$6:$A$1005,0)),"MISSING ID")</x:f>
        <x:v>Ingredient candidate</x:v>
      </x:c>
      <x:c r="F315" s="4" t="str">
        <x:f>IFERROR(INDEX('Material routes'!$E$6:$E$1005,MATCH(V315,'Material routes'!$A$6:$A$1005,0)),"MISSING ID")</x:f>
        <x:v>Canister maker plate</x:v>
      </x:c>
      <x:c r="G315" s="4" t="str">
        <x:f>IFERROR(INDEX('Material routes'!$F$6:$F$1005,MATCH(V315,'Material routes'!$A$6:$A$1005,0)),"MISSING ID")</x:f>
        <x:v>T2</x:v>
      </x:c>
      <x:c r="H315" s="4" t="str">
        <x:f>IFERROR(INDEX('Material routes'!$H$6:$H$1005,MATCH(V315,'Material routes'!$A$6:$A$1005,0)),"MISSING ID")</x:f>
        <x:v>Crafting component</x:v>
      </x:c>
      <x:c r="I315" s="4" t="str">
        <x:f>IFERROR(INDEX('Material routes'!$G$6:$G$1005,MATCH(V315,'Material routes'!$A$6:$A$1005,0)),"MISSING ID")</x:f>
        <x:v>Crafting components</x:v>
      </x:c>
      <x:c r="J315" s="4" t="str">
        <x:f>IFERROR(INDEX('Material routes'!$B$6:$B$1005,MATCH(U315,'Material routes'!$A$6:$A$1005,0)),"MISSING ID")</x:f>
        <x:v>design.review.proposal_canister_maker_plate</x:v>
      </x:c>
      <x:c r="K315" s="4" t="str">
        <x:f>IFERROR(INDEX('Crafting recipes'!$C$6:$C$1005,MATCH(J315,'Crafting recipes'!$A$6:$A$1005,0)),"MISSING ID")</x:f>
        <x:v>Material refinement</x:v>
      </x:c>
      <x:c r="L315" s="4" t="str">
        <x:f>IFERROR(INDEX('Material routes'!$K$6:$K$1005,MATCH(U315,'Material routes'!$A$6:$A$1005,0)),"MISSING ID")</x:f>
        <x:v>Proposal</x:v>
      </x:c>
      <x:c r="M315" s="4" t="str">
        <x:f>IFERROR(INDEX('Material routes'!$M$6:$M$1005,MATCH(U315,'Material routes'!$A$6:$A$1005,0)),"MISSING ID")</x:f>
        <x:v>Partial proposal</x:v>
      </x:c>
      <x:c r="N315" s="4" t="str">
        <x:f>IF(IFERROR(INDEX('Material routes'!$I$6:$I$1005,MATCH(U315,'Material routes'!$A$6:$A$1005,0)),"MISSING ID")=0,"",IFERROR(INDEX('Material routes'!$I$6:$I$1005,MATCH(U315,'Material routes'!$A$6:$A$1005,0)),"MISSING ID"))</x:f>
      </x:c>
      <x:c r="O315" s="4" t="str">
        <x:f>IFERROR(INDEX('Material routes'!$J$6:$J$1005,MATCH(U315,'Material routes'!$A$6:$A$1005,0)),"MISSING ID")</x:f>
        <x:v>Unspecified</x:v>
      </x:c>
      <x:c r="P315" s="4" t="str">
        <x:f>IF(IFERROR(INDEX('Material routes'!$I$6:$I$1005,MATCH(V315,'Material routes'!$A$6:$A$1005,0)),"MISSING ID")=0,"",IFERROR(INDEX('Material routes'!$I$6:$I$1005,MATCH(V315,'Material routes'!$A$6:$A$1005,0)),"MISSING ID"))</x:f>
      </x:c>
      <x:c r="Q315" s="4" t="str">
        <x:f>IFERROR(INDEX('Material routes'!$J$6:$J$1005,MATCH(V315,'Material routes'!$A$6:$A$1005,0)),"MISSING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routes'!$D$6:$D$1005,MATCH(U315,'Material routes'!$A$6:$A$1005,0)),"MISSING ID")</x:f>
        <x:v>proposal.t1.pigment_powder</x:v>
      </x:c>
      <x:c r="T315" s="4" t="str">
        <x:f>IFERROR(INDEX('Material routes'!$D$6:$D$1005,MATCH(V315,'Material routes'!$A$6:$A$1005,0)),"MISSING ID")</x:f>
        <x:v>proposal.canister.maker_plate</x:v>
      </x:c>
      <x:c r="U315" s="4" t="str">
        <x:v>design.review.proposal_canister_maker_plate.in.2</x:v>
      </x:c>
      <x:c r="V315" s="4" t="str">
        <x:v>design.review.proposal_canister_maker_plate.out</x:v>
      </x:c>
    </x:row>
    <x:row r="316" ht="115" customHeight="1">
      <x:c r="A316" s="4" t="str">
        <x:f>IFERROR(INDEX('Material routes'!$E$6:$E$1005,MATCH(U316,'Material routes'!$A$6:$A$1005,0)),"MISSING ID")</x:f>
        <x:v>Polished gemstone blanks</x:v>
      </x:c>
      <x:c r="B316" s="4" t="str">
        <x:f>IFERROR(INDEX('Material routes'!$F$6:$F$1005,MATCH(U316,'Material routes'!$A$6:$A$1005,0)),"MISSING ID")</x:f>
        <x:v>T2</x:v>
      </x:c>
      <x:c r="C316" s="4" t="str">
        <x:f>IFERROR(INDEX('Material routes'!$H$6:$H$1005,MATCH(U316,'Material routes'!$A$6:$A$1005,0)),"MISSING ID")</x:f>
        <x:v>Processed material</x:v>
      </x:c>
      <x:c r="D316" s="4" t="str">
        <x:f>IFERROR(INDEX('Material routes'!$G$6:$G$1005,MATCH(U316,'Material routes'!$A$6:$A$1005,0)),"MISSING ID")</x:f>
        <x:v>Resources</x:v>
      </x:c>
      <x:c r="E316" s="4" t="str">
        <x:f>IFERROR(INDEX('Material routes'!$C$6:$C$1005,MATCH(U316,'Material routes'!$A$6:$A$1005,0)),"MISSING ID")</x:f>
        <x:v>Ingredient candidate</x:v>
      </x:c>
      <x:c r="F316" s="4" t="str">
        <x:f>IFERROR(INDEX('Material routes'!$E$6:$E$1005,MATCH(V316,'Material routes'!$A$6:$A$1005,0)),"MISSING ID")</x:f>
        <x:v>Decorative canister panel</x:v>
      </x:c>
      <x:c r="G316" s="4" t="str">
        <x:f>IFERROR(INDEX('Material routes'!$F$6:$F$1005,MATCH(V316,'Material routes'!$A$6:$A$1005,0)),"MISSING ID")</x:f>
        <x:v>T3</x:v>
      </x:c>
      <x:c r="H316" s="4" t="str">
        <x:f>IFERROR(INDEX('Material routes'!$H$6:$H$1005,MATCH(V316,'Material routes'!$A$6:$A$1005,0)),"MISSING ID")</x:f>
        <x:v>Crafting component</x:v>
      </x:c>
      <x:c r="I316" s="4" t="str">
        <x:f>IFERROR(INDEX('Material routes'!$G$6:$G$1005,MATCH(V316,'Material routes'!$A$6:$A$1005,0)),"MISSING ID")</x:f>
        <x:v>Crafting components</x:v>
      </x:c>
      <x:c r="J316" s="4" t="str">
        <x:f>IFERROR(INDEX('Material routes'!$B$6:$B$1005,MATCH(U316,'Material routes'!$A$6:$A$1005,0)),"MISSING ID")</x:f>
        <x:v>design.review.proposal_canister_trim</x:v>
      </x:c>
      <x:c r="K316" s="4" t="str">
        <x:f>IFERROR(INDEX('Crafting recipes'!$C$6:$C$1005,MATCH(J316,'Crafting recipes'!$A$6:$A$1005,0)),"MISSING ID")</x:f>
        <x:v>Material refinement</x:v>
      </x:c>
      <x:c r="L316" s="4" t="str">
        <x:f>IFERROR(INDEX('Material routes'!$K$6:$K$1005,MATCH(U316,'Material routes'!$A$6:$A$1005,0)),"MISSING ID")</x:f>
        <x:v>Proposal</x:v>
      </x:c>
      <x:c r="M316" s="4" t="str">
        <x:f>IFERROR(INDEX('Material routes'!$M$6:$M$1005,MATCH(U316,'Material routes'!$A$6:$A$1005,0)),"MISSING ID")</x:f>
        <x:v>Partial proposal</x:v>
      </x:c>
      <x:c r="N316" s="4" t="str">
        <x:f>IF(IFERROR(INDEX('Material routes'!$I$6:$I$1005,MATCH(U316,'Material routes'!$A$6:$A$1005,0)),"MISSING ID")=0,"",IFERROR(INDEX('Material routes'!$I$6:$I$1005,MATCH(U316,'Material routes'!$A$6:$A$1005,0)),"MISSING ID"))</x:f>
      </x:c>
      <x:c r="O316" s="4" t="str">
        <x:f>IFERROR(INDEX('Material routes'!$J$6:$J$1005,MATCH(U316,'Material routes'!$A$6:$A$1005,0)),"MISSING ID")</x:f>
        <x:v>Unspecified</x:v>
      </x:c>
      <x:c r="P316" s="4" t="str">
        <x:f>IF(IFERROR(INDEX('Material routes'!$I$6:$I$1005,MATCH(V316,'Material routes'!$A$6:$A$1005,0)),"MISSING ID")=0,"",IFERROR(INDEX('Material routes'!$I$6:$I$1005,MATCH(V316,'Material routes'!$A$6:$A$1005,0)),"MISSING ID"))</x:f>
      </x:c>
      <x:c r="Q316" s="4" t="str">
        <x:f>IFERROR(INDEX('Material routes'!$J$6:$J$1005,MATCH(V316,'Material routes'!$A$6:$A$1005,0)),"MISSING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routes'!$D$6:$D$1005,MATCH(U316,'Material routes'!$A$6:$A$1005,0)),"MISSING ID")</x:f>
        <x:v>proposal.branch.polished_gem</x:v>
      </x:c>
      <x:c r="T316" s="4" t="str">
        <x:f>IFERROR(INDEX('Material routes'!$D$6:$D$1005,MATCH(V316,'Material routes'!$A$6:$A$1005,0)),"MISSING ID")</x:f>
        <x:v>proposal.canister.trim</x:v>
      </x:c>
      <x:c r="U316" s="4" t="str">
        <x:v>design.review.proposal_canister_trim.in.1</x:v>
      </x:c>
      <x:c r="V316" s="4" t="str">
        <x:v>design.review.proposal_canister_trim.out</x:v>
      </x:c>
    </x:row>
    <x:row r="317" ht="115" customHeight="1">
      <x:c r="A317" s="4" t="str">
        <x:f>IFERROR(INDEX('Material routes'!$E$6:$E$1005,MATCH(U317,'Material routes'!$A$6:$A$1005,0)),"MISSING ID")</x:f>
        <x:v>Steel stock</x:v>
      </x:c>
      <x:c r="B317" s="4" t="str">
        <x:f>IFERROR(INDEX('Material routes'!$F$6:$F$1005,MATCH(U317,'Material routes'!$A$6:$A$1005,0)),"MISSING ID")</x:f>
        <x:v>T2</x:v>
      </x:c>
      <x:c r="C317" s="4" t="str">
        <x:f>IFERROR(INDEX('Material routes'!$H$6:$H$1005,MATCH(U317,'Material routes'!$A$6:$A$1005,0)),"MISSING ID")</x:f>
        <x:v>Processed material</x:v>
      </x:c>
      <x:c r="D317" s="4" t="str">
        <x:f>IFERROR(INDEX('Material routes'!$G$6:$G$1005,MATCH(U317,'Material routes'!$A$6:$A$1005,0)),"MISSING ID")</x:f>
        <x:v>Resources</x:v>
      </x:c>
      <x:c r="E317" s="4" t="str">
        <x:f>IFERROR(INDEX('Material routes'!$C$6:$C$1005,MATCH(U317,'Material routes'!$A$6:$A$1005,0)),"MISSING ID")</x:f>
        <x:v>Ingredient candidate</x:v>
      </x:c>
      <x:c r="F317" s="4" t="str">
        <x:f>IFERROR(INDEX('Material routes'!$E$6:$E$1005,MATCH(V317,'Material routes'!$A$6:$A$1005,0)),"MISSING ID")</x:f>
        <x:v>Decorative canister panel</x:v>
      </x:c>
      <x:c r="G317" s="4" t="str">
        <x:f>IFERROR(INDEX('Material routes'!$F$6:$F$1005,MATCH(V317,'Material routes'!$A$6:$A$1005,0)),"MISSING ID")</x:f>
        <x:v>T3</x:v>
      </x:c>
      <x:c r="H317" s="4" t="str">
        <x:f>IFERROR(INDEX('Material routes'!$H$6:$H$1005,MATCH(V317,'Material routes'!$A$6:$A$1005,0)),"MISSING ID")</x:f>
        <x:v>Crafting component</x:v>
      </x:c>
      <x:c r="I317" s="4" t="str">
        <x:f>IFERROR(INDEX('Material routes'!$G$6:$G$1005,MATCH(V317,'Material routes'!$A$6:$A$1005,0)),"MISSING ID")</x:f>
        <x:v>Crafting components</x:v>
      </x:c>
      <x:c r="J317" s="4" t="str">
        <x:f>IFERROR(INDEX('Material routes'!$B$6:$B$1005,MATCH(U317,'Material routes'!$A$6:$A$1005,0)),"MISSING ID")</x:f>
        <x:v>design.review.proposal_canister_trim</x:v>
      </x:c>
      <x:c r="K317" s="4" t="str">
        <x:f>IFERROR(INDEX('Crafting recipes'!$C$6:$C$1005,MATCH(J317,'Crafting recipes'!$A$6:$A$1005,0)),"MISSING ID")</x:f>
        <x:v>Material refinement</x:v>
      </x:c>
      <x:c r="L317" s="4" t="str">
        <x:f>IFERROR(INDEX('Material routes'!$K$6:$K$1005,MATCH(U317,'Material routes'!$A$6:$A$1005,0)),"MISSING ID")</x:f>
        <x:v>Proposal</x:v>
      </x:c>
      <x:c r="M317" s="4" t="str">
        <x:f>IFERROR(INDEX('Material routes'!$M$6:$M$1005,MATCH(U317,'Material routes'!$A$6:$A$1005,0)),"MISSING ID")</x:f>
        <x:v>Partial proposal</x:v>
      </x:c>
      <x:c r="N317" s="4" t="str">
        <x:f>IF(IFERROR(INDEX('Material routes'!$I$6:$I$1005,MATCH(U317,'Material routes'!$A$6:$A$1005,0)),"MISSING ID")=0,"",IFERROR(INDEX('Material routes'!$I$6:$I$1005,MATCH(U317,'Material routes'!$A$6:$A$1005,0)),"MISSING ID"))</x:f>
      </x:c>
      <x:c r="O317" s="4" t="str">
        <x:f>IFERROR(INDEX('Material routes'!$J$6:$J$1005,MATCH(U317,'Material routes'!$A$6:$A$1005,0)),"MISSING ID")</x:f>
        <x:v>Unspecified</x:v>
      </x:c>
      <x:c r="P317" s="4" t="str">
        <x:f>IF(IFERROR(INDEX('Material routes'!$I$6:$I$1005,MATCH(V317,'Material routes'!$A$6:$A$1005,0)),"MISSING ID")=0,"",IFERROR(INDEX('Material routes'!$I$6:$I$1005,MATCH(V317,'Material routes'!$A$6:$A$1005,0)),"MISSING ID"))</x:f>
      </x:c>
      <x:c r="Q317" s="4" t="str">
        <x:f>IFERROR(INDEX('Material routes'!$J$6:$J$1005,MATCH(V317,'Material routes'!$A$6:$A$1005,0)),"MISSING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routes'!$D$6:$D$1005,MATCH(U317,'Material routes'!$A$6:$A$1005,0)),"MISSING ID")</x:f>
        <x:v>author.metallurgy.steel_stock</x:v>
      </x:c>
      <x:c r="T317" s="4" t="str">
        <x:f>IFERROR(INDEX('Material routes'!$D$6:$D$1005,MATCH(V317,'Material routes'!$A$6:$A$1005,0)),"MISSING ID")</x:f>
        <x:v>proposal.canister.trim</x:v>
      </x:c>
      <x:c r="U317" s="4" t="str">
        <x:v>design.review.proposal_canister_trim.in.2</x:v>
      </x:c>
      <x:c r="V317" s="4" t="str">
        <x:v>design.review.proposal_canister_trim.out</x:v>
      </x:c>
    </x:row>
    <x:row r="318" ht="115" customHeight="1">
      <x:c r="A318" s="4" t="str">
        <x:f>IFERROR(INDEX('Material routes'!$E$6:$E$1005,MATCH(U318,'Material routes'!$A$6:$A$1005,0)),"MISSING ID")</x:f>
        <x:v>Mineral pigment coating</x:v>
      </x:c>
      <x:c r="B318" s="4" t="str">
        <x:f>IFERROR(INDEX('Material routes'!$F$6:$F$1005,MATCH(U318,'Material routes'!$A$6:$A$1005,0)),"MISSING ID")</x:f>
        <x:v>T2</x:v>
      </x:c>
      <x:c r="C318" s="4" t="str">
        <x:f>IFERROR(INDEX('Material routes'!$H$6:$H$1005,MATCH(U318,'Material routes'!$A$6:$A$1005,0)),"MISSING ID")</x:f>
        <x:v>Processed material</x:v>
      </x:c>
      <x:c r="D318" s="4" t="str">
        <x:f>IFERROR(INDEX('Material routes'!$G$6:$G$1005,MATCH(U318,'Material routes'!$A$6:$A$1005,0)),"MISSING ID")</x:f>
        <x:v>Resources</x:v>
      </x:c>
      <x:c r="E318" s="4" t="str">
        <x:f>IFERROR(INDEX('Material routes'!$C$6:$C$1005,MATCH(U318,'Material routes'!$A$6:$A$1005,0)),"MISSING ID")</x:f>
        <x:v>Ingredient candidate</x:v>
      </x:c>
      <x:c r="F318" s="4" t="str">
        <x:f>IFERROR(INDEX('Material routes'!$E$6:$E$1005,MATCH(V318,'Material routes'!$A$6:$A$1005,0)),"MISSING ID")</x:f>
        <x:v>Decorative canister panel</x:v>
      </x:c>
      <x:c r="G318" s="4" t="str">
        <x:f>IFERROR(INDEX('Material routes'!$F$6:$F$1005,MATCH(V318,'Material routes'!$A$6:$A$1005,0)),"MISSING ID")</x:f>
        <x:v>T3</x:v>
      </x:c>
      <x:c r="H318" s="4" t="str">
        <x:f>IFERROR(INDEX('Material routes'!$H$6:$H$1005,MATCH(V318,'Material routes'!$A$6:$A$1005,0)),"MISSING ID")</x:f>
        <x:v>Crafting component</x:v>
      </x:c>
      <x:c r="I318" s="4" t="str">
        <x:f>IFERROR(INDEX('Material routes'!$G$6:$G$1005,MATCH(V318,'Material routes'!$A$6:$A$1005,0)),"MISSING ID")</x:f>
        <x:v>Crafting components</x:v>
      </x:c>
      <x:c r="J318" s="4" t="str">
        <x:f>IFERROR(INDEX('Material routes'!$B$6:$B$1005,MATCH(U318,'Material routes'!$A$6:$A$1005,0)),"MISSING ID")</x:f>
        <x:v>design.review.proposal_canister_trim</x:v>
      </x:c>
      <x:c r="K318" s="4" t="str">
        <x:f>IFERROR(INDEX('Crafting recipes'!$C$6:$C$1005,MATCH(J318,'Crafting recipes'!$A$6:$A$1005,0)),"MISSING ID")</x:f>
        <x:v>Material refinement</x:v>
      </x:c>
      <x:c r="L318" s="4" t="str">
        <x:f>IFERROR(INDEX('Material routes'!$K$6:$K$1005,MATCH(U318,'Material routes'!$A$6:$A$1005,0)),"MISSING ID")</x:f>
        <x:v>Proposal</x:v>
      </x:c>
      <x:c r="M318" s="4" t="str">
        <x:f>IFERROR(INDEX('Material routes'!$M$6:$M$1005,MATCH(U318,'Material routes'!$A$6:$A$1005,0)),"MISSING ID")</x:f>
        <x:v>Partial proposal</x:v>
      </x:c>
      <x:c r="N318" s="4" t="str">
        <x:f>IF(IFERROR(INDEX('Material routes'!$I$6:$I$1005,MATCH(U318,'Material routes'!$A$6:$A$1005,0)),"MISSING ID")=0,"",IFERROR(INDEX('Material routes'!$I$6:$I$1005,MATCH(U318,'Material routes'!$A$6:$A$1005,0)),"MISSING ID"))</x:f>
      </x:c>
      <x:c r="O318" s="4" t="str">
        <x:f>IFERROR(INDEX('Material routes'!$J$6:$J$1005,MATCH(U318,'Material routes'!$A$6:$A$1005,0)),"MISSING ID")</x:f>
        <x:v>Unspecified</x:v>
      </x:c>
      <x:c r="P318" s="4" t="str">
        <x:f>IF(IFERROR(INDEX('Material routes'!$I$6:$I$1005,MATCH(V318,'Material routes'!$A$6:$A$1005,0)),"MISSING ID")=0,"",IFERROR(INDEX('Material routes'!$I$6:$I$1005,MATCH(V318,'Material routes'!$A$6:$A$1005,0)),"MISSING ID"))</x:f>
      </x:c>
      <x:c r="Q318" s="4" t="str">
        <x:f>IFERROR(INDEX('Material routes'!$J$6:$J$1005,MATCH(V318,'Material routes'!$A$6:$A$1005,0)),"MISSING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routes'!$D$6:$D$1005,MATCH(U318,'Material routes'!$A$6:$A$1005,0)),"MISSING ID")</x:f>
        <x:v>proposal.branch.pigment_coating</x:v>
      </x:c>
      <x:c r="T318" s="4" t="str">
        <x:f>IFERROR(INDEX('Material routes'!$D$6:$D$1005,MATCH(V318,'Material routes'!$A$6:$A$1005,0)),"MISSING ID")</x:f>
        <x:v>proposal.canister.trim</x:v>
      </x:c>
      <x:c r="U318" s="4" t="str">
        <x:v>design.review.proposal_canister_trim.in.3</x:v>
      </x:c>
      <x:c r="V318" s="4" t="str">
        <x:v>design.review.proposal_canister_trim.out</x:v>
      </x:c>
    </x:row>
    <x:row r="319" ht="115" customHeight="1">
      <x:c r="A319" s="4" t="str">
        <x:f>IFERROR(INDEX('Material routes'!$E$6:$E$1005,MATCH(U319,'Material routes'!$A$6:$A$1005,0)),"MISSING ID")</x:f>
        <x:v>Shell laminate</x:v>
      </x:c>
      <x:c r="B319" s="4" t="str">
        <x:f>IFERROR(INDEX('Material routes'!$F$6:$F$1005,MATCH(U319,'Material routes'!$A$6:$A$1005,0)),"MISSING ID")</x:f>
        <x:v>T2</x:v>
      </x:c>
      <x:c r="C319" s="4" t="str">
        <x:f>IFERROR(INDEX('Material routes'!$H$6:$H$1005,MATCH(U319,'Material routes'!$A$6:$A$1005,0)),"MISSING ID")</x:f>
        <x:v>Crafting component</x:v>
      </x:c>
      <x:c r="D319" s="4" t="str">
        <x:f>IFERROR(INDEX('Material routes'!$G$6:$G$1005,MATCH(U319,'Material routes'!$A$6:$A$1005,0)),"MISSING ID")</x:f>
        <x:v>Crafting components</x:v>
      </x:c>
      <x:c r="E319" s="4" t="str">
        <x:f>IFERROR(INDEX('Material routes'!$C$6:$C$1005,MATCH(U319,'Material routes'!$A$6:$A$1005,0)),"MISSING ID")</x:f>
        <x:v>Ingredient candidate</x:v>
      </x:c>
      <x:c r="F319" s="4" t="str">
        <x:f>IFERROR(INDEX('Material routes'!$E$6:$E$1005,MATCH(V319,'Material routes'!$A$6:$A$1005,0)),"MISSING ID")</x:f>
        <x:v>Canister protective endcap</x:v>
      </x:c>
      <x:c r="G319" s="4" t="str">
        <x:f>IFERROR(INDEX('Material routes'!$F$6:$F$1005,MATCH(V319,'Material routes'!$A$6:$A$1005,0)),"MISSING ID")</x:f>
        <x:v>T3</x:v>
      </x:c>
      <x:c r="H319" s="4" t="str">
        <x:f>IFERROR(INDEX('Material routes'!$H$6:$H$1005,MATCH(V319,'Material routes'!$A$6:$A$1005,0)),"MISSING ID")</x:f>
        <x:v>Container part</x:v>
      </x:c>
      <x:c r="I319" s="4" t="str">
        <x:f>IFERROR(INDEX('Material routes'!$G$6:$G$1005,MATCH(V319,'Material routes'!$A$6:$A$1005,0)),"MISSING ID")</x:f>
        <x:v>Crafting components</x:v>
      </x:c>
      <x:c r="J319" s="4" t="str">
        <x:f>IFERROR(INDEX('Material routes'!$B$6:$B$1005,MATCH(U319,'Material routes'!$A$6:$A$1005,0)),"MISSING ID")</x:f>
        <x:v>design.review.proposal_canister_endcap</x:v>
      </x:c>
      <x:c r="K319" s="4" t="str">
        <x:f>IFERROR(INDEX('Crafting recipes'!$C$6:$C$1005,MATCH(J319,'Crafting recipes'!$A$6:$A$1005,0)),"MISSING ID")</x:f>
        <x:v>Material refinement</x:v>
      </x:c>
      <x:c r="L319" s="4" t="str">
        <x:f>IFERROR(INDEX('Material routes'!$K$6:$K$1005,MATCH(U319,'Material routes'!$A$6:$A$1005,0)),"MISSING ID")</x:f>
        <x:v>Proposal</x:v>
      </x:c>
      <x:c r="M319" s="4" t="str">
        <x:f>IFERROR(INDEX('Material routes'!$M$6:$M$1005,MATCH(U319,'Material routes'!$A$6:$A$1005,0)),"MISSING ID")</x:f>
        <x:v>Partial proposal</x:v>
      </x:c>
      <x:c r="N319" s="4" t="str">
        <x:f>IF(IFERROR(INDEX('Material routes'!$I$6:$I$1005,MATCH(U319,'Material routes'!$A$6:$A$1005,0)),"MISSING ID")=0,"",IFERROR(INDEX('Material routes'!$I$6:$I$1005,MATCH(U319,'Material routes'!$A$6:$A$1005,0)),"MISSING ID"))</x:f>
      </x:c>
      <x:c r="O319" s="4" t="str">
        <x:f>IFERROR(INDEX('Material routes'!$J$6:$J$1005,MATCH(U319,'Material routes'!$A$6:$A$1005,0)),"MISSING ID")</x:f>
        <x:v>Unspecified</x:v>
      </x:c>
      <x:c r="P319" s="4" t="str">
        <x:f>IF(IFERROR(INDEX('Material routes'!$I$6:$I$1005,MATCH(V319,'Material routes'!$A$6:$A$1005,0)),"MISSING ID")=0,"",IFERROR(INDEX('Material routes'!$I$6:$I$1005,MATCH(V319,'Material routes'!$A$6:$A$1005,0)),"MISSING ID"))</x:f>
      </x:c>
      <x:c r="Q319" s="4" t="str">
        <x:f>IFERROR(INDEX('Material routes'!$J$6:$J$1005,MATCH(V319,'Material routes'!$A$6:$A$1005,0)),"MISSING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routes'!$D$6:$D$1005,MATCH(U319,'Material routes'!$A$6:$A$1005,0)),"MISSING ID")</x:f>
        <x:v>proposal.bio.laminate</x:v>
      </x:c>
      <x:c r="T319" s="4" t="str">
        <x:f>IFERROR(INDEX('Material routes'!$D$6:$D$1005,MATCH(V319,'Material routes'!$A$6:$A$1005,0)),"MISSING ID")</x:f>
        <x:v>proposal.canister.endcap</x:v>
      </x:c>
      <x:c r="U319" s="4" t="str">
        <x:v>design.review.proposal_canister_endcap.in.1</x:v>
      </x:c>
      <x:c r="V319" s="4" t="str">
        <x:v>design.review.proposal_canister_endcap.out</x:v>
      </x:c>
    </x:row>
    <x:row r="320" ht="115" customHeight="1">
      <x:c r="A320" s="4" t="str">
        <x:f>IFERROR(INDEX('Material routes'!$E$6:$E$1005,MATCH(U320,'Material routes'!$A$6:$A$1005,0)),"MISSING ID")</x:f>
        <x:v>Filled shell-binding compound</x:v>
      </x:c>
      <x:c r="B320" s="4" t="str">
        <x:f>IFERROR(INDEX('Material routes'!$F$6:$F$1005,MATCH(U320,'Material routes'!$A$6:$A$1005,0)),"MISSING ID")</x:f>
        <x:v>T2</x:v>
      </x:c>
      <x:c r="C320" s="4" t="str">
        <x:f>IFERROR(INDEX('Material routes'!$H$6:$H$1005,MATCH(U320,'Material routes'!$A$6:$A$1005,0)),"MISSING ID")</x:f>
        <x:v>Chemical material</x:v>
      </x:c>
      <x:c r="D320" s="4" t="str">
        <x:f>IFERROR(INDEX('Material routes'!$G$6:$G$1005,MATCH(U320,'Material routes'!$A$6:$A$1005,0)),"MISSING ID")</x:f>
        <x:v>Resources</x:v>
      </x:c>
      <x:c r="E320" s="4" t="str">
        <x:f>IFERROR(INDEX('Material routes'!$C$6:$C$1005,MATCH(U320,'Material routes'!$A$6:$A$1005,0)),"MISSING ID")</x:f>
        <x:v>Ingredient candidate</x:v>
      </x:c>
      <x:c r="F320" s="4" t="str">
        <x:f>IFERROR(INDEX('Material routes'!$E$6:$E$1005,MATCH(V320,'Material routes'!$A$6:$A$1005,0)),"MISSING ID")</x:f>
        <x:v>Canister protective endcap</x:v>
      </x:c>
      <x:c r="G320" s="4" t="str">
        <x:f>IFERROR(INDEX('Material routes'!$F$6:$F$1005,MATCH(V320,'Material routes'!$A$6:$A$1005,0)),"MISSING ID")</x:f>
        <x:v>T3</x:v>
      </x:c>
      <x:c r="H320" s="4" t="str">
        <x:f>IFERROR(INDEX('Material routes'!$H$6:$H$1005,MATCH(V320,'Material routes'!$A$6:$A$1005,0)),"MISSING ID")</x:f>
        <x:v>Container part</x:v>
      </x:c>
      <x:c r="I320" s="4" t="str">
        <x:f>IFERROR(INDEX('Material routes'!$G$6:$G$1005,MATCH(V320,'Material routes'!$A$6:$A$1005,0)),"MISSING ID")</x:f>
        <x:v>Crafting components</x:v>
      </x:c>
      <x:c r="J320" s="4" t="str">
        <x:f>IFERROR(INDEX('Material routes'!$B$6:$B$1005,MATCH(U320,'Material routes'!$A$6:$A$1005,0)),"MISSING ID")</x:f>
        <x:v>design.review.proposal_canister_endcap</x:v>
      </x:c>
      <x:c r="K320" s="4" t="str">
        <x:f>IFERROR(INDEX('Crafting recipes'!$C$6:$C$1005,MATCH(J320,'Crafting recipes'!$A$6:$A$1005,0)),"MISSING ID")</x:f>
        <x:v>Material refinement</x:v>
      </x:c>
      <x:c r="L320" s="4" t="str">
        <x:f>IFERROR(INDEX('Material routes'!$K$6:$K$1005,MATCH(U320,'Material routes'!$A$6:$A$1005,0)),"MISSING ID")</x:f>
        <x:v>Proposal</x:v>
      </x:c>
      <x:c r="M320" s="4" t="str">
        <x:f>IFERROR(INDEX('Material routes'!$M$6:$M$1005,MATCH(U320,'Material routes'!$A$6:$A$1005,0)),"MISSING ID")</x:f>
        <x:v>Partial proposal</x:v>
      </x:c>
      <x:c r="N320" s="4" t="str">
        <x:f>IF(IFERROR(INDEX('Material routes'!$I$6:$I$1005,MATCH(U320,'Material routes'!$A$6:$A$1005,0)),"MISSING ID")=0,"",IFERROR(INDEX('Material routes'!$I$6:$I$1005,MATCH(U320,'Material routes'!$A$6:$A$1005,0)),"MISSING ID"))</x:f>
      </x:c>
      <x:c r="O320" s="4" t="str">
        <x:f>IFERROR(INDEX('Material routes'!$J$6:$J$1005,MATCH(U320,'Material routes'!$A$6:$A$1005,0)),"MISSING ID")</x:f>
        <x:v>Unspecified</x:v>
      </x:c>
      <x:c r="P320" s="4" t="str">
        <x:f>IF(IFERROR(INDEX('Material routes'!$I$6:$I$1005,MATCH(V320,'Material routes'!$A$6:$A$1005,0)),"MISSING ID")=0,"",IFERROR(INDEX('Material routes'!$I$6:$I$1005,MATCH(V320,'Material routes'!$A$6:$A$1005,0)),"MISSING ID"))</x:f>
      </x:c>
      <x:c r="Q320" s="4" t="str">
        <x:f>IFERROR(INDEX('Material routes'!$J$6:$J$1005,MATCH(V320,'Material routes'!$A$6:$A$1005,0)),"MISSING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routes'!$D$6:$D$1005,MATCH(U320,'Material routes'!$A$6:$A$1005,0)),"MISSING ID")</x:f>
        <x:v>proposal.branch.filled_binder</x:v>
      </x:c>
      <x:c r="T320" s="4" t="str">
        <x:f>IFERROR(INDEX('Material routes'!$D$6:$D$1005,MATCH(V320,'Material routes'!$A$6:$A$1005,0)),"MISSING ID")</x:f>
        <x:v>proposal.canister.endcap</x:v>
      </x:c>
      <x:c r="U320" s="4" t="str">
        <x:v>design.review.proposal_canister_endcap.in.2</x:v>
      </x:c>
      <x:c r="V320" s="4" t="str">
        <x:v>design.review.proposal_canister_endcap.out</x:v>
      </x:c>
    </x:row>
    <x:row r="321" ht="115" customHeight="1">
      <x:c r="A321" s="4" t="str">
        <x:f>IFERROR(INDEX('Material routes'!$E$6:$E$1005,MATCH(U321,'Material routes'!$A$6:$A$1005,0)),"MISSING ID")</x:f>
        <x:v>Steel stock</x:v>
      </x:c>
      <x:c r="B321" s="4" t="str">
        <x:f>IFERROR(INDEX('Material routes'!$F$6:$F$1005,MATCH(U321,'Material routes'!$A$6:$A$1005,0)),"MISSING ID")</x:f>
        <x:v>T2</x:v>
      </x:c>
      <x:c r="C321" s="4" t="str">
        <x:f>IFERROR(INDEX('Material routes'!$H$6:$H$1005,MATCH(U321,'Material routes'!$A$6:$A$1005,0)),"MISSING ID")</x:f>
        <x:v>Processed material</x:v>
      </x:c>
      <x:c r="D321" s="4" t="str">
        <x:f>IFERROR(INDEX('Material routes'!$G$6:$G$1005,MATCH(U321,'Material routes'!$A$6:$A$1005,0)),"MISSING ID")</x:f>
        <x:v>Resources</x:v>
      </x:c>
      <x:c r="E321" s="4" t="str">
        <x:f>IFERROR(INDEX('Material routes'!$C$6:$C$1005,MATCH(U321,'Material routes'!$A$6:$A$1005,0)),"MISSING ID")</x:f>
        <x:v>Ingredient candidate</x:v>
      </x:c>
      <x:c r="F321" s="4" t="str">
        <x:f>IFERROR(INDEX('Material routes'!$E$6:$E$1005,MATCH(V321,'Material routes'!$A$6:$A$1005,0)),"MISSING ID")</x:f>
        <x:v>Canister protective endcap</x:v>
      </x:c>
      <x:c r="G321" s="4" t="str">
        <x:f>IFERROR(INDEX('Material routes'!$F$6:$F$1005,MATCH(V321,'Material routes'!$A$6:$A$1005,0)),"MISSING ID")</x:f>
        <x:v>T3</x:v>
      </x:c>
      <x:c r="H321" s="4" t="str">
        <x:f>IFERROR(INDEX('Material routes'!$H$6:$H$1005,MATCH(V321,'Material routes'!$A$6:$A$1005,0)),"MISSING ID")</x:f>
        <x:v>Container part</x:v>
      </x:c>
      <x:c r="I321" s="4" t="str">
        <x:f>IFERROR(INDEX('Material routes'!$G$6:$G$1005,MATCH(V321,'Material routes'!$A$6:$A$1005,0)),"MISSING ID")</x:f>
        <x:v>Crafting components</x:v>
      </x:c>
      <x:c r="J321" s="4" t="str">
        <x:f>IFERROR(INDEX('Material routes'!$B$6:$B$1005,MATCH(U321,'Material routes'!$A$6:$A$1005,0)),"MISSING ID")</x:f>
        <x:v>design.review.proposal_canister_endcap</x:v>
      </x:c>
      <x:c r="K321" s="4" t="str">
        <x:f>IFERROR(INDEX('Crafting recipes'!$C$6:$C$1005,MATCH(J321,'Crafting recipes'!$A$6:$A$1005,0)),"MISSING ID")</x:f>
        <x:v>Material refinement</x:v>
      </x:c>
      <x:c r="L321" s="4" t="str">
        <x:f>IFERROR(INDEX('Material routes'!$K$6:$K$1005,MATCH(U321,'Material routes'!$A$6:$A$1005,0)),"MISSING ID")</x:f>
        <x:v>Proposal</x:v>
      </x:c>
      <x:c r="M321" s="4" t="str">
        <x:f>IFERROR(INDEX('Material routes'!$M$6:$M$1005,MATCH(U321,'Material routes'!$A$6:$A$1005,0)),"MISSING ID")</x:f>
        <x:v>Partial proposal</x:v>
      </x:c>
      <x:c r="N321" s="4" t="str">
        <x:f>IF(IFERROR(INDEX('Material routes'!$I$6:$I$1005,MATCH(U321,'Material routes'!$A$6:$A$1005,0)),"MISSING ID")=0,"",IFERROR(INDEX('Material routes'!$I$6:$I$1005,MATCH(U321,'Material routes'!$A$6:$A$1005,0)),"MISSING ID"))</x:f>
      </x:c>
      <x:c r="O321" s="4" t="str">
        <x:f>IFERROR(INDEX('Material routes'!$J$6:$J$1005,MATCH(U321,'Material routes'!$A$6:$A$1005,0)),"MISSING ID")</x:f>
        <x:v>Unspecified</x:v>
      </x:c>
      <x:c r="P321" s="4" t="str">
        <x:f>IF(IFERROR(INDEX('Material routes'!$I$6:$I$1005,MATCH(V321,'Material routes'!$A$6:$A$1005,0)),"MISSING ID")=0,"",IFERROR(INDEX('Material routes'!$I$6:$I$1005,MATCH(V321,'Material routes'!$A$6:$A$1005,0)),"MISSING ID"))</x:f>
      </x:c>
      <x:c r="Q321" s="4" t="str">
        <x:f>IFERROR(INDEX('Material routes'!$J$6:$J$1005,MATCH(V321,'Material routes'!$A$6:$A$1005,0)),"MISSING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routes'!$D$6:$D$1005,MATCH(U321,'Material routes'!$A$6:$A$1005,0)),"MISSING ID")</x:f>
        <x:v>author.metallurgy.steel_stock</x:v>
      </x:c>
      <x:c r="T321" s="4" t="str">
        <x:f>IFERROR(INDEX('Material routes'!$D$6:$D$1005,MATCH(V321,'Material routes'!$A$6:$A$1005,0)),"MISSING ID")</x:f>
        <x:v>proposal.canister.endcap</x:v>
      </x:c>
      <x:c r="U321" s="4" t="str">
        <x:v>design.review.proposal_canister_endcap.in.3</x:v>
      </x:c>
      <x:c r="V321" s="4" t="str">
        <x:v>design.review.proposal_canister_endcap.out</x:v>
      </x:c>
    </x:row>
    <x:row r="322" ht="115" customHeight="1">
      <x:c r="A322" s="4" t="str">
        <x:f>IFERROR(INDEX('Material routes'!$E$6:$E$1005,MATCH(U322,'Material routes'!$A$6:$A$1005,0)),"MISSING ID")</x:f>
        <x:v>Prepared ceramic body feed</x:v>
      </x:c>
      <x:c r="B322" s="4" t="str">
        <x:f>IFERROR(INDEX('Material routes'!$F$6:$F$1005,MATCH(U322,'Material routes'!$A$6:$A$1005,0)),"MISSING ID")</x:f>
        <x:v>T1</x:v>
      </x:c>
      <x:c r="C322" s="4" t="str">
        <x:f>IFERROR(INDEX('Material routes'!$H$6:$H$1005,MATCH(U322,'Material routes'!$A$6:$A$1005,0)),"MISSING ID")</x:f>
        <x:v>Processed material</x:v>
      </x:c>
      <x:c r="D322" s="4" t="str">
        <x:f>IFERROR(INDEX('Material routes'!$G$6:$G$1005,MATCH(U322,'Material routes'!$A$6:$A$1005,0)),"MISSING ID")</x:f>
        <x:v>Resources</x:v>
      </x:c>
      <x:c r="E322" s="4" t="str">
        <x:f>IFERROR(INDEX('Material routes'!$C$6:$C$1005,MATCH(U322,'Material routes'!$A$6:$A$1005,0)),"MISSING ID")</x:f>
        <x:v>Ingredient candidate</x:v>
      </x:c>
      <x:c r="F322" s="4" t="str">
        <x:f>IFERROR(INDEX('Material routes'!$E$6:$E$1005,MATCH(V322,'Material routes'!$A$6:$A$1005,0)),"MISSING ID")</x:f>
        <x:v>Unfired shaped ceramic blank</x:v>
      </x:c>
      <x:c r="G322" s="4" t="str">
        <x:f>IFERROR(INDEX('Material routes'!$F$6:$F$1005,MATCH(V322,'Material routes'!$A$6:$A$1005,0)),"MISSING ID")</x:f>
        <x:v>T2</x:v>
      </x:c>
      <x:c r="H322" s="4" t="str">
        <x:f>IFERROR(INDEX('Material routes'!$H$6:$H$1005,MATCH(V322,'Material routes'!$A$6:$A$1005,0)),"MISSING ID")</x:f>
        <x:v>Crafting component</x:v>
      </x:c>
      <x:c r="I322" s="4" t="str">
        <x:f>IFERROR(INDEX('Material routes'!$G$6:$G$1005,MATCH(V322,'Material routes'!$A$6:$A$1005,0)),"MISSING ID")</x:f>
        <x:v>Crafting components</x:v>
      </x:c>
      <x:c r="J322" s="4" t="str">
        <x:f>IFERROR(INDEX('Material routes'!$B$6:$B$1005,MATCH(U322,'Material routes'!$A$6:$A$1005,0)),"MISSING ID")</x:f>
        <x:v>design.review.proposal_ceramic_unfired_blank</x:v>
      </x:c>
      <x:c r="K322" s="4" t="str">
        <x:f>IFERROR(INDEX('Crafting recipes'!$C$6:$C$1005,MATCH(J322,'Crafting recipes'!$A$6:$A$1005,0)),"MISSING ID")</x:f>
        <x:v>Material refinement</x:v>
      </x:c>
      <x:c r="L322" s="4" t="str">
        <x:f>IFERROR(INDEX('Material routes'!$K$6:$K$1005,MATCH(U322,'Material routes'!$A$6:$A$1005,0)),"MISSING ID")</x:f>
        <x:v>Proposal</x:v>
      </x:c>
      <x:c r="M322" s="4" t="str">
        <x:f>IFERROR(INDEX('Material routes'!$M$6:$M$1005,MATCH(U322,'Material routes'!$A$6:$A$1005,0)),"MISSING ID")</x:f>
        <x:v>Partial proposal</x:v>
      </x:c>
      <x:c r="N322" s="4" t="str">
        <x:f>IF(IFERROR(INDEX('Material routes'!$I$6:$I$1005,MATCH(U322,'Material routes'!$A$6:$A$1005,0)),"MISSING ID")=0,"",IFERROR(INDEX('Material routes'!$I$6:$I$1005,MATCH(U322,'Material routes'!$A$6:$A$1005,0)),"MISSING ID"))</x:f>
      </x:c>
      <x:c r="O322" s="4" t="str">
        <x:f>IFERROR(INDEX('Material routes'!$J$6:$J$1005,MATCH(U322,'Material routes'!$A$6:$A$1005,0)),"MISSING ID")</x:f>
        <x:v>Unspecified</x:v>
      </x:c>
      <x:c r="P322" s="4" t="str">
        <x:f>IF(IFERROR(INDEX('Material routes'!$I$6:$I$1005,MATCH(V322,'Material routes'!$A$6:$A$1005,0)),"MISSING ID")=0,"",IFERROR(INDEX('Material routes'!$I$6:$I$1005,MATCH(V322,'Material routes'!$A$6:$A$1005,0)),"MISSING ID"))</x:f>
      </x:c>
      <x:c r="Q322" s="4" t="str">
        <x:f>IFERROR(INDEX('Material routes'!$J$6:$J$1005,MATCH(V322,'Material routes'!$A$6:$A$1005,0)),"MISSING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routes'!$D$6:$D$1005,MATCH(U322,'Material routes'!$A$6:$A$1005,0)),"MISSING ID")</x:f>
        <x:v>proposal.ceramic.body_feed</x:v>
      </x:c>
      <x:c r="T322" s="4" t="str">
        <x:f>IFERROR(INDEX('Material routes'!$D$6:$D$1005,MATCH(V322,'Material routes'!$A$6:$A$1005,0)),"MISSING ID")</x:f>
        <x:v>proposal.ceramic.unfired_blank</x:v>
      </x:c>
      <x:c r="U322" s="4" t="str">
        <x:v>design.review.proposal_ceramic_unfired_blank.in.1</x:v>
      </x:c>
      <x:c r="V322" s="4" t="str">
        <x:v>design.review.proposal_ceramic_unfired_blank.out</x:v>
      </x:c>
    </x:row>
    <x:row r="323" ht="115" customHeight="1">
      <x:c r="A323" s="4" t="str">
        <x:f>IFERROR(INDEX('Material routes'!$E$6:$E$1005,MATCH(U323,'Material routes'!$A$6:$A$1005,0)),"MISSING ID")</x:f>
        <x:v>Selected faunal carrier fraction</x:v>
      </x:c>
      <x:c r="B323" s="4" t="str">
        <x:f>IFERROR(INDEX('Material routes'!$F$6:$F$1005,MATCH(U323,'Material routes'!$A$6:$A$1005,0)),"MISSING ID")</x:f>
        <x:v>T1</x:v>
      </x:c>
      <x:c r="C323" s="4" t="str">
        <x:f>IFERROR(INDEX('Material routes'!$H$6:$H$1005,MATCH(U323,'Material routes'!$A$6:$A$1005,0)),"MISSING ID")</x:f>
        <x:v>Chemical material</x:v>
      </x:c>
      <x:c r="D323" s="4" t="str">
        <x:f>IFERROR(INDEX('Material routes'!$G$6:$G$1005,MATCH(U323,'Material routes'!$A$6:$A$1005,0)),"MISSING ID")</x:f>
        <x:v>Resources</x:v>
      </x:c>
      <x:c r="E323" s="4" t="str">
        <x:f>IFERROR(INDEX('Material routes'!$C$6:$C$1005,MATCH(U323,'Material routes'!$A$6:$A$1005,0)),"MISSING ID")</x:f>
        <x:v>Ingredient candidate</x:v>
      </x:c>
      <x:c r="F323" s="4" t="str">
        <x:f>IFERROR(INDEX('Material routes'!$E$6:$E$1005,MATCH(V323,'Material routes'!$A$6:$A$1005,0)),"MISSING ID")</x:f>
        <x:v>Unfired shaped ceramic blank</x:v>
      </x:c>
      <x:c r="G323" s="4" t="str">
        <x:f>IFERROR(INDEX('Material routes'!$F$6:$F$1005,MATCH(V323,'Material routes'!$A$6:$A$1005,0)),"MISSING ID")</x:f>
        <x:v>T2</x:v>
      </x:c>
      <x:c r="H323" s="4" t="str">
        <x:f>IFERROR(INDEX('Material routes'!$H$6:$H$1005,MATCH(V323,'Material routes'!$A$6:$A$1005,0)),"MISSING ID")</x:f>
        <x:v>Crafting component</x:v>
      </x:c>
      <x:c r="I323" s="4" t="str">
        <x:f>IFERROR(INDEX('Material routes'!$G$6:$G$1005,MATCH(V323,'Material routes'!$A$6:$A$1005,0)),"MISSING ID")</x:f>
        <x:v>Crafting components</x:v>
      </x:c>
      <x:c r="J323" s="4" t="str">
        <x:f>IFERROR(INDEX('Material routes'!$B$6:$B$1005,MATCH(U323,'Material routes'!$A$6:$A$1005,0)),"MISSING ID")</x:f>
        <x:v>design.review.proposal_ceramic_unfired_blank</x:v>
      </x:c>
      <x:c r="K323" s="4" t="str">
        <x:f>IFERROR(INDEX('Crafting recipes'!$C$6:$C$1005,MATCH(J323,'Crafting recipes'!$A$6:$A$1005,0)),"MISSING ID")</x:f>
        <x:v>Material refinement</x:v>
      </x:c>
      <x:c r="L323" s="4" t="str">
        <x:f>IFERROR(INDEX('Material routes'!$K$6:$K$1005,MATCH(U323,'Material routes'!$A$6:$A$1005,0)),"MISSING ID")</x:f>
        <x:v>Proposal</x:v>
      </x:c>
      <x:c r="M323" s="4" t="str">
        <x:f>IFERROR(INDEX('Material routes'!$M$6:$M$1005,MATCH(U323,'Material routes'!$A$6:$A$1005,0)),"MISSING ID")</x:f>
        <x:v>Partial proposal</x:v>
      </x:c>
      <x:c r="N323" s="4" t="str">
        <x:f>IF(IFERROR(INDEX('Material routes'!$I$6:$I$1005,MATCH(U323,'Material routes'!$A$6:$A$1005,0)),"MISSING ID")=0,"",IFERROR(INDEX('Material routes'!$I$6:$I$1005,MATCH(U323,'Material routes'!$A$6:$A$1005,0)),"MISSING ID"))</x:f>
      </x:c>
      <x:c r="O323" s="4" t="str">
        <x:f>IFERROR(INDEX('Material routes'!$J$6:$J$1005,MATCH(U323,'Material routes'!$A$6:$A$1005,0)),"MISSING ID")</x:f>
        <x:v>Unspecified</x:v>
      </x:c>
      <x:c r="P323" s="4" t="str">
        <x:f>IF(IFERROR(INDEX('Material routes'!$I$6:$I$1005,MATCH(V323,'Material routes'!$A$6:$A$1005,0)),"MISSING ID")=0,"",IFERROR(INDEX('Material routes'!$I$6:$I$1005,MATCH(V323,'Material routes'!$A$6:$A$1005,0)),"MISSING ID"))</x:f>
      </x:c>
      <x:c r="Q323" s="4" t="str">
        <x:f>IFERROR(INDEX('Material routes'!$J$6:$J$1005,MATCH(V323,'Material routes'!$A$6:$A$1005,0)),"MISSING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routes'!$D$6:$D$1005,MATCH(U323,'Material routes'!$A$6:$A$1005,0)),"MISSING ID")</x:f>
        <x:v>proposal.t1.faunal_carrier</x:v>
      </x:c>
      <x:c r="T323" s="4" t="str">
        <x:f>IFERROR(INDEX('Material routes'!$D$6:$D$1005,MATCH(V323,'Material routes'!$A$6:$A$1005,0)),"MISSING ID")</x:f>
        <x:v>proposal.ceramic.unfired_blank</x:v>
      </x:c>
      <x:c r="U323" s="4" t="str">
        <x:v>design.review.proposal_ceramic_unfired_blank.in.2</x:v>
      </x:c>
      <x:c r="V323" s="4" t="str">
        <x:v>design.review.proposal_ceramic_unfired_blank.out</x:v>
      </x:c>
    </x:row>
    <x:row r="324" ht="115" customHeight="1">
      <x:c r="A324" s="4" t="str">
        <x:f>IFERROR(INDEX('Material routes'!$E$6:$E$1005,MATCH(U324,'Material routes'!$A$6:$A$1005,0)),"MISSING ID")</x:f>
        <x:v>Refractory ceramic stock</x:v>
      </x:c>
      <x:c r="B324" s="4" t="str">
        <x:f>IFERROR(INDEX('Material routes'!$F$6:$F$1005,MATCH(U324,'Material routes'!$A$6:$A$1005,0)),"MISSING ID")</x:f>
        <x:v>T2</x:v>
      </x:c>
      <x:c r="C324" s="4" t="str">
        <x:f>IFERROR(INDEX('Material routes'!$H$6:$H$1005,MATCH(U324,'Material routes'!$A$6:$A$1005,0)),"MISSING ID")</x:f>
        <x:v>Processed material</x:v>
      </x:c>
      <x:c r="D324" s="4" t="str">
        <x:f>IFERROR(INDEX('Material routes'!$G$6:$G$1005,MATCH(U324,'Material routes'!$A$6:$A$1005,0)),"MISSING ID")</x:f>
        <x:v>Resources</x:v>
      </x:c>
      <x:c r="E324" s="4" t="str">
        <x:f>IFERROR(INDEX('Material routes'!$C$6:$C$1005,MATCH(U324,'Material routes'!$A$6:$A$1005,0)),"MISSING ID")</x:f>
        <x:v>Ingredient candidate</x:v>
      </x:c>
      <x:c r="F324" s="4" t="str">
        <x:f>IFERROR(INDEX('Material routes'!$E$6:$E$1005,MATCH(V324,'Material routes'!$A$6:$A$1005,0)),"MISSING ID")</x:f>
        <x:v>Refractory ceramic brick</x:v>
      </x:c>
      <x:c r="G324" s="4" t="str">
        <x:f>IFERROR(INDEX('Material routes'!$F$6:$F$1005,MATCH(V324,'Material routes'!$A$6:$A$1005,0)),"MISSING ID")</x:f>
        <x:v>T3</x:v>
      </x:c>
      <x:c r="H324" s="4" t="str">
        <x:f>IFERROR(INDEX('Material routes'!$H$6:$H$1005,MATCH(V324,'Material routes'!$A$6:$A$1005,0)),"MISSING ID")</x:f>
        <x:v>Crafting component</x:v>
      </x:c>
      <x:c r="I324" s="4" t="str">
        <x:f>IFERROR(INDEX('Material routes'!$G$6:$G$1005,MATCH(V324,'Material routes'!$A$6:$A$1005,0)),"MISSING ID")</x:f>
        <x:v>Crafting components</x:v>
      </x:c>
      <x:c r="J324" s="4" t="str">
        <x:f>IFERROR(INDEX('Material routes'!$B$6:$B$1005,MATCH(U324,'Material routes'!$A$6:$A$1005,0)),"MISSING ID")</x:f>
        <x:v>design.review.proposal_ceramic_refractory_brick</x:v>
      </x:c>
      <x:c r="K324" s="4" t="str">
        <x:f>IFERROR(INDEX('Crafting recipes'!$C$6:$C$1005,MATCH(J324,'Crafting recipes'!$A$6:$A$1005,0)),"MISSING ID")</x:f>
        <x:v>Material refinement</x:v>
      </x:c>
      <x:c r="L324" s="4" t="str">
        <x:f>IFERROR(INDEX('Material routes'!$K$6:$K$1005,MATCH(U324,'Material routes'!$A$6:$A$1005,0)),"MISSING ID")</x:f>
        <x:v>Proposal</x:v>
      </x:c>
      <x:c r="M324" s="4" t="str">
        <x:f>IFERROR(INDEX('Material routes'!$M$6:$M$1005,MATCH(U324,'Material routes'!$A$6:$A$1005,0)),"MISSING ID")</x:f>
        <x:v>Partial proposal</x:v>
      </x:c>
      <x:c r="N324" s="4" t="str">
        <x:f>IF(IFERROR(INDEX('Material routes'!$I$6:$I$1005,MATCH(U324,'Material routes'!$A$6:$A$1005,0)),"MISSING ID")=0,"",IFERROR(INDEX('Material routes'!$I$6:$I$1005,MATCH(U324,'Material routes'!$A$6:$A$1005,0)),"MISSING ID"))</x:f>
      </x:c>
      <x:c r="O324" s="4" t="str">
        <x:f>IFERROR(INDEX('Material routes'!$J$6:$J$1005,MATCH(U324,'Material routes'!$A$6:$A$1005,0)),"MISSING ID")</x:f>
        <x:v>Unspecified</x:v>
      </x:c>
      <x:c r="P324" s="4" t="str">
        <x:f>IF(IFERROR(INDEX('Material routes'!$I$6:$I$1005,MATCH(V324,'Material routes'!$A$6:$A$1005,0)),"MISSING ID")=0,"",IFERROR(INDEX('Material routes'!$I$6:$I$1005,MATCH(V324,'Material routes'!$A$6:$A$1005,0)),"MISSING ID"))</x:f>
      </x:c>
      <x:c r="Q324" s="4" t="str">
        <x:f>IFERROR(INDEX('Material routes'!$J$6:$J$1005,MATCH(V324,'Material routes'!$A$6:$A$1005,0)),"MISSING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routes'!$D$6:$D$1005,MATCH(U324,'Material routes'!$A$6:$A$1005,0)),"MISSING ID")</x:f>
        <x:v>proposal.branch.refractory_ceramic</x:v>
      </x:c>
      <x:c r="T324" s="4" t="str">
        <x:f>IFERROR(INDEX('Material routes'!$D$6:$D$1005,MATCH(V324,'Material routes'!$A$6:$A$1005,0)),"MISSING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routes'!$E$6:$E$1005,MATCH(U325,'Material routes'!$A$6:$A$1005,0)),"MISSING ID")</x:f>
        <x:v>Graded abrasive grit</x:v>
      </x:c>
      <x:c r="B325" s="4" t="str">
        <x:f>IFERROR(INDEX('Material routes'!$F$6:$F$1005,MATCH(U325,'Material routes'!$A$6:$A$1005,0)),"MISSING ID")</x:f>
        <x:v>T1</x:v>
      </x:c>
      <x:c r="C325" s="4" t="str">
        <x:f>IFERROR(INDEX('Material routes'!$H$6:$H$1005,MATCH(U325,'Material routes'!$A$6:$A$1005,0)),"MISSING ID")</x:f>
        <x:v>Processed material</x:v>
      </x:c>
      <x:c r="D325" s="4" t="str">
        <x:f>IFERROR(INDEX('Material routes'!$G$6:$G$1005,MATCH(U325,'Material routes'!$A$6:$A$1005,0)),"MISSING ID")</x:f>
        <x:v>Resources</x:v>
      </x:c>
      <x:c r="E325" s="4" t="str">
        <x:f>IFERROR(INDEX('Material routes'!$C$6:$C$1005,MATCH(U325,'Material routes'!$A$6:$A$1005,0)),"MISSING ID")</x:f>
        <x:v>Ingredient candidate</x:v>
      </x:c>
      <x:c r="F325" s="4" t="str">
        <x:f>IFERROR(INDEX('Material routes'!$E$6:$E$1005,MATCH(V325,'Material routes'!$A$6:$A$1005,0)),"MISSING ID")</x:f>
        <x:v>Refractory ceramic brick</x:v>
      </x:c>
      <x:c r="G325" s="4" t="str">
        <x:f>IFERROR(INDEX('Material routes'!$F$6:$F$1005,MATCH(V325,'Material routes'!$A$6:$A$1005,0)),"MISSING ID")</x:f>
        <x:v>T3</x:v>
      </x:c>
      <x:c r="H325" s="4" t="str">
        <x:f>IFERROR(INDEX('Material routes'!$H$6:$H$1005,MATCH(V325,'Material routes'!$A$6:$A$1005,0)),"MISSING ID")</x:f>
        <x:v>Crafting component</x:v>
      </x:c>
      <x:c r="I325" s="4" t="str">
        <x:f>IFERROR(INDEX('Material routes'!$G$6:$G$1005,MATCH(V325,'Material routes'!$A$6:$A$1005,0)),"MISSING ID")</x:f>
        <x:v>Crafting components</x:v>
      </x:c>
      <x:c r="J325" s="4" t="str">
        <x:f>IFERROR(INDEX('Material routes'!$B$6:$B$1005,MATCH(U325,'Material routes'!$A$6:$A$1005,0)),"MISSING ID")</x:f>
        <x:v>design.review.proposal_ceramic_refractory_brick</x:v>
      </x:c>
      <x:c r="K325" s="4" t="str">
        <x:f>IFERROR(INDEX('Crafting recipes'!$C$6:$C$1005,MATCH(J325,'Crafting recipes'!$A$6:$A$1005,0)),"MISSING ID")</x:f>
        <x:v>Material refinement</x:v>
      </x:c>
      <x:c r="L325" s="4" t="str">
        <x:f>IFERROR(INDEX('Material routes'!$K$6:$K$1005,MATCH(U325,'Material routes'!$A$6:$A$1005,0)),"MISSING ID")</x:f>
        <x:v>Proposal</x:v>
      </x:c>
      <x:c r="M325" s="4" t="str">
        <x:f>IFERROR(INDEX('Material routes'!$M$6:$M$1005,MATCH(U325,'Material routes'!$A$6:$A$1005,0)),"MISSING ID")</x:f>
        <x:v>Partial proposal</x:v>
      </x:c>
      <x:c r="N325" s="4" t="str">
        <x:f>IF(IFERROR(INDEX('Material routes'!$I$6:$I$1005,MATCH(U325,'Material routes'!$A$6:$A$1005,0)),"MISSING ID")=0,"",IFERROR(INDEX('Material routes'!$I$6:$I$1005,MATCH(U325,'Material routes'!$A$6:$A$1005,0)),"MISSING ID"))</x:f>
      </x:c>
      <x:c r="O325" s="4" t="str">
        <x:f>IFERROR(INDEX('Material routes'!$J$6:$J$1005,MATCH(U325,'Material routes'!$A$6:$A$1005,0)),"MISSING ID")</x:f>
        <x:v>Unspecified</x:v>
      </x:c>
      <x:c r="P325" s="4" t="str">
        <x:f>IF(IFERROR(INDEX('Material routes'!$I$6:$I$1005,MATCH(V325,'Material routes'!$A$6:$A$1005,0)),"MISSING ID")=0,"",IFERROR(INDEX('Material routes'!$I$6:$I$1005,MATCH(V325,'Material routes'!$A$6:$A$1005,0)),"MISSING ID"))</x:f>
      </x:c>
      <x:c r="Q325" s="4" t="str">
        <x:f>IFERROR(INDEX('Material routes'!$J$6:$J$1005,MATCH(V325,'Material routes'!$A$6:$A$1005,0)),"MISSING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routes'!$D$6:$D$1005,MATCH(U325,'Material routes'!$A$6:$A$1005,0)),"MISSING ID")</x:f>
        <x:v>proposal.natural.abrasive</x:v>
      </x:c>
      <x:c r="T325" s="4" t="str">
        <x:f>IFERROR(INDEX('Material routes'!$D$6:$D$1005,MATCH(V325,'Material routes'!$A$6:$A$1005,0)),"MISSING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routes'!$E$6:$E$1005,MATCH(U326,'Material routes'!$A$6:$A$1005,0)),"MISSING ID")</x:f>
        <x:v>Refractory ceramic stock</x:v>
      </x:c>
      <x:c r="B326" s="4" t="str">
        <x:f>IFERROR(INDEX('Material routes'!$F$6:$F$1005,MATCH(U326,'Material routes'!$A$6:$A$1005,0)),"MISSING ID")</x:f>
        <x:v>T2</x:v>
      </x:c>
      <x:c r="C326" s="4" t="str">
        <x:f>IFERROR(INDEX('Material routes'!$H$6:$H$1005,MATCH(U326,'Material routes'!$A$6:$A$1005,0)),"MISSING ID")</x:f>
        <x:v>Processed material</x:v>
      </x:c>
      <x:c r="D326" s="4" t="str">
        <x:f>IFERROR(INDEX('Material routes'!$G$6:$G$1005,MATCH(U326,'Material routes'!$A$6:$A$1005,0)),"MISSING ID")</x:f>
        <x:v>Resources</x:v>
      </x:c>
      <x:c r="E326" s="4" t="str">
        <x:f>IFERROR(INDEX('Material routes'!$C$6:$C$1005,MATCH(U326,'Material routes'!$A$6:$A$1005,0)),"MISSING ID")</x:f>
        <x:v>Ingredient candidate</x:v>
      </x:c>
      <x:c r="F326" s="4" t="str">
        <x:f>IFERROR(INDEX('Material routes'!$E$6:$E$1005,MATCH(V326,'Material routes'!$A$6:$A$1005,0)),"MISSING ID")</x:f>
        <x:v>Ceramic kiln lining panel</x:v>
      </x:c>
      <x:c r="G326" s="4" t="str">
        <x:f>IFERROR(INDEX('Material routes'!$F$6:$F$1005,MATCH(V326,'Material routes'!$A$6:$A$1005,0)),"MISSING ID")</x:f>
        <x:v>T3</x:v>
      </x:c>
      <x:c r="H326" s="4" t="str">
        <x:f>IFERROR(INDEX('Material routes'!$H$6:$H$1005,MATCH(V326,'Material routes'!$A$6:$A$1005,0)),"MISSING ID")</x:f>
        <x:v>Crafting component</x:v>
      </x:c>
      <x:c r="I326" s="4" t="str">
        <x:f>IFERROR(INDEX('Material routes'!$G$6:$G$1005,MATCH(V326,'Material routes'!$A$6:$A$1005,0)),"MISSING ID")</x:f>
        <x:v>Crafting components</x:v>
      </x:c>
      <x:c r="J326" s="4" t="str">
        <x:f>IFERROR(INDEX('Material routes'!$B$6:$B$1005,MATCH(U326,'Material routes'!$A$6:$A$1005,0)),"MISSING ID")</x:f>
        <x:v>design.review.proposal_ceramic_kiln_liner</x:v>
      </x:c>
      <x:c r="K326" s="4" t="str">
        <x:f>IFERROR(INDEX('Crafting recipes'!$C$6:$C$1005,MATCH(J326,'Crafting recipes'!$A$6:$A$1005,0)),"MISSING ID")</x:f>
        <x:v>Material refinement</x:v>
      </x:c>
      <x:c r="L326" s="4" t="str">
        <x:f>IFERROR(INDEX('Material routes'!$K$6:$K$1005,MATCH(U326,'Material routes'!$A$6:$A$1005,0)),"MISSING ID")</x:f>
        <x:v>Proposal</x:v>
      </x:c>
      <x:c r="M326" s="4" t="str">
        <x:f>IFERROR(INDEX('Material routes'!$M$6:$M$1005,MATCH(U326,'Material routes'!$A$6:$A$1005,0)),"MISSING ID")</x:f>
        <x:v>Partial proposal</x:v>
      </x:c>
      <x:c r="N326" s="4" t="str">
        <x:f>IF(IFERROR(INDEX('Material routes'!$I$6:$I$1005,MATCH(U326,'Material routes'!$A$6:$A$1005,0)),"MISSING ID")=0,"",IFERROR(INDEX('Material routes'!$I$6:$I$1005,MATCH(U326,'Material routes'!$A$6:$A$1005,0)),"MISSING ID"))</x:f>
      </x:c>
      <x:c r="O326" s="4" t="str">
        <x:f>IFERROR(INDEX('Material routes'!$J$6:$J$1005,MATCH(U326,'Material routes'!$A$6:$A$1005,0)),"MISSING ID")</x:f>
        <x:v>Unspecified</x:v>
      </x:c>
      <x:c r="P326" s="4" t="str">
        <x:f>IF(IFERROR(INDEX('Material routes'!$I$6:$I$1005,MATCH(V326,'Material routes'!$A$6:$A$1005,0)),"MISSING ID")=0,"",IFERROR(INDEX('Material routes'!$I$6:$I$1005,MATCH(V326,'Material routes'!$A$6:$A$1005,0)),"MISSING ID"))</x:f>
      </x:c>
      <x:c r="Q326" s="4" t="str">
        <x:f>IFERROR(INDEX('Material routes'!$J$6:$J$1005,MATCH(V326,'Material routes'!$A$6:$A$1005,0)),"MISSING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routes'!$D$6:$D$1005,MATCH(U326,'Material routes'!$A$6:$A$1005,0)),"MISSING ID")</x:f>
        <x:v>proposal.branch.refractory_ceramic</x:v>
      </x:c>
      <x:c r="T326" s="4" t="str">
        <x:f>IFERROR(INDEX('Material routes'!$D$6:$D$1005,MATCH(V326,'Material routes'!$A$6:$A$1005,0)),"MISSING ID")</x:f>
        <x:v>proposal.ceramic.kiln_liner</x:v>
      </x:c>
      <x:c r="U326" s="4" t="str">
        <x:v>design.review.proposal_ceramic_kiln_liner.in.1</x:v>
      </x:c>
      <x:c r="V326" s="4" t="str">
        <x:v>design.review.proposal_ceramic_kiln_liner.out</x:v>
      </x:c>
    </x:row>
    <x:row r="327" ht="115" customHeight="1">
      <x:c r="A327" s="4" t="str">
        <x:f>IFERROR(INDEX('Material routes'!$E$6:$E$1005,MATCH(U327,'Material routes'!$A$6:$A$1005,0)),"MISSING ID")</x:f>
        <x:v>Graded abrasive grit</x:v>
      </x:c>
      <x:c r="B327" s="4" t="str">
        <x:f>IFERROR(INDEX('Material routes'!$F$6:$F$1005,MATCH(U327,'Material routes'!$A$6:$A$1005,0)),"MISSING ID")</x:f>
        <x:v>T1</x:v>
      </x:c>
      <x:c r="C327" s="4" t="str">
        <x:f>IFERROR(INDEX('Material routes'!$H$6:$H$1005,MATCH(U327,'Material routes'!$A$6:$A$1005,0)),"MISSING ID")</x:f>
        <x:v>Processed material</x:v>
      </x:c>
      <x:c r="D327" s="4" t="str">
        <x:f>IFERROR(INDEX('Material routes'!$G$6:$G$1005,MATCH(U327,'Material routes'!$A$6:$A$1005,0)),"MISSING ID")</x:f>
        <x:v>Resources</x:v>
      </x:c>
      <x:c r="E327" s="4" t="str">
        <x:f>IFERROR(INDEX('Material routes'!$C$6:$C$1005,MATCH(U327,'Material routes'!$A$6:$A$1005,0)),"MISSING ID")</x:f>
        <x:v>Ingredient candidate</x:v>
      </x:c>
      <x:c r="F327" s="4" t="str">
        <x:f>IFERROR(INDEX('Material routes'!$E$6:$E$1005,MATCH(V327,'Material routes'!$A$6:$A$1005,0)),"MISSING ID")</x:f>
        <x:v>Ceramic kiln lining panel</x:v>
      </x:c>
      <x:c r="G327" s="4" t="str">
        <x:f>IFERROR(INDEX('Material routes'!$F$6:$F$1005,MATCH(V327,'Material routes'!$A$6:$A$1005,0)),"MISSING ID")</x:f>
        <x:v>T3</x:v>
      </x:c>
      <x:c r="H327" s="4" t="str">
        <x:f>IFERROR(INDEX('Material routes'!$H$6:$H$1005,MATCH(V327,'Material routes'!$A$6:$A$1005,0)),"MISSING ID")</x:f>
        <x:v>Crafting component</x:v>
      </x:c>
      <x:c r="I327" s="4" t="str">
        <x:f>IFERROR(INDEX('Material routes'!$G$6:$G$1005,MATCH(V327,'Material routes'!$A$6:$A$1005,0)),"MISSING ID")</x:f>
        <x:v>Crafting components</x:v>
      </x:c>
      <x:c r="J327" s="4" t="str">
        <x:f>IFERROR(INDEX('Material routes'!$B$6:$B$1005,MATCH(U327,'Material routes'!$A$6:$A$1005,0)),"MISSING ID")</x:f>
        <x:v>design.review.proposal_ceramic_kiln_liner</x:v>
      </x:c>
      <x:c r="K327" s="4" t="str">
        <x:f>IFERROR(INDEX('Crafting recipes'!$C$6:$C$1005,MATCH(J327,'Crafting recipes'!$A$6:$A$1005,0)),"MISSING ID")</x:f>
        <x:v>Material refinement</x:v>
      </x:c>
      <x:c r="L327" s="4" t="str">
        <x:f>IFERROR(INDEX('Material routes'!$K$6:$K$1005,MATCH(U327,'Material routes'!$A$6:$A$1005,0)),"MISSING ID")</x:f>
        <x:v>Proposal</x:v>
      </x:c>
      <x:c r="M327" s="4" t="str">
        <x:f>IFERROR(INDEX('Material routes'!$M$6:$M$1005,MATCH(U327,'Material routes'!$A$6:$A$1005,0)),"MISSING ID")</x:f>
        <x:v>Partial proposal</x:v>
      </x:c>
      <x:c r="N327" s="4" t="str">
        <x:f>IF(IFERROR(INDEX('Material routes'!$I$6:$I$1005,MATCH(U327,'Material routes'!$A$6:$A$1005,0)),"MISSING ID")=0,"",IFERROR(INDEX('Material routes'!$I$6:$I$1005,MATCH(U327,'Material routes'!$A$6:$A$1005,0)),"MISSING ID"))</x:f>
      </x:c>
      <x:c r="O327" s="4" t="str">
        <x:f>IFERROR(INDEX('Material routes'!$J$6:$J$1005,MATCH(U327,'Material routes'!$A$6:$A$1005,0)),"MISSING ID")</x:f>
        <x:v>Unspecified</x:v>
      </x:c>
      <x:c r="P327" s="4" t="str">
        <x:f>IF(IFERROR(INDEX('Material routes'!$I$6:$I$1005,MATCH(V327,'Material routes'!$A$6:$A$1005,0)),"MISSING ID")=0,"",IFERROR(INDEX('Material routes'!$I$6:$I$1005,MATCH(V327,'Material routes'!$A$6:$A$1005,0)),"MISSING ID"))</x:f>
      </x:c>
      <x:c r="Q327" s="4" t="str">
        <x:f>IFERROR(INDEX('Material routes'!$J$6:$J$1005,MATCH(V327,'Material routes'!$A$6:$A$1005,0)),"MISSING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routes'!$D$6:$D$1005,MATCH(U327,'Material routes'!$A$6:$A$1005,0)),"MISSING ID")</x:f>
        <x:v>proposal.natural.abrasive</x:v>
      </x:c>
      <x:c r="T327" s="4" t="str">
        <x:f>IFERROR(INDEX('Material routes'!$D$6:$D$1005,MATCH(V327,'Material routes'!$A$6:$A$1005,0)),"MISSING ID")</x:f>
        <x:v>proposal.ceramic.kiln_liner</x:v>
      </x:c>
      <x:c r="U327" s="4" t="str">
        <x:v>design.review.proposal_ceramic_kiln_liner.in.2</x:v>
      </x:c>
      <x:c r="V327" s="4" t="str">
        <x:v>design.review.proposal_ceramic_kiln_liner.out</x:v>
      </x:c>
    </x:row>
    <x:row r="328" ht="115" customHeight="1">
      <x:c r="A328" s="4" t="str">
        <x:f>IFERROR(INDEX('Material routes'!$E$6:$E$1005,MATCH(U328,'Material routes'!$A$6:$A$1005,0)),"MISSING ID")</x:f>
        <x:v>Insulating ceramic blanks</x:v>
      </x:c>
      <x:c r="B328" s="4" t="str">
        <x:f>IFERROR(INDEX('Material routes'!$F$6:$F$1005,MATCH(U328,'Material routes'!$A$6:$A$1005,0)),"MISSING ID")</x:f>
        <x:v>T2</x:v>
      </x:c>
      <x:c r="C328" s="4" t="str">
        <x:f>IFERROR(INDEX('Material routes'!$H$6:$H$1005,MATCH(U328,'Material routes'!$A$6:$A$1005,0)),"MISSING ID")</x:f>
        <x:v>Processed material</x:v>
      </x:c>
      <x:c r="D328" s="4" t="str">
        <x:f>IFERROR(INDEX('Material routes'!$G$6:$G$1005,MATCH(U328,'Material routes'!$A$6:$A$1005,0)),"MISSING ID")</x:f>
        <x:v>Resources</x:v>
      </x:c>
      <x:c r="E328" s="4" t="str">
        <x:f>IFERROR(INDEX('Material routes'!$C$6:$C$1005,MATCH(U328,'Material routes'!$A$6:$A$1005,0)),"MISSING ID")</x:f>
        <x:v>Ingredient candidate</x:v>
      </x:c>
      <x:c r="F328" s="4" t="str">
        <x:f>IFERROR(INDEX('Material routes'!$E$6:$E$1005,MATCH(V328,'Material routes'!$A$6:$A$1005,0)),"MISSING ID")</x:f>
        <x:v>Ceramic insulating bead</x:v>
      </x:c>
      <x:c r="G328" s="4" t="str">
        <x:f>IFERROR(INDEX('Material routes'!$F$6:$F$1005,MATCH(V328,'Material routes'!$A$6:$A$1005,0)),"MISSING ID")</x:f>
        <x:v>T3</x:v>
      </x:c>
      <x:c r="H328" s="4" t="str">
        <x:f>IFERROR(INDEX('Material routes'!$H$6:$H$1005,MATCH(V328,'Material routes'!$A$6:$A$1005,0)),"MISSING ID")</x:f>
        <x:v>Crafting component</x:v>
      </x:c>
      <x:c r="I328" s="4" t="str">
        <x:f>IFERROR(INDEX('Material routes'!$G$6:$G$1005,MATCH(V328,'Material routes'!$A$6:$A$1005,0)),"MISSING ID")</x:f>
        <x:v>Crafting components</x:v>
      </x:c>
      <x:c r="J328" s="4" t="str">
        <x:f>IFERROR(INDEX('Material routes'!$B$6:$B$1005,MATCH(U328,'Material routes'!$A$6:$A$1005,0)),"MISSING ID")</x:f>
        <x:v>design.review.proposal_ceramic_bead</x:v>
      </x:c>
      <x:c r="K328" s="4" t="str">
        <x:f>IFERROR(INDEX('Crafting recipes'!$C$6:$C$1005,MATCH(J328,'Crafting recipes'!$A$6:$A$1005,0)),"MISSING ID")</x:f>
        <x:v>Material refinement</x:v>
      </x:c>
      <x:c r="L328" s="4" t="str">
        <x:f>IFERROR(INDEX('Material routes'!$K$6:$K$1005,MATCH(U328,'Material routes'!$A$6:$A$1005,0)),"MISSING ID")</x:f>
        <x:v>Proposal</x:v>
      </x:c>
      <x:c r="M328" s="4" t="str">
        <x:f>IFERROR(INDEX('Material routes'!$M$6:$M$1005,MATCH(U328,'Material routes'!$A$6:$A$1005,0)),"MISSING ID")</x:f>
        <x:v>Partial proposal</x:v>
      </x:c>
      <x:c r="N328" s="4" t="str">
        <x:f>IF(IFERROR(INDEX('Material routes'!$I$6:$I$1005,MATCH(U328,'Material routes'!$A$6:$A$1005,0)),"MISSING ID")=0,"",IFERROR(INDEX('Material routes'!$I$6:$I$1005,MATCH(U328,'Material routes'!$A$6:$A$1005,0)),"MISSING ID"))</x:f>
      </x:c>
      <x:c r="O328" s="4" t="str">
        <x:f>IFERROR(INDEX('Material routes'!$J$6:$J$1005,MATCH(U328,'Material routes'!$A$6:$A$1005,0)),"MISSING ID")</x:f>
        <x:v>Unspecified</x:v>
      </x:c>
      <x:c r="P328" s="4" t="str">
        <x:f>IF(IFERROR(INDEX('Material routes'!$I$6:$I$1005,MATCH(V328,'Material routes'!$A$6:$A$1005,0)),"MISSING ID")=0,"",IFERROR(INDEX('Material routes'!$I$6:$I$1005,MATCH(V328,'Material routes'!$A$6:$A$1005,0)),"MISSING ID"))</x:f>
      </x:c>
      <x:c r="Q328" s="4" t="str">
        <x:f>IFERROR(INDEX('Material routes'!$J$6:$J$1005,MATCH(V328,'Material routes'!$A$6:$A$1005,0)),"MISSING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routes'!$D$6:$D$1005,MATCH(U328,'Material routes'!$A$6:$A$1005,0)),"MISSING ID")</x:f>
        <x:v>proposal.natural.ceramic</x:v>
      </x:c>
      <x:c r="T328" s="4" t="str">
        <x:f>IFERROR(INDEX('Material routes'!$D$6:$D$1005,MATCH(V328,'Material routes'!$A$6:$A$1005,0)),"MISSING ID")</x:f>
        <x:v>proposal.ceramic.bead</x:v>
      </x:c>
      <x:c r="U328" s="4" t="str">
        <x:v>design.review.proposal_ceramic_bead.in.1</x:v>
      </x:c>
      <x:c r="V328" s="4" t="str">
        <x:v>design.review.proposal_ceramic_bead.out</x:v>
      </x:c>
    </x:row>
    <x:row r="329" ht="115" customHeight="1">
      <x:c r="A329" s="4" t="str">
        <x:f>IFERROR(INDEX('Material routes'!$E$6:$E$1005,MATCH(U329,'Material routes'!$A$6:$A$1005,0)),"MISSING ID")</x:f>
        <x:v>Graded abrasive grit</x:v>
      </x:c>
      <x:c r="B329" s="4" t="str">
        <x:f>IFERROR(INDEX('Material routes'!$F$6:$F$1005,MATCH(U329,'Material routes'!$A$6:$A$1005,0)),"MISSING ID")</x:f>
        <x:v>T1</x:v>
      </x:c>
      <x:c r="C329" s="4" t="str">
        <x:f>IFERROR(INDEX('Material routes'!$H$6:$H$1005,MATCH(U329,'Material routes'!$A$6:$A$1005,0)),"MISSING ID")</x:f>
        <x:v>Processed material</x:v>
      </x:c>
      <x:c r="D329" s="4" t="str">
        <x:f>IFERROR(INDEX('Material routes'!$G$6:$G$1005,MATCH(U329,'Material routes'!$A$6:$A$1005,0)),"MISSING ID")</x:f>
        <x:v>Resources</x:v>
      </x:c>
      <x:c r="E329" s="4" t="str">
        <x:f>IFERROR(INDEX('Material routes'!$C$6:$C$1005,MATCH(U329,'Material routes'!$A$6:$A$1005,0)),"MISSING ID")</x:f>
        <x:v>Ingredient candidate</x:v>
      </x:c>
      <x:c r="F329" s="4" t="str">
        <x:f>IFERROR(INDEX('Material routes'!$E$6:$E$1005,MATCH(V329,'Material routes'!$A$6:$A$1005,0)),"MISSING ID")</x:f>
        <x:v>Ceramic insulating bead</x:v>
      </x:c>
      <x:c r="G329" s="4" t="str">
        <x:f>IFERROR(INDEX('Material routes'!$F$6:$F$1005,MATCH(V329,'Material routes'!$A$6:$A$1005,0)),"MISSING ID")</x:f>
        <x:v>T3</x:v>
      </x:c>
      <x:c r="H329" s="4" t="str">
        <x:f>IFERROR(INDEX('Material routes'!$H$6:$H$1005,MATCH(V329,'Material routes'!$A$6:$A$1005,0)),"MISSING ID")</x:f>
        <x:v>Crafting component</x:v>
      </x:c>
      <x:c r="I329" s="4" t="str">
        <x:f>IFERROR(INDEX('Material routes'!$G$6:$G$1005,MATCH(V329,'Material routes'!$A$6:$A$1005,0)),"MISSING ID")</x:f>
        <x:v>Crafting components</x:v>
      </x:c>
      <x:c r="J329" s="4" t="str">
        <x:f>IFERROR(INDEX('Material routes'!$B$6:$B$1005,MATCH(U329,'Material routes'!$A$6:$A$1005,0)),"MISSING ID")</x:f>
        <x:v>design.review.proposal_ceramic_bead</x:v>
      </x:c>
      <x:c r="K329" s="4" t="str">
        <x:f>IFERROR(INDEX('Crafting recipes'!$C$6:$C$1005,MATCH(J329,'Crafting recipes'!$A$6:$A$1005,0)),"MISSING ID")</x:f>
        <x:v>Material refinement</x:v>
      </x:c>
      <x:c r="L329" s="4" t="str">
        <x:f>IFERROR(INDEX('Material routes'!$K$6:$K$1005,MATCH(U329,'Material routes'!$A$6:$A$1005,0)),"MISSING ID")</x:f>
        <x:v>Proposal</x:v>
      </x:c>
      <x:c r="M329" s="4" t="str">
        <x:f>IFERROR(INDEX('Material routes'!$M$6:$M$1005,MATCH(U329,'Material routes'!$A$6:$A$1005,0)),"MISSING ID")</x:f>
        <x:v>Partial proposal</x:v>
      </x:c>
      <x:c r="N329" s="4" t="str">
        <x:f>IF(IFERROR(INDEX('Material routes'!$I$6:$I$1005,MATCH(U329,'Material routes'!$A$6:$A$1005,0)),"MISSING ID")=0,"",IFERROR(INDEX('Material routes'!$I$6:$I$1005,MATCH(U329,'Material routes'!$A$6:$A$1005,0)),"MISSING ID"))</x:f>
      </x:c>
      <x:c r="O329" s="4" t="str">
        <x:f>IFERROR(INDEX('Material routes'!$J$6:$J$1005,MATCH(U329,'Material routes'!$A$6:$A$1005,0)),"MISSING ID")</x:f>
        <x:v>Unspecified</x:v>
      </x:c>
      <x:c r="P329" s="4" t="str">
        <x:f>IF(IFERROR(INDEX('Material routes'!$I$6:$I$1005,MATCH(V329,'Material routes'!$A$6:$A$1005,0)),"MISSING ID")=0,"",IFERROR(INDEX('Material routes'!$I$6:$I$1005,MATCH(V329,'Material routes'!$A$6:$A$1005,0)),"MISSING ID"))</x:f>
      </x:c>
      <x:c r="Q329" s="4" t="str">
        <x:f>IFERROR(INDEX('Material routes'!$J$6:$J$1005,MATCH(V329,'Material routes'!$A$6:$A$1005,0)),"MISSING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routes'!$D$6:$D$1005,MATCH(U329,'Material routes'!$A$6:$A$1005,0)),"MISSING ID")</x:f>
        <x:v>proposal.natural.abrasive</x:v>
      </x:c>
      <x:c r="T329" s="4" t="str">
        <x:f>IFERROR(INDEX('Material routes'!$D$6:$D$1005,MATCH(V329,'Material routes'!$A$6:$A$1005,0)),"MISSING ID")</x:f>
        <x:v>proposal.ceramic.bead</x:v>
      </x:c>
      <x:c r="U329" s="4" t="str">
        <x:v>design.review.proposal_ceramic_bead.in.2</x:v>
      </x:c>
      <x:c r="V329" s="4" t="str">
        <x:v>design.review.proposal_ceramic_bead.out</x:v>
      </x:c>
    </x:row>
    <x:row r="330" ht="115" customHeight="1">
      <x:c r="A330" s="4" t="str">
        <x:f>IFERROR(INDEX('Material routes'!$E$6:$E$1005,MATCH(U330,'Material routes'!$A$6:$A$1005,0)),"MISSING ID")</x:f>
        <x:v>Insulating ceramic blanks</x:v>
      </x:c>
      <x:c r="B330" s="4" t="str">
        <x:f>IFERROR(INDEX('Material routes'!$F$6:$F$1005,MATCH(U330,'Material routes'!$A$6:$A$1005,0)),"MISSING ID")</x:f>
        <x:v>T2</x:v>
      </x:c>
      <x:c r="C330" s="4" t="str">
        <x:f>IFERROR(INDEX('Material routes'!$H$6:$H$1005,MATCH(U330,'Material routes'!$A$6:$A$1005,0)),"MISSING ID")</x:f>
        <x:v>Processed material</x:v>
      </x:c>
      <x:c r="D330" s="4" t="str">
        <x:f>IFERROR(INDEX('Material routes'!$G$6:$G$1005,MATCH(U330,'Material routes'!$A$6:$A$1005,0)),"MISSING ID")</x:f>
        <x:v>Resources</x:v>
      </x:c>
      <x:c r="E330" s="4" t="str">
        <x:f>IFERROR(INDEX('Material routes'!$C$6:$C$1005,MATCH(U330,'Material routes'!$A$6:$A$1005,0)),"MISSING ID")</x:f>
        <x:v>Ingredient candidate</x:v>
      </x:c>
      <x:c r="F330" s="4" t="str">
        <x:f>IFERROR(INDEX('Material routes'!$E$6:$E$1005,MATCH(V330,'Material routes'!$A$6:$A$1005,0)),"MISSING ID")</x:f>
        <x:v>Ceramic insulating spacer</x:v>
      </x:c>
      <x:c r="G330" s="4" t="str">
        <x:f>IFERROR(INDEX('Material routes'!$F$6:$F$1005,MATCH(V330,'Material routes'!$A$6:$A$1005,0)),"MISSING ID")</x:f>
        <x:v>T3</x:v>
      </x:c>
      <x:c r="H330" s="4" t="str">
        <x:f>IFERROR(INDEX('Material routes'!$H$6:$H$1005,MATCH(V330,'Material routes'!$A$6:$A$1005,0)),"MISSING ID")</x:f>
        <x:v>Crafting component</x:v>
      </x:c>
      <x:c r="I330" s="4" t="str">
        <x:f>IFERROR(INDEX('Material routes'!$G$6:$G$1005,MATCH(V330,'Material routes'!$A$6:$A$1005,0)),"MISSING ID")</x:f>
        <x:v>Crafting components</x:v>
      </x:c>
      <x:c r="J330" s="4" t="str">
        <x:f>IFERROR(INDEX('Material routes'!$B$6:$B$1005,MATCH(U330,'Material routes'!$A$6:$A$1005,0)),"MISSING ID")</x:f>
        <x:v>design.review.proposal_ceramic_spacer</x:v>
      </x:c>
      <x:c r="K330" s="4" t="str">
        <x:f>IFERROR(INDEX('Crafting recipes'!$C$6:$C$1005,MATCH(J330,'Crafting recipes'!$A$6:$A$1005,0)),"MISSING ID")</x:f>
        <x:v>Material refinement</x:v>
      </x:c>
      <x:c r="L330" s="4" t="str">
        <x:f>IFERROR(INDEX('Material routes'!$K$6:$K$1005,MATCH(U330,'Material routes'!$A$6:$A$1005,0)),"MISSING ID")</x:f>
        <x:v>Proposal</x:v>
      </x:c>
      <x:c r="M330" s="4" t="str">
        <x:f>IFERROR(INDEX('Material routes'!$M$6:$M$1005,MATCH(U330,'Material routes'!$A$6:$A$1005,0)),"MISSING ID")</x:f>
        <x:v>Partial proposal</x:v>
      </x:c>
      <x:c r="N330" s="4" t="str">
        <x:f>IF(IFERROR(INDEX('Material routes'!$I$6:$I$1005,MATCH(U330,'Material routes'!$A$6:$A$1005,0)),"MISSING ID")=0,"",IFERROR(INDEX('Material routes'!$I$6:$I$1005,MATCH(U330,'Material routes'!$A$6:$A$1005,0)),"MISSING ID"))</x:f>
      </x:c>
      <x:c r="O330" s="4" t="str">
        <x:f>IFERROR(INDEX('Material routes'!$J$6:$J$1005,MATCH(U330,'Material routes'!$A$6:$A$1005,0)),"MISSING ID")</x:f>
        <x:v>Unspecified</x:v>
      </x:c>
      <x:c r="P330" s="4" t="str">
        <x:f>IF(IFERROR(INDEX('Material routes'!$I$6:$I$1005,MATCH(V330,'Material routes'!$A$6:$A$1005,0)),"MISSING ID")=0,"",IFERROR(INDEX('Material routes'!$I$6:$I$1005,MATCH(V330,'Material routes'!$A$6:$A$1005,0)),"MISSING ID"))</x:f>
      </x:c>
      <x:c r="Q330" s="4" t="str">
        <x:f>IFERROR(INDEX('Material routes'!$J$6:$J$1005,MATCH(V330,'Material routes'!$A$6:$A$1005,0)),"MISSING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routes'!$D$6:$D$1005,MATCH(U330,'Material routes'!$A$6:$A$1005,0)),"MISSING ID")</x:f>
        <x:v>proposal.natural.ceramic</x:v>
      </x:c>
      <x:c r="T330" s="4" t="str">
        <x:f>IFERROR(INDEX('Material routes'!$D$6:$D$1005,MATCH(V330,'Material routes'!$A$6:$A$1005,0)),"MISSING ID")</x:f>
        <x:v>proposal.ceramic.spacer</x:v>
      </x:c>
      <x:c r="U330" s="4" t="str">
        <x:v>design.review.proposal_ceramic_spacer.in.1</x:v>
      </x:c>
      <x:c r="V330" s="4" t="str">
        <x:v>design.review.proposal_ceramic_spacer.out</x:v>
      </x:c>
    </x:row>
    <x:row r="331" ht="115" customHeight="1">
      <x:c r="A331" s="4" t="str">
        <x:f>IFERROR(INDEX('Material routes'!$E$6:$E$1005,MATCH(U331,'Material routes'!$A$6:$A$1005,0)),"MISSING ID")</x:f>
        <x:v>Graded abrasive grit</x:v>
      </x:c>
      <x:c r="B331" s="4" t="str">
        <x:f>IFERROR(INDEX('Material routes'!$F$6:$F$1005,MATCH(U331,'Material routes'!$A$6:$A$1005,0)),"MISSING ID")</x:f>
        <x:v>T1</x:v>
      </x:c>
      <x:c r="C331" s="4" t="str">
        <x:f>IFERROR(INDEX('Material routes'!$H$6:$H$1005,MATCH(U331,'Material routes'!$A$6:$A$1005,0)),"MISSING ID")</x:f>
        <x:v>Processed material</x:v>
      </x:c>
      <x:c r="D331" s="4" t="str">
        <x:f>IFERROR(INDEX('Material routes'!$G$6:$G$1005,MATCH(U331,'Material routes'!$A$6:$A$1005,0)),"MISSING ID")</x:f>
        <x:v>Resources</x:v>
      </x:c>
      <x:c r="E331" s="4" t="str">
        <x:f>IFERROR(INDEX('Material routes'!$C$6:$C$1005,MATCH(U331,'Material routes'!$A$6:$A$1005,0)),"MISSING ID")</x:f>
        <x:v>Ingredient candidate</x:v>
      </x:c>
      <x:c r="F331" s="4" t="str">
        <x:f>IFERROR(INDEX('Material routes'!$E$6:$E$1005,MATCH(V331,'Material routes'!$A$6:$A$1005,0)),"MISSING ID")</x:f>
        <x:v>Ceramic insulating spacer</x:v>
      </x:c>
      <x:c r="G331" s="4" t="str">
        <x:f>IFERROR(INDEX('Material routes'!$F$6:$F$1005,MATCH(V331,'Material routes'!$A$6:$A$1005,0)),"MISSING ID")</x:f>
        <x:v>T3</x:v>
      </x:c>
      <x:c r="H331" s="4" t="str">
        <x:f>IFERROR(INDEX('Material routes'!$H$6:$H$1005,MATCH(V331,'Material routes'!$A$6:$A$1005,0)),"MISSING ID")</x:f>
        <x:v>Crafting component</x:v>
      </x:c>
      <x:c r="I331" s="4" t="str">
        <x:f>IFERROR(INDEX('Material routes'!$G$6:$G$1005,MATCH(V331,'Material routes'!$A$6:$A$1005,0)),"MISSING ID")</x:f>
        <x:v>Crafting components</x:v>
      </x:c>
      <x:c r="J331" s="4" t="str">
        <x:f>IFERROR(INDEX('Material routes'!$B$6:$B$1005,MATCH(U331,'Material routes'!$A$6:$A$1005,0)),"MISSING ID")</x:f>
        <x:v>design.review.proposal_ceramic_spacer</x:v>
      </x:c>
      <x:c r="K331" s="4" t="str">
        <x:f>IFERROR(INDEX('Crafting recipes'!$C$6:$C$1005,MATCH(J331,'Crafting recipes'!$A$6:$A$1005,0)),"MISSING ID")</x:f>
        <x:v>Material refinement</x:v>
      </x:c>
      <x:c r="L331" s="4" t="str">
        <x:f>IFERROR(INDEX('Material routes'!$K$6:$K$1005,MATCH(U331,'Material routes'!$A$6:$A$1005,0)),"MISSING ID")</x:f>
        <x:v>Proposal</x:v>
      </x:c>
      <x:c r="M331" s="4" t="str">
        <x:f>IFERROR(INDEX('Material routes'!$M$6:$M$1005,MATCH(U331,'Material routes'!$A$6:$A$1005,0)),"MISSING ID")</x:f>
        <x:v>Partial proposal</x:v>
      </x:c>
      <x:c r="N331" s="4" t="str">
        <x:f>IF(IFERROR(INDEX('Material routes'!$I$6:$I$1005,MATCH(U331,'Material routes'!$A$6:$A$1005,0)),"MISSING ID")=0,"",IFERROR(INDEX('Material routes'!$I$6:$I$1005,MATCH(U331,'Material routes'!$A$6:$A$1005,0)),"MISSING ID"))</x:f>
      </x:c>
      <x:c r="O331" s="4" t="str">
        <x:f>IFERROR(INDEX('Material routes'!$J$6:$J$1005,MATCH(U331,'Material routes'!$A$6:$A$1005,0)),"MISSING ID")</x:f>
        <x:v>Unspecified</x:v>
      </x:c>
      <x:c r="P331" s="4" t="str">
        <x:f>IF(IFERROR(INDEX('Material routes'!$I$6:$I$1005,MATCH(V331,'Material routes'!$A$6:$A$1005,0)),"MISSING ID")=0,"",IFERROR(INDEX('Material routes'!$I$6:$I$1005,MATCH(V331,'Material routes'!$A$6:$A$1005,0)),"MISSING ID"))</x:f>
      </x:c>
      <x:c r="Q331" s="4" t="str">
        <x:f>IFERROR(INDEX('Material routes'!$J$6:$J$1005,MATCH(V331,'Material routes'!$A$6:$A$1005,0)),"MISSING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routes'!$D$6:$D$1005,MATCH(U331,'Material routes'!$A$6:$A$1005,0)),"MISSING ID")</x:f>
        <x:v>proposal.natural.abrasive</x:v>
      </x:c>
      <x:c r="T331" s="4" t="str">
        <x:f>IFERROR(INDEX('Material routes'!$D$6:$D$1005,MATCH(V331,'Material routes'!$A$6:$A$1005,0)),"MISSING ID")</x:f>
        <x:v>proposal.ceramic.spacer</x:v>
      </x:c>
      <x:c r="U331" s="4" t="str">
        <x:v>design.review.proposal_ceramic_spacer.in.2</x:v>
      </x:c>
      <x:c r="V331" s="4" t="str">
        <x:v>design.review.proposal_ceramic_spacer.out</x:v>
      </x:c>
    </x:row>
    <x:row r="332" ht="115" customHeight="1">
      <x:c r="A332" s="4" t="str">
        <x:f>IFERROR(INDEX('Material routes'!$E$6:$E$1005,MATCH(U332,'Material routes'!$A$6:$A$1005,0)),"MISSING ID")</x:f>
        <x:v>Insulating ceramic blanks</x:v>
      </x:c>
      <x:c r="B332" s="4" t="str">
        <x:f>IFERROR(INDEX('Material routes'!$F$6:$F$1005,MATCH(U332,'Material routes'!$A$6:$A$1005,0)),"MISSING ID")</x:f>
        <x:v>T2</x:v>
      </x:c>
      <x:c r="C332" s="4" t="str">
        <x:f>IFERROR(INDEX('Material routes'!$H$6:$H$1005,MATCH(U332,'Material routes'!$A$6:$A$1005,0)),"MISSING ID")</x:f>
        <x:v>Processed material</x:v>
      </x:c>
      <x:c r="D332" s="4" t="str">
        <x:f>IFERROR(INDEX('Material routes'!$G$6:$G$1005,MATCH(U332,'Material routes'!$A$6:$A$1005,0)),"MISSING ID")</x:f>
        <x:v>Resources</x:v>
      </x:c>
      <x:c r="E332" s="4" t="str">
        <x:f>IFERROR(INDEX('Material routes'!$C$6:$C$1005,MATCH(U332,'Material routes'!$A$6:$A$1005,0)),"MISSING ID")</x:f>
        <x:v>Ingredient candidate</x:v>
      </x:c>
      <x:c r="F332" s="4" t="str">
        <x:f>IFERROR(INDEX('Material routes'!$E$6:$E$1005,MATCH(V332,'Material routes'!$A$6:$A$1005,0)),"MISSING ID")</x:f>
        <x:v>Fitted ceramic stopper</x:v>
      </x:c>
      <x:c r="G332" s="4" t="str">
        <x:f>IFERROR(INDEX('Material routes'!$F$6:$F$1005,MATCH(V332,'Material routes'!$A$6:$A$1005,0)),"MISSING ID")</x:f>
        <x:v>T3</x:v>
      </x:c>
      <x:c r="H332" s="4" t="str">
        <x:f>IFERROR(INDEX('Material routes'!$H$6:$H$1005,MATCH(V332,'Material routes'!$A$6:$A$1005,0)),"MISSING ID")</x:f>
        <x:v>Container part</x:v>
      </x:c>
      <x:c r="I332" s="4" t="str">
        <x:f>IFERROR(INDEX('Material routes'!$G$6:$G$1005,MATCH(V332,'Material routes'!$A$6:$A$1005,0)),"MISSING ID")</x:f>
        <x:v>Crafting components</x:v>
      </x:c>
      <x:c r="J332" s="4" t="str">
        <x:f>IFERROR(INDEX('Material routes'!$B$6:$B$1005,MATCH(U332,'Material routes'!$A$6:$A$1005,0)),"MISSING ID")</x:f>
        <x:v>design.review.proposal_ceramic_stopper</x:v>
      </x:c>
      <x:c r="K332" s="4" t="str">
        <x:f>IFERROR(INDEX('Crafting recipes'!$C$6:$C$1005,MATCH(J332,'Crafting recipes'!$A$6:$A$1005,0)),"MISSING ID")</x:f>
        <x:v>Material refinement</x:v>
      </x:c>
      <x:c r="L332" s="4" t="str">
        <x:f>IFERROR(INDEX('Material routes'!$K$6:$K$1005,MATCH(U332,'Material routes'!$A$6:$A$1005,0)),"MISSING ID")</x:f>
        <x:v>Proposal</x:v>
      </x:c>
      <x:c r="M332" s="4" t="str">
        <x:f>IFERROR(INDEX('Material routes'!$M$6:$M$1005,MATCH(U332,'Material routes'!$A$6:$A$1005,0)),"MISSING ID")</x:f>
        <x:v>Partial proposal</x:v>
      </x:c>
      <x:c r="N332" s="4" t="str">
        <x:f>IF(IFERROR(INDEX('Material routes'!$I$6:$I$1005,MATCH(U332,'Material routes'!$A$6:$A$1005,0)),"MISSING ID")=0,"",IFERROR(INDEX('Material routes'!$I$6:$I$1005,MATCH(U332,'Material routes'!$A$6:$A$1005,0)),"MISSING ID"))</x:f>
      </x:c>
      <x:c r="O332" s="4" t="str">
        <x:f>IFERROR(INDEX('Material routes'!$J$6:$J$1005,MATCH(U332,'Material routes'!$A$6:$A$1005,0)),"MISSING ID")</x:f>
        <x:v>Unspecified</x:v>
      </x:c>
      <x:c r="P332" s="4" t="str">
        <x:f>IF(IFERROR(INDEX('Material routes'!$I$6:$I$1005,MATCH(V332,'Material routes'!$A$6:$A$1005,0)),"MISSING ID")=0,"",IFERROR(INDEX('Material routes'!$I$6:$I$1005,MATCH(V332,'Material routes'!$A$6:$A$1005,0)),"MISSING ID"))</x:f>
      </x:c>
      <x:c r="Q332" s="4" t="str">
        <x:f>IFERROR(INDEX('Material routes'!$J$6:$J$1005,MATCH(V332,'Material routes'!$A$6:$A$1005,0)),"MISSING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routes'!$D$6:$D$1005,MATCH(U332,'Material routes'!$A$6:$A$1005,0)),"MISSING ID")</x:f>
        <x:v>proposal.natural.ceramic</x:v>
      </x:c>
      <x:c r="T332" s="4" t="str">
        <x:f>IFERROR(INDEX('Material routes'!$D$6:$D$1005,MATCH(V332,'Material routes'!$A$6:$A$1005,0)),"MISSING ID")</x:f>
        <x:v>proposal.ceramic.stopper</x:v>
      </x:c>
      <x:c r="U332" s="4" t="str">
        <x:v>design.review.proposal_ceramic_stopper.in.1</x:v>
      </x:c>
      <x:c r="V332" s="4" t="str">
        <x:v>design.review.proposal_ceramic_stopper.out</x:v>
      </x:c>
    </x:row>
    <x:row r="333" ht="115" customHeight="1">
      <x:c r="A333" s="4" t="str">
        <x:f>IFERROR(INDEX('Material routes'!$E$6:$E$1005,MATCH(U333,'Material routes'!$A$6:$A$1005,0)),"MISSING ID")</x:f>
        <x:v>Graded abrasive grit</x:v>
      </x:c>
      <x:c r="B333" s="4" t="str">
        <x:f>IFERROR(INDEX('Material routes'!$F$6:$F$1005,MATCH(U333,'Material routes'!$A$6:$A$1005,0)),"MISSING ID")</x:f>
        <x:v>T1</x:v>
      </x:c>
      <x:c r="C333" s="4" t="str">
        <x:f>IFERROR(INDEX('Material routes'!$H$6:$H$1005,MATCH(U333,'Material routes'!$A$6:$A$1005,0)),"MISSING ID")</x:f>
        <x:v>Processed material</x:v>
      </x:c>
      <x:c r="D333" s="4" t="str">
        <x:f>IFERROR(INDEX('Material routes'!$G$6:$G$1005,MATCH(U333,'Material routes'!$A$6:$A$1005,0)),"MISSING ID")</x:f>
        <x:v>Resources</x:v>
      </x:c>
      <x:c r="E333" s="4" t="str">
        <x:f>IFERROR(INDEX('Material routes'!$C$6:$C$1005,MATCH(U333,'Material routes'!$A$6:$A$1005,0)),"MISSING ID")</x:f>
        <x:v>Ingredient candidate</x:v>
      </x:c>
      <x:c r="F333" s="4" t="str">
        <x:f>IFERROR(INDEX('Material routes'!$E$6:$E$1005,MATCH(V333,'Material routes'!$A$6:$A$1005,0)),"MISSING ID")</x:f>
        <x:v>Fitted ceramic stopper</x:v>
      </x:c>
      <x:c r="G333" s="4" t="str">
        <x:f>IFERROR(INDEX('Material routes'!$F$6:$F$1005,MATCH(V333,'Material routes'!$A$6:$A$1005,0)),"MISSING ID")</x:f>
        <x:v>T3</x:v>
      </x:c>
      <x:c r="H333" s="4" t="str">
        <x:f>IFERROR(INDEX('Material routes'!$H$6:$H$1005,MATCH(V333,'Material routes'!$A$6:$A$1005,0)),"MISSING ID")</x:f>
        <x:v>Container part</x:v>
      </x:c>
      <x:c r="I333" s="4" t="str">
        <x:f>IFERROR(INDEX('Material routes'!$G$6:$G$1005,MATCH(V333,'Material routes'!$A$6:$A$1005,0)),"MISSING ID")</x:f>
        <x:v>Crafting components</x:v>
      </x:c>
      <x:c r="J333" s="4" t="str">
        <x:f>IFERROR(INDEX('Material routes'!$B$6:$B$1005,MATCH(U333,'Material routes'!$A$6:$A$1005,0)),"MISSING ID")</x:f>
        <x:v>design.review.proposal_ceramic_stopper</x:v>
      </x:c>
      <x:c r="K333" s="4" t="str">
        <x:f>IFERROR(INDEX('Crafting recipes'!$C$6:$C$1005,MATCH(J333,'Crafting recipes'!$A$6:$A$1005,0)),"MISSING ID")</x:f>
        <x:v>Material refinement</x:v>
      </x:c>
      <x:c r="L333" s="4" t="str">
        <x:f>IFERROR(INDEX('Material routes'!$K$6:$K$1005,MATCH(U333,'Material routes'!$A$6:$A$1005,0)),"MISSING ID")</x:f>
        <x:v>Proposal</x:v>
      </x:c>
      <x:c r="M333" s="4" t="str">
        <x:f>IFERROR(INDEX('Material routes'!$M$6:$M$1005,MATCH(U333,'Material routes'!$A$6:$A$1005,0)),"MISSING ID")</x:f>
        <x:v>Partial proposal</x:v>
      </x:c>
      <x:c r="N333" s="4" t="str">
        <x:f>IF(IFERROR(INDEX('Material routes'!$I$6:$I$1005,MATCH(U333,'Material routes'!$A$6:$A$1005,0)),"MISSING ID")=0,"",IFERROR(INDEX('Material routes'!$I$6:$I$1005,MATCH(U333,'Material routes'!$A$6:$A$1005,0)),"MISSING ID"))</x:f>
      </x:c>
      <x:c r="O333" s="4" t="str">
        <x:f>IFERROR(INDEX('Material routes'!$J$6:$J$1005,MATCH(U333,'Material routes'!$A$6:$A$1005,0)),"MISSING ID")</x:f>
        <x:v>Unspecified</x:v>
      </x:c>
      <x:c r="P333" s="4" t="str">
        <x:f>IF(IFERROR(INDEX('Material routes'!$I$6:$I$1005,MATCH(V333,'Material routes'!$A$6:$A$1005,0)),"MISSING ID")=0,"",IFERROR(INDEX('Material routes'!$I$6:$I$1005,MATCH(V333,'Material routes'!$A$6:$A$1005,0)),"MISSING ID"))</x:f>
      </x:c>
      <x:c r="Q333" s="4" t="str">
        <x:f>IFERROR(INDEX('Material routes'!$J$6:$J$1005,MATCH(V333,'Material routes'!$A$6:$A$1005,0)),"MISSING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routes'!$D$6:$D$1005,MATCH(U333,'Material routes'!$A$6:$A$1005,0)),"MISSING ID")</x:f>
        <x:v>proposal.natural.abrasive</x:v>
      </x:c>
      <x:c r="T333" s="4" t="str">
        <x:f>IFERROR(INDEX('Material routes'!$D$6:$D$1005,MATCH(V333,'Material routes'!$A$6:$A$1005,0)),"MISSING ID")</x:f>
        <x:v>proposal.ceramic.stopper</x:v>
      </x:c>
      <x:c r="U333" s="4" t="str">
        <x:v>design.review.proposal_ceramic_stopper.in.2</x:v>
      </x:c>
      <x:c r="V333" s="4" t="str">
        <x:v>design.review.proposal_ceramic_stopper.out</x:v>
      </x:c>
    </x:row>
    <x:row r="334" ht="115" customHeight="1">
      <x:c r="A334" s="4" t="str">
        <x:f>IFERROR(INDEX('Material routes'!$E$6:$E$1005,MATCH(U334,'Material routes'!$A$6:$A$1005,0)),"MISSING ID")</x:f>
        <x:v>Insulating ceramic blanks</x:v>
      </x:c>
      <x:c r="B334" s="4" t="str">
        <x:f>IFERROR(INDEX('Material routes'!$F$6:$F$1005,MATCH(U334,'Material routes'!$A$6:$A$1005,0)),"MISSING ID")</x:f>
        <x:v>T2</x:v>
      </x:c>
      <x:c r="C334" s="4" t="str">
        <x:f>IFERROR(INDEX('Material routes'!$H$6:$H$1005,MATCH(U334,'Material routes'!$A$6:$A$1005,0)),"MISSING ID")</x:f>
        <x:v>Processed material</x:v>
      </x:c>
      <x:c r="D334" s="4" t="str">
        <x:f>IFERROR(INDEX('Material routes'!$G$6:$G$1005,MATCH(U334,'Material routes'!$A$6:$A$1005,0)),"MISSING ID")</x:f>
        <x:v>Resources</x:v>
      </x:c>
      <x:c r="E334" s="4" t="str">
        <x:f>IFERROR(INDEX('Material routes'!$C$6:$C$1005,MATCH(U334,'Material routes'!$A$6:$A$1005,0)),"MISSING ID")</x:f>
        <x:v>Ingredient candidate</x:v>
      </x:c>
      <x:c r="F334" s="4" t="str">
        <x:f>IFERROR(INDEX('Material routes'!$E$6:$E$1005,MATCH(V334,'Material routes'!$A$6:$A$1005,0)),"MISSING ID")</x:f>
        <x:v>Ceramic vessel lid</x:v>
      </x:c>
      <x:c r="G334" s="4" t="str">
        <x:f>IFERROR(INDEX('Material routes'!$F$6:$F$1005,MATCH(V334,'Material routes'!$A$6:$A$1005,0)),"MISSING ID")</x:f>
        <x:v>T3</x:v>
      </x:c>
      <x:c r="H334" s="4" t="str">
        <x:f>IFERROR(INDEX('Material routes'!$H$6:$H$1005,MATCH(V334,'Material routes'!$A$6:$A$1005,0)),"MISSING ID")</x:f>
        <x:v>Container part</x:v>
      </x:c>
      <x:c r="I334" s="4" t="str">
        <x:f>IFERROR(INDEX('Material routes'!$G$6:$G$1005,MATCH(V334,'Material routes'!$A$6:$A$1005,0)),"MISSING ID")</x:f>
        <x:v>Crafting components</x:v>
      </x:c>
      <x:c r="J334" s="4" t="str">
        <x:f>IFERROR(INDEX('Material routes'!$B$6:$B$1005,MATCH(U334,'Material routes'!$A$6:$A$1005,0)),"MISSING ID")</x:f>
        <x:v>design.review.proposal_ceramic_lid</x:v>
      </x:c>
      <x:c r="K334" s="4" t="str">
        <x:f>IFERROR(INDEX('Crafting recipes'!$C$6:$C$1005,MATCH(J334,'Crafting recipes'!$A$6:$A$1005,0)),"MISSING ID")</x:f>
        <x:v>Material refinement</x:v>
      </x:c>
      <x:c r="L334" s="4" t="str">
        <x:f>IFERROR(INDEX('Material routes'!$K$6:$K$1005,MATCH(U334,'Material routes'!$A$6:$A$1005,0)),"MISSING ID")</x:f>
        <x:v>Proposal</x:v>
      </x:c>
      <x:c r="M334" s="4" t="str">
        <x:f>IFERROR(INDEX('Material routes'!$M$6:$M$1005,MATCH(U334,'Material routes'!$A$6:$A$1005,0)),"MISSING ID")</x:f>
        <x:v>Partial proposal</x:v>
      </x:c>
      <x:c r="N334" s="4" t="str">
        <x:f>IF(IFERROR(INDEX('Material routes'!$I$6:$I$1005,MATCH(U334,'Material routes'!$A$6:$A$1005,0)),"MISSING ID")=0,"",IFERROR(INDEX('Material routes'!$I$6:$I$1005,MATCH(U334,'Material routes'!$A$6:$A$1005,0)),"MISSING ID"))</x:f>
      </x:c>
      <x:c r="O334" s="4" t="str">
        <x:f>IFERROR(INDEX('Material routes'!$J$6:$J$1005,MATCH(U334,'Material routes'!$A$6:$A$1005,0)),"MISSING ID")</x:f>
        <x:v>Unspecified</x:v>
      </x:c>
      <x:c r="P334" s="4" t="str">
        <x:f>IF(IFERROR(INDEX('Material routes'!$I$6:$I$1005,MATCH(V334,'Material routes'!$A$6:$A$1005,0)),"MISSING ID")=0,"",IFERROR(INDEX('Material routes'!$I$6:$I$1005,MATCH(V334,'Material routes'!$A$6:$A$1005,0)),"MISSING ID"))</x:f>
      </x:c>
      <x:c r="Q334" s="4" t="str">
        <x:f>IFERROR(INDEX('Material routes'!$J$6:$J$1005,MATCH(V334,'Material routes'!$A$6:$A$1005,0)),"MISSING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routes'!$D$6:$D$1005,MATCH(U334,'Material routes'!$A$6:$A$1005,0)),"MISSING ID")</x:f>
        <x:v>proposal.natural.ceramic</x:v>
      </x:c>
      <x:c r="T334" s="4" t="str">
        <x:f>IFERROR(INDEX('Material routes'!$D$6:$D$1005,MATCH(V334,'Material routes'!$A$6:$A$1005,0)),"MISSING ID")</x:f>
        <x:v>proposal.ceramic.lid</x:v>
      </x:c>
      <x:c r="U334" s="4" t="str">
        <x:v>design.review.proposal_ceramic_lid.in.1</x:v>
      </x:c>
      <x:c r="V334" s="4" t="str">
        <x:v>design.review.proposal_ceramic_lid.out</x:v>
      </x:c>
    </x:row>
    <x:row r="335" ht="115" customHeight="1">
      <x:c r="A335" s="4" t="str">
        <x:f>IFERROR(INDEX('Material routes'!$E$6:$E$1005,MATCH(U335,'Material routes'!$A$6:$A$1005,0)),"MISSING ID")</x:f>
        <x:v>Graded abrasive grit</x:v>
      </x:c>
      <x:c r="B335" s="4" t="str">
        <x:f>IFERROR(INDEX('Material routes'!$F$6:$F$1005,MATCH(U335,'Material routes'!$A$6:$A$1005,0)),"MISSING ID")</x:f>
        <x:v>T1</x:v>
      </x:c>
      <x:c r="C335" s="4" t="str">
        <x:f>IFERROR(INDEX('Material routes'!$H$6:$H$1005,MATCH(U335,'Material routes'!$A$6:$A$1005,0)),"MISSING ID")</x:f>
        <x:v>Processed material</x:v>
      </x:c>
      <x:c r="D335" s="4" t="str">
        <x:f>IFERROR(INDEX('Material routes'!$G$6:$G$1005,MATCH(U335,'Material routes'!$A$6:$A$1005,0)),"MISSING ID")</x:f>
        <x:v>Resources</x:v>
      </x:c>
      <x:c r="E335" s="4" t="str">
        <x:f>IFERROR(INDEX('Material routes'!$C$6:$C$1005,MATCH(U335,'Material routes'!$A$6:$A$1005,0)),"MISSING ID")</x:f>
        <x:v>Ingredient candidate</x:v>
      </x:c>
      <x:c r="F335" s="4" t="str">
        <x:f>IFERROR(INDEX('Material routes'!$E$6:$E$1005,MATCH(V335,'Material routes'!$A$6:$A$1005,0)),"MISSING ID")</x:f>
        <x:v>Ceramic vessel lid</x:v>
      </x:c>
      <x:c r="G335" s="4" t="str">
        <x:f>IFERROR(INDEX('Material routes'!$F$6:$F$1005,MATCH(V335,'Material routes'!$A$6:$A$1005,0)),"MISSING ID")</x:f>
        <x:v>T3</x:v>
      </x:c>
      <x:c r="H335" s="4" t="str">
        <x:f>IFERROR(INDEX('Material routes'!$H$6:$H$1005,MATCH(V335,'Material routes'!$A$6:$A$1005,0)),"MISSING ID")</x:f>
        <x:v>Container part</x:v>
      </x:c>
      <x:c r="I335" s="4" t="str">
        <x:f>IFERROR(INDEX('Material routes'!$G$6:$G$1005,MATCH(V335,'Material routes'!$A$6:$A$1005,0)),"MISSING ID")</x:f>
        <x:v>Crafting components</x:v>
      </x:c>
      <x:c r="J335" s="4" t="str">
        <x:f>IFERROR(INDEX('Material routes'!$B$6:$B$1005,MATCH(U335,'Material routes'!$A$6:$A$1005,0)),"MISSING ID")</x:f>
        <x:v>design.review.proposal_ceramic_lid</x:v>
      </x:c>
      <x:c r="K335" s="4" t="str">
        <x:f>IFERROR(INDEX('Crafting recipes'!$C$6:$C$1005,MATCH(J335,'Crafting recipes'!$A$6:$A$1005,0)),"MISSING ID")</x:f>
        <x:v>Material refinement</x:v>
      </x:c>
      <x:c r="L335" s="4" t="str">
        <x:f>IFERROR(INDEX('Material routes'!$K$6:$K$1005,MATCH(U335,'Material routes'!$A$6:$A$1005,0)),"MISSING ID")</x:f>
        <x:v>Proposal</x:v>
      </x:c>
      <x:c r="M335" s="4" t="str">
        <x:f>IFERROR(INDEX('Material routes'!$M$6:$M$1005,MATCH(U335,'Material routes'!$A$6:$A$1005,0)),"MISSING ID")</x:f>
        <x:v>Partial proposal</x:v>
      </x:c>
      <x:c r="N335" s="4" t="str">
        <x:f>IF(IFERROR(INDEX('Material routes'!$I$6:$I$1005,MATCH(U335,'Material routes'!$A$6:$A$1005,0)),"MISSING ID")=0,"",IFERROR(INDEX('Material routes'!$I$6:$I$1005,MATCH(U335,'Material routes'!$A$6:$A$1005,0)),"MISSING ID"))</x:f>
      </x:c>
      <x:c r="O335" s="4" t="str">
        <x:f>IFERROR(INDEX('Material routes'!$J$6:$J$1005,MATCH(U335,'Material routes'!$A$6:$A$1005,0)),"MISSING ID")</x:f>
        <x:v>Unspecified</x:v>
      </x:c>
      <x:c r="P335" s="4" t="str">
        <x:f>IF(IFERROR(INDEX('Material routes'!$I$6:$I$1005,MATCH(V335,'Material routes'!$A$6:$A$1005,0)),"MISSING ID")=0,"",IFERROR(INDEX('Material routes'!$I$6:$I$1005,MATCH(V335,'Material routes'!$A$6:$A$1005,0)),"MISSING ID"))</x:f>
      </x:c>
      <x:c r="Q335" s="4" t="str">
        <x:f>IFERROR(INDEX('Material routes'!$J$6:$J$1005,MATCH(V335,'Material routes'!$A$6:$A$1005,0)),"MISSING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routes'!$D$6:$D$1005,MATCH(U335,'Material routes'!$A$6:$A$1005,0)),"MISSING ID")</x:f>
        <x:v>proposal.natural.abrasive</x:v>
      </x:c>
      <x:c r="T335" s="4" t="str">
        <x:f>IFERROR(INDEX('Material routes'!$D$6:$D$1005,MATCH(V335,'Material routes'!$A$6:$A$1005,0)),"MISSING ID")</x:f>
        <x:v>proposal.ceramic.lid</x:v>
      </x:c>
      <x:c r="U335" s="4" t="str">
        <x:v>design.review.proposal_ceramic_lid.in.2</x:v>
      </x:c>
      <x:c r="V335" s="4" t="str">
        <x:v>design.review.proposal_ceramic_lid.out</x:v>
      </x:c>
    </x:row>
    <x:row r="336" ht="115" customHeight="1">
      <x:c r="A336" s="4" t="str">
        <x:f>IFERROR(INDEX('Material routes'!$E$6:$E$1005,MATCH(U336,'Material routes'!$A$6:$A$1005,0)),"MISSING ID")</x:f>
        <x:v>Insulating ceramic blanks</x:v>
      </x:c>
      <x:c r="B336" s="4" t="str">
        <x:f>IFERROR(INDEX('Material routes'!$F$6:$F$1005,MATCH(U336,'Material routes'!$A$6:$A$1005,0)),"MISSING ID")</x:f>
        <x:v>T2</x:v>
      </x:c>
      <x:c r="C336" s="4" t="str">
        <x:f>IFERROR(INDEX('Material routes'!$H$6:$H$1005,MATCH(U336,'Material routes'!$A$6:$A$1005,0)),"MISSING ID")</x:f>
        <x:v>Processed material</x:v>
      </x:c>
      <x:c r="D336" s="4" t="str">
        <x:f>IFERROR(INDEX('Material routes'!$G$6:$G$1005,MATCH(U336,'Material routes'!$A$6:$A$1005,0)),"MISSING ID")</x:f>
        <x:v>Resources</x:v>
      </x:c>
      <x:c r="E336" s="4" t="str">
        <x:f>IFERROR(INDEX('Material routes'!$C$6:$C$1005,MATCH(U336,'Material routes'!$A$6:$A$1005,0)),"MISSING ID")</x:f>
        <x:v>Ingredient candidate</x:v>
      </x:c>
      <x:c r="F336" s="4" t="str">
        <x:f>IFERROR(INDEX('Material routes'!$E$6:$E$1005,MATCH(V336,'Material routes'!$A$6:$A$1005,0)),"MISSING ID")</x:f>
        <x:v>Ceramic pouring spout</x:v>
      </x:c>
      <x:c r="G336" s="4" t="str">
        <x:f>IFERROR(INDEX('Material routes'!$F$6:$F$1005,MATCH(V336,'Material routes'!$A$6:$A$1005,0)),"MISSING ID")</x:f>
        <x:v>T3</x:v>
      </x:c>
      <x:c r="H336" s="4" t="str">
        <x:f>IFERROR(INDEX('Material routes'!$H$6:$H$1005,MATCH(V336,'Material routes'!$A$6:$A$1005,0)),"MISSING ID")</x:f>
        <x:v>Container part</x:v>
      </x:c>
      <x:c r="I336" s="4" t="str">
        <x:f>IFERROR(INDEX('Material routes'!$G$6:$G$1005,MATCH(V336,'Material routes'!$A$6:$A$1005,0)),"MISSING ID")</x:f>
        <x:v>Crafting components</x:v>
      </x:c>
      <x:c r="J336" s="4" t="str">
        <x:f>IFERROR(INDEX('Material routes'!$B$6:$B$1005,MATCH(U336,'Material routes'!$A$6:$A$1005,0)),"MISSING ID")</x:f>
        <x:v>design.review.proposal_ceramic_pour_spout</x:v>
      </x:c>
      <x:c r="K336" s="4" t="str">
        <x:f>IFERROR(INDEX('Crafting recipes'!$C$6:$C$1005,MATCH(J336,'Crafting recipes'!$A$6:$A$1005,0)),"MISSING ID")</x:f>
        <x:v>Material refinement</x:v>
      </x:c>
      <x:c r="L336" s="4" t="str">
        <x:f>IFERROR(INDEX('Material routes'!$K$6:$K$1005,MATCH(U336,'Material routes'!$A$6:$A$1005,0)),"MISSING ID")</x:f>
        <x:v>Proposal</x:v>
      </x:c>
      <x:c r="M336" s="4" t="str">
        <x:f>IFERROR(INDEX('Material routes'!$M$6:$M$1005,MATCH(U336,'Material routes'!$A$6:$A$1005,0)),"MISSING ID")</x:f>
        <x:v>Partial proposal</x:v>
      </x:c>
      <x:c r="N336" s="4" t="str">
        <x:f>IF(IFERROR(INDEX('Material routes'!$I$6:$I$1005,MATCH(U336,'Material routes'!$A$6:$A$1005,0)),"MISSING ID")=0,"",IFERROR(INDEX('Material routes'!$I$6:$I$1005,MATCH(U336,'Material routes'!$A$6:$A$1005,0)),"MISSING ID"))</x:f>
      </x:c>
      <x:c r="O336" s="4" t="str">
        <x:f>IFERROR(INDEX('Material routes'!$J$6:$J$1005,MATCH(U336,'Material routes'!$A$6:$A$1005,0)),"MISSING ID")</x:f>
        <x:v>Unspecified</x:v>
      </x:c>
      <x:c r="P336" s="4" t="str">
        <x:f>IF(IFERROR(INDEX('Material routes'!$I$6:$I$1005,MATCH(V336,'Material routes'!$A$6:$A$1005,0)),"MISSING ID")=0,"",IFERROR(INDEX('Material routes'!$I$6:$I$1005,MATCH(V336,'Material routes'!$A$6:$A$1005,0)),"MISSING ID"))</x:f>
      </x:c>
      <x:c r="Q336" s="4" t="str">
        <x:f>IFERROR(INDEX('Material routes'!$J$6:$J$1005,MATCH(V336,'Material routes'!$A$6:$A$1005,0)),"MISSING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routes'!$D$6:$D$1005,MATCH(U336,'Material routes'!$A$6:$A$1005,0)),"MISSING ID")</x:f>
        <x:v>proposal.natural.ceramic</x:v>
      </x:c>
      <x:c r="T336" s="4" t="str">
        <x:f>IFERROR(INDEX('Material routes'!$D$6:$D$1005,MATCH(V336,'Material routes'!$A$6:$A$1005,0)),"MISSING ID")</x:f>
        <x:v>proposal.ceramic.pour_spout</x:v>
      </x:c>
      <x:c r="U336" s="4" t="str">
        <x:v>design.review.proposal_ceramic_pour_spout.in.1</x:v>
      </x:c>
      <x:c r="V336" s="4" t="str">
        <x:v>design.review.proposal_ceramic_pour_spout.out</x:v>
      </x:c>
    </x:row>
    <x:row r="337" ht="115" customHeight="1">
      <x:c r="A337" s="4" t="str">
        <x:f>IFERROR(INDEX('Material routes'!$E$6:$E$1005,MATCH(U337,'Material routes'!$A$6:$A$1005,0)),"MISSING ID")</x:f>
        <x:v>Graded abrasive grit</x:v>
      </x:c>
      <x:c r="B337" s="4" t="str">
        <x:f>IFERROR(INDEX('Material routes'!$F$6:$F$1005,MATCH(U337,'Material routes'!$A$6:$A$1005,0)),"MISSING ID")</x:f>
        <x:v>T1</x:v>
      </x:c>
      <x:c r="C337" s="4" t="str">
        <x:f>IFERROR(INDEX('Material routes'!$H$6:$H$1005,MATCH(U337,'Material routes'!$A$6:$A$1005,0)),"MISSING ID")</x:f>
        <x:v>Processed material</x:v>
      </x:c>
      <x:c r="D337" s="4" t="str">
        <x:f>IFERROR(INDEX('Material routes'!$G$6:$G$1005,MATCH(U337,'Material routes'!$A$6:$A$1005,0)),"MISSING ID")</x:f>
        <x:v>Resources</x:v>
      </x:c>
      <x:c r="E337" s="4" t="str">
        <x:f>IFERROR(INDEX('Material routes'!$C$6:$C$1005,MATCH(U337,'Material routes'!$A$6:$A$1005,0)),"MISSING ID")</x:f>
        <x:v>Ingredient candidate</x:v>
      </x:c>
      <x:c r="F337" s="4" t="str">
        <x:f>IFERROR(INDEX('Material routes'!$E$6:$E$1005,MATCH(V337,'Material routes'!$A$6:$A$1005,0)),"MISSING ID")</x:f>
        <x:v>Ceramic pouring spout</x:v>
      </x:c>
      <x:c r="G337" s="4" t="str">
        <x:f>IFERROR(INDEX('Material routes'!$F$6:$F$1005,MATCH(V337,'Material routes'!$A$6:$A$1005,0)),"MISSING ID")</x:f>
        <x:v>T3</x:v>
      </x:c>
      <x:c r="H337" s="4" t="str">
        <x:f>IFERROR(INDEX('Material routes'!$H$6:$H$1005,MATCH(V337,'Material routes'!$A$6:$A$1005,0)),"MISSING ID")</x:f>
        <x:v>Container part</x:v>
      </x:c>
      <x:c r="I337" s="4" t="str">
        <x:f>IFERROR(INDEX('Material routes'!$G$6:$G$1005,MATCH(V337,'Material routes'!$A$6:$A$1005,0)),"MISSING ID")</x:f>
        <x:v>Crafting components</x:v>
      </x:c>
      <x:c r="J337" s="4" t="str">
        <x:f>IFERROR(INDEX('Material routes'!$B$6:$B$1005,MATCH(U337,'Material routes'!$A$6:$A$1005,0)),"MISSING ID")</x:f>
        <x:v>design.review.proposal_ceramic_pour_spout</x:v>
      </x:c>
      <x:c r="K337" s="4" t="str">
        <x:f>IFERROR(INDEX('Crafting recipes'!$C$6:$C$1005,MATCH(J337,'Crafting recipes'!$A$6:$A$1005,0)),"MISSING ID")</x:f>
        <x:v>Material refinement</x:v>
      </x:c>
      <x:c r="L337" s="4" t="str">
        <x:f>IFERROR(INDEX('Material routes'!$K$6:$K$1005,MATCH(U337,'Material routes'!$A$6:$A$1005,0)),"MISSING ID")</x:f>
        <x:v>Proposal</x:v>
      </x:c>
      <x:c r="M337" s="4" t="str">
        <x:f>IFERROR(INDEX('Material routes'!$M$6:$M$1005,MATCH(U337,'Material routes'!$A$6:$A$1005,0)),"MISSING ID")</x:f>
        <x:v>Partial proposal</x:v>
      </x:c>
      <x:c r="N337" s="4" t="str">
        <x:f>IF(IFERROR(INDEX('Material routes'!$I$6:$I$1005,MATCH(U337,'Material routes'!$A$6:$A$1005,0)),"MISSING ID")=0,"",IFERROR(INDEX('Material routes'!$I$6:$I$1005,MATCH(U337,'Material routes'!$A$6:$A$1005,0)),"MISSING ID"))</x:f>
      </x:c>
      <x:c r="O337" s="4" t="str">
        <x:f>IFERROR(INDEX('Material routes'!$J$6:$J$1005,MATCH(U337,'Material routes'!$A$6:$A$1005,0)),"MISSING ID")</x:f>
        <x:v>Unspecified</x:v>
      </x:c>
      <x:c r="P337" s="4" t="str">
        <x:f>IF(IFERROR(INDEX('Material routes'!$I$6:$I$1005,MATCH(V337,'Material routes'!$A$6:$A$1005,0)),"MISSING ID")=0,"",IFERROR(INDEX('Material routes'!$I$6:$I$1005,MATCH(V337,'Material routes'!$A$6:$A$1005,0)),"MISSING ID"))</x:f>
      </x:c>
      <x:c r="Q337" s="4" t="str">
        <x:f>IFERROR(INDEX('Material routes'!$J$6:$J$1005,MATCH(V337,'Material routes'!$A$6:$A$1005,0)),"MISSING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routes'!$D$6:$D$1005,MATCH(U337,'Material routes'!$A$6:$A$1005,0)),"MISSING ID")</x:f>
        <x:v>proposal.natural.abrasive</x:v>
      </x:c>
      <x:c r="T337" s="4" t="str">
        <x:f>IFERROR(INDEX('Material routes'!$D$6:$D$1005,MATCH(V337,'Material routes'!$A$6:$A$1005,0)),"MISSING ID")</x:f>
        <x:v>proposal.ceramic.pour_spout</x:v>
      </x:c>
      <x:c r="U337" s="4" t="str">
        <x:v>design.review.proposal_ceramic_pour_spout.in.2</x:v>
      </x:c>
      <x:c r="V337" s="4" t="str">
        <x:v>design.review.proposal_ceramic_pour_spout.out</x:v>
      </x:c>
    </x:row>
    <x:row r="338" ht="115" customHeight="1">
      <x:c r="A338" s="4" t="str">
        <x:f>IFERROR(INDEX('Material routes'!$E$6:$E$1005,MATCH(U338,'Material routes'!$A$6:$A$1005,0)),"MISSING ID")</x:f>
        <x:v>Insulating ceramic blanks</x:v>
      </x:c>
      <x:c r="B338" s="4" t="str">
        <x:f>IFERROR(INDEX('Material routes'!$F$6:$F$1005,MATCH(U338,'Material routes'!$A$6:$A$1005,0)),"MISSING ID")</x:f>
        <x:v>T2</x:v>
      </x:c>
      <x:c r="C338" s="4" t="str">
        <x:f>IFERROR(INDEX('Material routes'!$H$6:$H$1005,MATCH(U338,'Material routes'!$A$6:$A$1005,0)),"MISSING ID")</x:f>
        <x:v>Processed material</x:v>
      </x:c>
      <x:c r="D338" s="4" t="str">
        <x:f>IFERROR(INDEX('Material routes'!$G$6:$G$1005,MATCH(U338,'Material routes'!$A$6:$A$1005,0)),"MISSING ID")</x:f>
        <x:v>Resources</x:v>
      </x:c>
      <x:c r="E338" s="4" t="str">
        <x:f>IFERROR(INDEX('Material routes'!$C$6:$C$1005,MATCH(U338,'Material routes'!$A$6:$A$1005,0)),"MISSING ID")</x:f>
        <x:v>Ingredient candidate</x:v>
      </x:c>
      <x:c r="F338" s="4" t="str">
        <x:f>IFERROR(INDEX('Material routes'!$E$6:$E$1005,MATCH(V338,'Material routes'!$A$6:$A$1005,0)),"MISSING ID")</x:f>
        <x:v>Ceramic conduit section</x:v>
      </x:c>
      <x:c r="G338" s="4" t="str">
        <x:f>IFERROR(INDEX('Material routes'!$F$6:$F$1005,MATCH(V338,'Material routes'!$A$6:$A$1005,0)),"MISSING ID")</x:f>
        <x:v>T3</x:v>
      </x:c>
      <x:c r="H338" s="4" t="str">
        <x:f>IFERROR(INDEX('Material routes'!$H$6:$H$1005,MATCH(V338,'Material routes'!$A$6:$A$1005,0)),"MISSING ID")</x:f>
        <x:v>Crafting component</x:v>
      </x:c>
      <x:c r="I338" s="4" t="str">
        <x:f>IFERROR(INDEX('Material routes'!$G$6:$G$1005,MATCH(V338,'Material routes'!$A$6:$A$1005,0)),"MISSING ID")</x:f>
        <x:v>Crafting components</x:v>
      </x:c>
      <x:c r="J338" s="4" t="str">
        <x:f>IFERROR(INDEX('Material routes'!$B$6:$B$1005,MATCH(U338,'Material routes'!$A$6:$A$1005,0)),"MISSING ID")</x:f>
        <x:v>design.review.proposal_ceramic_conduit</x:v>
      </x:c>
      <x:c r="K338" s="4" t="str">
        <x:f>IFERROR(INDEX('Crafting recipes'!$C$6:$C$1005,MATCH(J338,'Crafting recipes'!$A$6:$A$1005,0)),"MISSING ID")</x:f>
        <x:v>Material refinement</x:v>
      </x:c>
      <x:c r="L338" s="4" t="str">
        <x:f>IFERROR(INDEX('Material routes'!$K$6:$K$1005,MATCH(U338,'Material routes'!$A$6:$A$1005,0)),"MISSING ID")</x:f>
        <x:v>Proposal</x:v>
      </x:c>
      <x:c r="M338" s="4" t="str">
        <x:f>IFERROR(INDEX('Material routes'!$M$6:$M$1005,MATCH(U338,'Material routes'!$A$6:$A$1005,0)),"MISSING ID")</x:f>
        <x:v>Partial proposal</x:v>
      </x:c>
      <x:c r="N338" s="4" t="str">
        <x:f>IF(IFERROR(INDEX('Material routes'!$I$6:$I$1005,MATCH(U338,'Material routes'!$A$6:$A$1005,0)),"MISSING ID")=0,"",IFERROR(INDEX('Material routes'!$I$6:$I$1005,MATCH(U338,'Material routes'!$A$6:$A$1005,0)),"MISSING ID"))</x:f>
      </x:c>
      <x:c r="O338" s="4" t="str">
        <x:f>IFERROR(INDEX('Material routes'!$J$6:$J$1005,MATCH(U338,'Material routes'!$A$6:$A$1005,0)),"MISSING ID")</x:f>
        <x:v>Unspecified</x:v>
      </x:c>
      <x:c r="P338" s="4" t="str">
        <x:f>IF(IFERROR(INDEX('Material routes'!$I$6:$I$1005,MATCH(V338,'Material routes'!$A$6:$A$1005,0)),"MISSING ID")=0,"",IFERROR(INDEX('Material routes'!$I$6:$I$1005,MATCH(V338,'Material routes'!$A$6:$A$1005,0)),"MISSING ID"))</x:f>
      </x:c>
      <x:c r="Q338" s="4" t="str">
        <x:f>IFERROR(INDEX('Material routes'!$J$6:$J$1005,MATCH(V338,'Material routes'!$A$6:$A$1005,0)),"MISSING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routes'!$D$6:$D$1005,MATCH(U338,'Material routes'!$A$6:$A$1005,0)),"MISSING ID")</x:f>
        <x:v>proposal.natural.ceramic</x:v>
      </x:c>
      <x:c r="T338" s="4" t="str">
        <x:f>IFERROR(INDEX('Material routes'!$D$6:$D$1005,MATCH(V338,'Material routes'!$A$6:$A$1005,0)),"MISSING ID")</x:f>
        <x:v>proposal.ceramic.conduit</x:v>
      </x:c>
      <x:c r="U338" s="4" t="str">
        <x:v>design.review.proposal_ceramic_conduit.in.1</x:v>
      </x:c>
      <x:c r="V338" s="4" t="str">
        <x:v>design.review.proposal_ceramic_conduit.out</x:v>
      </x:c>
    </x:row>
    <x:row r="339" ht="115" customHeight="1">
      <x:c r="A339" s="4" t="str">
        <x:f>IFERROR(INDEX('Material routes'!$E$6:$E$1005,MATCH(U339,'Material routes'!$A$6:$A$1005,0)),"MISSING ID")</x:f>
        <x:v>Graded abrasive grit</x:v>
      </x:c>
      <x:c r="B339" s="4" t="str">
        <x:f>IFERROR(INDEX('Material routes'!$F$6:$F$1005,MATCH(U339,'Material routes'!$A$6:$A$1005,0)),"MISSING ID")</x:f>
        <x:v>T1</x:v>
      </x:c>
      <x:c r="C339" s="4" t="str">
        <x:f>IFERROR(INDEX('Material routes'!$H$6:$H$1005,MATCH(U339,'Material routes'!$A$6:$A$1005,0)),"MISSING ID")</x:f>
        <x:v>Processed material</x:v>
      </x:c>
      <x:c r="D339" s="4" t="str">
        <x:f>IFERROR(INDEX('Material routes'!$G$6:$G$1005,MATCH(U339,'Material routes'!$A$6:$A$1005,0)),"MISSING ID")</x:f>
        <x:v>Resources</x:v>
      </x:c>
      <x:c r="E339" s="4" t="str">
        <x:f>IFERROR(INDEX('Material routes'!$C$6:$C$1005,MATCH(U339,'Material routes'!$A$6:$A$1005,0)),"MISSING ID")</x:f>
        <x:v>Ingredient candidate</x:v>
      </x:c>
      <x:c r="F339" s="4" t="str">
        <x:f>IFERROR(INDEX('Material routes'!$E$6:$E$1005,MATCH(V339,'Material routes'!$A$6:$A$1005,0)),"MISSING ID")</x:f>
        <x:v>Ceramic conduit section</x:v>
      </x:c>
      <x:c r="G339" s="4" t="str">
        <x:f>IFERROR(INDEX('Material routes'!$F$6:$F$1005,MATCH(V339,'Material routes'!$A$6:$A$1005,0)),"MISSING ID")</x:f>
        <x:v>T3</x:v>
      </x:c>
      <x:c r="H339" s="4" t="str">
        <x:f>IFERROR(INDEX('Material routes'!$H$6:$H$1005,MATCH(V339,'Material routes'!$A$6:$A$1005,0)),"MISSING ID")</x:f>
        <x:v>Crafting component</x:v>
      </x:c>
      <x:c r="I339" s="4" t="str">
        <x:f>IFERROR(INDEX('Material routes'!$G$6:$G$1005,MATCH(V339,'Material routes'!$A$6:$A$1005,0)),"MISSING ID")</x:f>
        <x:v>Crafting components</x:v>
      </x:c>
      <x:c r="J339" s="4" t="str">
        <x:f>IFERROR(INDEX('Material routes'!$B$6:$B$1005,MATCH(U339,'Material routes'!$A$6:$A$1005,0)),"MISSING ID")</x:f>
        <x:v>design.review.proposal_ceramic_conduit</x:v>
      </x:c>
      <x:c r="K339" s="4" t="str">
        <x:f>IFERROR(INDEX('Crafting recipes'!$C$6:$C$1005,MATCH(J339,'Crafting recipes'!$A$6:$A$1005,0)),"MISSING ID")</x:f>
        <x:v>Material refinement</x:v>
      </x:c>
      <x:c r="L339" s="4" t="str">
        <x:f>IFERROR(INDEX('Material routes'!$K$6:$K$1005,MATCH(U339,'Material routes'!$A$6:$A$1005,0)),"MISSING ID")</x:f>
        <x:v>Proposal</x:v>
      </x:c>
      <x:c r="M339" s="4" t="str">
        <x:f>IFERROR(INDEX('Material routes'!$M$6:$M$1005,MATCH(U339,'Material routes'!$A$6:$A$1005,0)),"MISSING ID")</x:f>
        <x:v>Partial proposal</x:v>
      </x:c>
      <x:c r="N339" s="4" t="str">
        <x:f>IF(IFERROR(INDEX('Material routes'!$I$6:$I$1005,MATCH(U339,'Material routes'!$A$6:$A$1005,0)),"MISSING ID")=0,"",IFERROR(INDEX('Material routes'!$I$6:$I$1005,MATCH(U339,'Material routes'!$A$6:$A$1005,0)),"MISSING ID"))</x:f>
      </x:c>
      <x:c r="O339" s="4" t="str">
        <x:f>IFERROR(INDEX('Material routes'!$J$6:$J$1005,MATCH(U339,'Material routes'!$A$6:$A$1005,0)),"MISSING ID")</x:f>
        <x:v>Unspecified</x:v>
      </x:c>
      <x:c r="P339" s="4" t="str">
        <x:f>IF(IFERROR(INDEX('Material routes'!$I$6:$I$1005,MATCH(V339,'Material routes'!$A$6:$A$1005,0)),"MISSING ID")=0,"",IFERROR(INDEX('Material routes'!$I$6:$I$1005,MATCH(V339,'Material routes'!$A$6:$A$1005,0)),"MISSING ID"))</x:f>
      </x:c>
      <x:c r="Q339" s="4" t="str">
        <x:f>IFERROR(INDEX('Material routes'!$J$6:$J$1005,MATCH(V339,'Material routes'!$A$6:$A$1005,0)),"MISSING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routes'!$D$6:$D$1005,MATCH(U339,'Material routes'!$A$6:$A$1005,0)),"MISSING ID")</x:f>
        <x:v>proposal.natural.abrasive</x:v>
      </x:c>
      <x:c r="T339" s="4" t="str">
        <x:f>IFERROR(INDEX('Material routes'!$D$6:$D$1005,MATCH(V339,'Material routes'!$A$6:$A$1005,0)),"MISSING ID")</x:f>
        <x:v>proposal.ceramic.conduit</x:v>
      </x:c>
      <x:c r="U339" s="4" t="str">
        <x:v>design.review.proposal_ceramic_conduit.in.2</x:v>
      </x:c>
      <x:c r="V339" s="4" t="str">
        <x:v>design.review.proposal_ceramic_conduit.out</x:v>
      </x:c>
    </x:row>
    <x:row r="340" ht="115" customHeight="1">
      <x:c r="A340" s="4" t="str">
        <x:f>IFERROR(INDEX('Material routes'!$E$6:$E$1005,MATCH(U340,'Material routes'!$A$6:$A$1005,0)),"MISSING ID")</x:f>
        <x:v>Insulating ceramic blanks</x:v>
      </x:c>
      <x:c r="B340" s="4" t="str">
        <x:f>IFERROR(INDEX('Material routes'!$F$6:$F$1005,MATCH(U340,'Material routes'!$A$6:$A$1005,0)),"MISSING ID")</x:f>
        <x:v>T2</x:v>
      </x:c>
      <x:c r="C340" s="4" t="str">
        <x:f>IFERROR(INDEX('Material routes'!$H$6:$H$1005,MATCH(U340,'Material routes'!$A$6:$A$1005,0)),"MISSING ID")</x:f>
        <x:v>Processed material</x:v>
      </x:c>
      <x:c r="D340" s="4" t="str">
        <x:f>IFERROR(INDEX('Material routes'!$G$6:$G$1005,MATCH(U340,'Material routes'!$A$6:$A$1005,0)),"MISSING ID")</x:f>
        <x:v>Resources</x:v>
      </x:c>
      <x:c r="E340" s="4" t="str">
        <x:f>IFERROR(INDEX('Material routes'!$C$6:$C$1005,MATCH(U340,'Material routes'!$A$6:$A$1005,0)),"MISSING ID")</x:f>
        <x:v>Ingredient candidate</x:v>
      </x:c>
      <x:c r="F340" s="4" t="str">
        <x:f>IFERROR(INDEX('Material routes'!$E$6:$E$1005,MATCH(V340,'Material routes'!$A$6:$A$1005,0)),"MISSING ID")</x:f>
        <x:v>Ceramic toggle fastener</x:v>
      </x:c>
      <x:c r="G340" s="4" t="str">
        <x:f>IFERROR(INDEX('Material routes'!$F$6:$F$1005,MATCH(V340,'Material routes'!$A$6:$A$1005,0)),"MISSING ID")</x:f>
        <x:v>T3</x:v>
      </x:c>
      <x:c r="H340" s="4" t="str">
        <x:f>IFERROR(INDEX('Material routes'!$H$6:$H$1005,MATCH(V340,'Material routes'!$A$6:$A$1005,0)),"MISSING ID")</x:f>
        <x:v>Crafting component</x:v>
      </x:c>
      <x:c r="I340" s="4" t="str">
        <x:f>IFERROR(INDEX('Material routes'!$G$6:$G$1005,MATCH(V340,'Material routes'!$A$6:$A$1005,0)),"MISSING ID")</x:f>
        <x:v>Crafting components</x:v>
      </x:c>
      <x:c r="J340" s="4" t="str">
        <x:f>IFERROR(INDEX('Material routes'!$B$6:$B$1005,MATCH(U340,'Material routes'!$A$6:$A$1005,0)),"MISSING ID")</x:f>
        <x:v>design.review.proposal_ceramic_fastener</x:v>
      </x:c>
      <x:c r="K340" s="4" t="str">
        <x:f>IFERROR(INDEX('Crafting recipes'!$C$6:$C$1005,MATCH(J340,'Crafting recipes'!$A$6:$A$1005,0)),"MISSING ID")</x:f>
        <x:v>Material refinement</x:v>
      </x:c>
      <x:c r="L340" s="4" t="str">
        <x:f>IFERROR(INDEX('Material routes'!$K$6:$K$1005,MATCH(U340,'Material routes'!$A$6:$A$1005,0)),"MISSING ID")</x:f>
        <x:v>Proposal</x:v>
      </x:c>
      <x:c r="M340" s="4" t="str">
        <x:f>IFERROR(INDEX('Material routes'!$M$6:$M$1005,MATCH(U340,'Material routes'!$A$6:$A$1005,0)),"MISSING ID")</x:f>
        <x:v>Partial proposal</x:v>
      </x:c>
      <x:c r="N340" s="4" t="str">
        <x:f>IF(IFERROR(INDEX('Material routes'!$I$6:$I$1005,MATCH(U340,'Material routes'!$A$6:$A$1005,0)),"MISSING ID")=0,"",IFERROR(INDEX('Material routes'!$I$6:$I$1005,MATCH(U340,'Material routes'!$A$6:$A$1005,0)),"MISSING ID"))</x:f>
      </x:c>
      <x:c r="O340" s="4" t="str">
        <x:f>IFERROR(INDEX('Material routes'!$J$6:$J$1005,MATCH(U340,'Material routes'!$A$6:$A$1005,0)),"MISSING ID")</x:f>
        <x:v>Unspecified</x:v>
      </x:c>
      <x:c r="P340" s="4" t="str">
        <x:f>IF(IFERROR(INDEX('Material routes'!$I$6:$I$1005,MATCH(V340,'Material routes'!$A$6:$A$1005,0)),"MISSING ID")=0,"",IFERROR(INDEX('Material routes'!$I$6:$I$1005,MATCH(V340,'Material routes'!$A$6:$A$1005,0)),"MISSING ID"))</x:f>
      </x:c>
      <x:c r="Q340" s="4" t="str">
        <x:f>IFERROR(INDEX('Material routes'!$J$6:$J$1005,MATCH(V340,'Material routes'!$A$6:$A$1005,0)),"MISSING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routes'!$D$6:$D$1005,MATCH(U340,'Material routes'!$A$6:$A$1005,0)),"MISSING ID")</x:f>
        <x:v>proposal.natural.ceramic</x:v>
      </x:c>
      <x:c r="T340" s="4" t="str">
        <x:f>IFERROR(INDEX('Material routes'!$D$6:$D$1005,MATCH(V340,'Material routes'!$A$6:$A$1005,0)),"MISSING ID")</x:f>
        <x:v>proposal.ceramic.fastener</x:v>
      </x:c>
      <x:c r="U340" s="4" t="str">
        <x:v>design.review.proposal_ceramic_fastener.in.1</x:v>
      </x:c>
      <x:c r="V340" s="4" t="str">
        <x:v>design.review.proposal_ceramic_fastener.out</x:v>
      </x:c>
    </x:row>
    <x:row r="341" ht="115" customHeight="1">
      <x:c r="A341" s="4" t="str">
        <x:f>IFERROR(INDEX('Material routes'!$E$6:$E$1005,MATCH(U341,'Material routes'!$A$6:$A$1005,0)),"MISSING ID")</x:f>
        <x:v>Graded abrasive grit</x:v>
      </x:c>
      <x:c r="B341" s="4" t="str">
        <x:f>IFERROR(INDEX('Material routes'!$F$6:$F$1005,MATCH(U341,'Material routes'!$A$6:$A$1005,0)),"MISSING ID")</x:f>
        <x:v>T1</x:v>
      </x:c>
      <x:c r="C341" s="4" t="str">
        <x:f>IFERROR(INDEX('Material routes'!$H$6:$H$1005,MATCH(U341,'Material routes'!$A$6:$A$1005,0)),"MISSING ID")</x:f>
        <x:v>Processed material</x:v>
      </x:c>
      <x:c r="D341" s="4" t="str">
        <x:f>IFERROR(INDEX('Material routes'!$G$6:$G$1005,MATCH(U341,'Material routes'!$A$6:$A$1005,0)),"MISSING ID")</x:f>
        <x:v>Resources</x:v>
      </x:c>
      <x:c r="E341" s="4" t="str">
        <x:f>IFERROR(INDEX('Material routes'!$C$6:$C$1005,MATCH(U341,'Material routes'!$A$6:$A$1005,0)),"MISSING ID")</x:f>
        <x:v>Ingredient candidate</x:v>
      </x:c>
      <x:c r="F341" s="4" t="str">
        <x:f>IFERROR(INDEX('Material routes'!$E$6:$E$1005,MATCH(V341,'Material routes'!$A$6:$A$1005,0)),"MISSING ID")</x:f>
        <x:v>Ceramic toggle fastener</x:v>
      </x:c>
      <x:c r="G341" s="4" t="str">
        <x:f>IFERROR(INDEX('Material routes'!$F$6:$F$1005,MATCH(V341,'Material routes'!$A$6:$A$1005,0)),"MISSING ID")</x:f>
        <x:v>T3</x:v>
      </x:c>
      <x:c r="H341" s="4" t="str">
        <x:f>IFERROR(INDEX('Material routes'!$H$6:$H$1005,MATCH(V341,'Material routes'!$A$6:$A$1005,0)),"MISSING ID")</x:f>
        <x:v>Crafting component</x:v>
      </x:c>
      <x:c r="I341" s="4" t="str">
        <x:f>IFERROR(INDEX('Material routes'!$G$6:$G$1005,MATCH(V341,'Material routes'!$A$6:$A$1005,0)),"MISSING ID")</x:f>
        <x:v>Crafting components</x:v>
      </x:c>
      <x:c r="J341" s="4" t="str">
        <x:f>IFERROR(INDEX('Material routes'!$B$6:$B$1005,MATCH(U341,'Material routes'!$A$6:$A$1005,0)),"MISSING ID")</x:f>
        <x:v>design.review.proposal_ceramic_fastener</x:v>
      </x:c>
      <x:c r="K341" s="4" t="str">
        <x:f>IFERROR(INDEX('Crafting recipes'!$C$6:$C$1005,MATCH(J341,'Crafting recipes'!$A$6:$A$1005,0)),"MISSING ID")</x:f>
        <x:v>Material refinement</x:v>
      </x:c>
      <x:c r="L341" s="4" t="str">
        <x:f>IFERROR(INDEX('Material routes'!$K$6:$K$1005,MATCH(U341,'Material routes'!$A$6:$A$1005,0)),"MISSING ID")</x:f>
        <x:v>Proposal</x:v>
      </x:c>
      <x:c r="M341" s="4" t="str">
        <x:f>IFERROR(INDEX('Material routes'!$M$6:$M$1005,MATCH(U341,'Material routes'!$A$6:$A$1005,0)),"MISSING ID")</x:f>
        <x:v>Partial proposal</x:v>
      </x:c>
      <x:c r="N341" s="4" t="str">
        <x:f>IF(IFERROR(INDEX('Material routes'!$I$6:$I$1005,MATCH(U341,'Material routes'!$A$6:$A$1005,0)),"MISSING ID")=0,"",IFERROR(INDEX('Material routes'!$I$6:$I$1005,MATCH(U341,'Material routes'!$A$6:$A$1005,0)),"MISSING ID"))</x:f>
      </x:c>
      <x:c r="O341" s="4" t="str">
        <x:f>IFERROR(INDEX('Material routes'!$J$6:$J$1005,MATCH(U341,'Material routes'!$A$6:$A$1005,0)),"MISSING ID")</x:f>
        <x:v>Unspecified</x:v>
      </x:c>
      <x:c r="P341" s="4" t="str">
        <x:f>IF(IFERROR(INDEX('Material routes'!$I$6:$I$1005,MATCH(V341,'Material routes'!$A$6:$A$1005,0)),"MISSING ID")=0,"",IFERROR(INDEX('Material routes'!$I$6:$I$1005,MATCH(V341,'Material routes'!$A$6:$A$1005,0)),"MISSING ID"))</x:f>
      </x:c>
      <x:c r="Q341" s="4" t="str">
        <x:f>IFERROR(INDEX('Material routes'!$J$6:$J$1005,MATCH(V341,'Material routes'!$A$6:$A$1005,0)),"MISSING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routes'!$D$6:$D$1005,MATCH(U341,'Material routes'!$A$6:$A$1005,0)),"MISSING ID")</x:f>
        <x:v>proposal.natural.abrasive</x:v>
      </x:c>
      <x:c r="T341" s="4" t="str">
        <x:f>IFERROR(INDEX('Material routes'!$D$6:$D$1005,MATCH(V341,'Material routes'!$A$6:$A$1005,0)),"MISSING ID")</x:f>
        <x:v>proposal.ceramic.fastener</x:v>
      </x:c>
      <x:c r="U341" s="4" t="str">
        <x:v>design.review.proposal_ceramic_fastener.in.2</x:v>
      </x:c>
      <x:c r="V341" s="4" t="str">
        <x:v>design.review.proposal_ceramic_fastener.out</x:v>
      </x:c>
    </x:row>
    <x:row r="342" ht="115" customHeight="1">
      <x:c r="A342" s="4" t="str">
        <x:f>IFERROR(INDEX('Material routes'!$E$6:$E$1005,MATCH(U342,'Material routes'!$A$6:$A$1005,0)),"MISSING ID")</x:f>
        <x:v>Ceramic-metal feedthrough blanks</x:v>
      </x:c>
      <x:c r="B342" s="4" t="str">
        <x:f>IFERROR(INDEX('Material routes'!$F$6:$F$1005,MATCH(U342,'Material routes'!$A$6:$A$1005,0)),"MISSING ID")</x:f>
        <x:v>T3</x:v>
      </x:c>
      <x:c r="C342" s="4" t="str">
        <x:f>IFERROR(INDEX('Material routes'!$H$6:$H$1005,MATCH(U342,'Material routes'!$A$6:$A$1005,0)),"MISSING ID")</x:f>
        <x:v>Crafting component</x:v>
      </x:c>
      <x:c r="D342" s="4" t="str">
        <x:f>IFERROR(INDEX('Material routes'!$G$6:$G$1005,MATCH(U342,'Material routes'!$A$6:$A$1005,0)),"MISSING ID")</x:f>
        <x:v>Crafting components</x:v>
      </x:c>
      <x:c r="E342" s="4" t="str">
        <x:f>IFERROR(INDEX('Material routes'!$C$6:$C$1005,MATCH(U342,'Material routes'!$A$6:$A$1005,0)),"MISSING ID")</x:f>
        <x:v>Ingredient candidate</x:v>
      </x:c>
      <x:c r="F342" s="4" t="str">
        <x:f>IFERROR(INDEX('Material routes'!$E$6:$E$1005,MATCH(V342,'Material routes'!$A$6:$A$1005,0)),"MISSING ID")</x:f>
        <x:v>Ceramic electrical feedthrough</x:v>
      </x:c>
      <x:c r="G342" s="4" t="str">
        <x:f>IFERROR(INDEX('Material routes'!$F$6:$F$1005,MATCH(V342,'Material routes'!$A$6:$A$1005,0)),"MISSING ID")</x:f>
        <x:v>T4</x:v>
      </x:c>
      <x:c r="H342" s="4" t="str">
        <x:f>IFERROR(INDEX('Material routes'!$H$6:$H$1005,MATCH(V342,'Material routes'!$A$6:$A$1005,0)),"MISSING ID")</x:f>
        <x:v>Crafting component</x:v>
      </x:c>
      <x:c r="I342" s="4" t="str">
        <x:f>IFERROR(INDEX('Material routes'!$G$6:$G$1005,MATCH(V342,'Material routes'!$A$6:$A$1005,0)),"MISSING ID")</x:f>
        <x:v>Crafting components</x:v>
      </x:c>
      <x:c r="J342" s="4" t="str">
        <x:f>IFERROR(INDEX('Material routes'!$B$6:$B$1005,MATCH(U342,'Material routes'!$A$6:$A$1005,0)),"MISSING ID")</x:f>
        <x:v>design.review.proposal_ceramic_feedthrough</x:v>
      </x:c>
      <x:c r="K342" s="4" t="str">
        <x:f>IFERROR(INDEX('Crafting recipes'!$C$6:$C$1005,MATCH(J342,'Crafting recipes'!$A$6:$A$1005,0)),"MISSING ID")</x:f>
        <x:v>Material refinement</x:v>
      </x:c>
      <x:c r="L342" s="4" t="str">
        <x:f>IFERROR(INDEX('Material routes'!$K$6:$K$1005,MATCH(U342,'Material routes'!$A$6:$A$1005,0)),"MISSING ID")</x:f>
        <x:v>Proposal</x:v>
      </x:c>
      <x:c r="M342" s="4" t="str">
        <x:f>IFERROR(INDEX('Material routes'!$M$6:$M$1005,MATCH(U342,'Material routes'!$A$6:$A$1005,0)),"MISSING ID")</x:f>
        <x:v>Partial proposal</x:v>
      </x:c>
      <x:c r="N342" s="4" t="str">
        <x:f>IF(IFERROR(INDEX('Material routes'!$I$6:$I$1005,MATCH(U342,'Material routes'!$A$6:$A$1005,0)),"MISSING ID")=0,"",IFERROR(INDEX('Material routes'!$I$6:$I$1005,MATCH(U342,'Material routes'!$A$6:$A$1005,0)),"MISSING ID"))</x:f>
      </x:c>
      <x:c r="O342" s="4" t="str">
        <x:f>IFERROR(INDEX('Material routes'!$J$6:$J$1005,MATCH(U342,'Material routes'!$A$6:$A$1005,0)),"MISSING ID")</x:f>
        <x:v>Unspecified</x:v>
      </x:c>
      <x:c r="P342" s="4" t="str">
        <x:f>IF(IFERROR(INDEX('Material routes'!$I$6:$I$1005,MATCH(V342,'Material routes'!$A$6:$A$1005,0)),"MISSING ID")=0,"",IFERROR(INDEX('Material routes'!$I$6:$I$1005,MATCH(V342,'Material routes'!$A$6:$A$1005,0)),"MISSING ID"))</x:f>
      </x:c>
      <x:c r="Q342" s="4" t="str">
        <x:f>IFERROR(INDEX('Material routes'!$J$6:$J$1005,MATCH(V342,'Material routes'!$A$6:$A$1005,0)),"MISSING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routes'!$D$6:$D$1005,MATCH(U342,'Material routes'!$A$6:$A$1005,0)),"MISSING ID")</x:f>
        <x:v>proposal.t3.feedthrough_blank</x:v>
      </x:c>
      <x:c r="T342" s="4" t="str">
        <x:f>IFERROR(INDEX('Material routes'!$D$6:$D$1005,MATCH(V342,'Material routes'!$A$6:$A$1005,0)),"MISSING ID")</x:f>
        <x:v>proposal.ceramic.feedthrough</x:v>
      </x:c>
      <x:c r="U342" s="4" t="str">
        <x:v>design.review.proposal_ceramic_feedthrough.in.1</x:v>
      </x:c>
      <x:c r="V342" s="4" t="str">
        <x:v>design.review.proposal_ceramic_feedthrough.out</x:v>
      </x:c>
    </x:row>
    <x:row r="343" ht="115" customHeight="1">
      <x:c r="A343" s="4" t="str">
        <x:f>IFERROR(INDEX('Material routes'!$E$6:$E$1005,MATCH(U343,'Material routes'!$A$6:$A$1005,0)),"MISSING ID")</x:f>
        <x:v>Insulated conductor stock</x:v>
      </x:c>
      <x:c r="B343" s="4" t="str">
        <x:f>IFERROR(INDEX('Material routes'!$F$6:$F$1005,MATCH(U343,'Material routes'!$A$6:$A$1005,0)),"MISSING ID")</x:f>
        <x:v>T3</x:v>
      </x:c>
      <x:c r="C343" s="4" t="str">
        <x:f>IFERROR(INDEX('Material routes'!$H$6:$H$1005,MATCH(U343,'Material routes'!$A$6:$A$1005,0)),"MISSING ID")</x:f>
        <x:v>Processed material</x:v>
      </x:c>
      <x:c r="D343" s="4" t="str">
        <x:f>IFERROR(INDEX('Material routes'!$G$6:$G$1005,MATCH(U343,'Material routes'!$A$6:$A$1005,0)),"MISSING ID")</x:f>
        <x:v>Resources</x:v>
      </x:c>
      <x:c r="E343" s="4" t="str">
        <x:f>IFERROR(INDEX('Material routes'!$C$6:$C$1005,MATCH(U343,'Material routes'!$A$6:$A$1005,0)),"MISSING ID")</x:f>
        <x:v>Ingredient candidate</x:v>
      </x:c>
      <x:c r="F343" s="4" t="str">
        <x:f>IFERROR(INDEX('Material routes'!$E$6:$E$1005,MATCH(V343,'Material routes'!$A$6:$A$1005,0)),"MISSING ID")</x:f>
        <x:v>Ceramic electrical feedthrough</x:v>
      </x:c>
      <x:c r="G343" s="4" t="str">
        <x:f>IFERROR(INDEX('Material routes'!$F$6:$F$1005,MATCH(V343,'Material routes'!$A$6:$A$1005,0)),"MISSING ID")</x:f>
        <x:v>T4</x:v>
      </x:c>
      <x:c r="H343" s="4" t="str">
        <x:f>IFERROR(INDEX('Material routes'!$H$6:$H$1005,MATCH(V343,'Material routes'!$A$6:$A$1005,0)),"MISSING ID")</x:f>
        <x:v>Crafting component</x:v>
      </x:c>
      <x:c r="I343" s="4" t="str">
        <x:f>IFERROR(INDEX('Material routes'!$G$6:$G$1005,MATCH(V343,'Material routes'!$A$6:$A$1005,0)),"MISSING ID")</x:f>
        <x:v>Crafting components</x:v>
      </x:c>
      <x:c r="J343" s="4" t="str">
        <x:f>IFERROR(INDEX('Material routes'!$B$6:$B$1005,MATCH(U343,'Material routes'!$A$6:$A$1005,0)),"MISSING ID")</x:f>
        <x:v>design.review.proposal_ceramic_feedthrough</x:v>
      </x:c>
      <x:c r="K343" s="4" t="str">
        <x:f>IFERROR(INDEX('Crafting recipes'!$C$6:$C$1005,MATCH(J343,'Crafting recipes'!$A$6:$A$1005,0)),"MISSING ID")</x:f>
        <x:v>Material refinement</x:v>
      </x:c>
      <x:c r="L343" s="4" t="str">
        <x:f>IFERROR(INDEX('Material routes'!$K$6:$K$1005,MATCH(U343,'Material routes'!$A$6:$A$1005,0)),"MISSING ID")</x:f>
        <x:v>Proposal</x:v>
      </x:c>
      <x:c r="M343" s="4" t="str">
        <x:f>IFERROR(INDEX('Material routes'!$M$6:$M$1005,MATCH(U343,'Material routes'!$A$6:$A$1005,0)),"MISSING ID")</x:f>
        <x:v>Partial proposal</x:v>
      </x:c>
      <x:c r="N343" s="4" t="str">
        <x:f>IF(IFERROR(INDEX('Material routes'!$I$6:$I$1005,MATCH(U343,'Material routes'!$A$6:$A$1005,0)),"MISSING ID")=0,"",IFERROR(INDEX('Material routes'!$I$6:$I$1005,MATCH(U343,'Material routes'!$A$6:$A$1005,0)),"MISSING ID"))</x:f>
      </x:c>
      <x:c r="O343" s="4" t="str">
        <x:f>IFERROR(INDEX('Material routes'!$J$6:$J$1005,MATCH(U343,'Material routes'!$A$6:$A$1005,0)),"MISSING ID")</x:f>
        <x:v>Unspecified</x:v>
      </x:c>
      <x:c r="P343" s="4" t="str">
        <x:f>IF(IFERROR(INDEX('Material routes'!$I$6:$I$1005,MATCH(V343,'Material routes'!$A$6:$A$1005,0)),"MISSING ID")=0,"",IFERROR(INDEX('Material routes'!$I$6:$I$1005,MATCH(V343,'Material routes'!$A$6:$A$1005,0)),"MISSING ID"))</x:f>
      </x:c>
      <x:c r="Q343" s="4" t="str">
        <x:f>IFERROR(INDEX('Material routes'!$J$6:$J$1005,MATCH(V343,'Material routes'!$A$6:$A$1005,0)),"MISSING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routes'!$D$6:$D$1005,MATCH(U343,'Material routes'!$A$6:$A$1005,0)),"MISSING ID")</x:f>
        <x:v>proposal.branch.insulated_conductor</x:v>
      </x:c>
      <x:c r="T343" s="4" t="str">
        <x:f>IFERROR(INDEX('Material routes'!$D$6:$D$1005,MATCH(V343,'Material routes'!$A$6:$A$1005,0)),"MISSING ID")</x:f>
        <x:v>proposal.ceramic.feedthrough</x:v>
      </x:c>
      <x:c r="U343" s="4" t="str">
        <x:v>design.review.proposal_ceramic_feedthrough.in.2</x:v>
      </x:c>
      <x:c r="V343" s="4" t="str">
        <x:v>design.review.proposal_ceramic_feedthrough.out</x:v>
      </x:c>
    </x:row>
    <x:row r="344" ht="115" customHeight="1">
      <x:c r="A344" s="4" t="str">
        <x:f>IFERROR(INDEX('Material routes'!$E$6:$E$1005,MATCH(U344,'Material routes'!$A$6:$A$1005,0)),"MISSING ID")</x:f>
        <x:v>Reinforced sealing sheet</x:v>
      </x:c>
      <x:c r="B344" s="4" t="str">
        <x:f>IFERROR(INDEX('Material routes'!$F$6:$F$1005,MATCH(U344,'Material routes'!$A$6:$A$1005,0)),"MISSING ID")</x:f>
        <x:v>T3</x:v>
      </x:c>
      <x:c r="C344" s="4" t="str">
        <x:f>IFERROR(INDEX('Material routes'!$H$6:$H$1005,MATCH(U344,'Material routes'!$A$6:$A$1005,0)),"MISSING ID")</x:f>
        <x:v>Processed material</x:v>
      </x:c>
      <x:c r="D344" s="4" t="str">
        <x:f>IFERROR(INDEX('Material routes'!$G$6:$G$1005,MATCH(U344,'Material routes'!$A$6:$A$1005,0)),"MISSING ID")</x:f>
        <x:v>Resources</x:v>
      </x:c>
      <x:c r="E344" s="4" t="str">
        <x:f>IFERROR(INDEX('Material routes'!$C$6:$C$1005,MATCH(U344,'Material routes'!$A$6:$A$1005,0)),"MISSING ID")</x:f>
        <x:v>Ingredient candidate</x:v>
      </x:c>
      <x:c r="F344" s="4" t="str">
        <x:f>IFERROR(INDEX('Material routes'!$E$6:$E$1005,MATCH(V344,'Material routes'!$A$6:$A$1005,0)),"MISSING ID")</x:f>
        <x:v>Ceramic electrical feedthrough</x:v>
      </x:c>
      <x:c r="G344" s="4" t="str">
        <x:f>IFERROR(INDEX('Material routes'!$F$6:$F$1005,MATCH(V344,'Material routes'!$A$6:$A$1005,0)),"MISSING ID")</x:f>
        <x:v>T4</x:v>
      </x:c>
      <x:c r="H344" s="4" t="str">
        <x:f>IFERROR(INDEX('Material routes'!$H$6:$H$1005,MATCH(V344,'Material routes'!$A$6:$A$1005,0)),"MISSING ID")</x:f>
        <x:v>Crafting component</x:v>
      </x:c>
      <x:c r="I344" s="4" t="str">
        <x:f>IFERROR(INDEX('Material routes'!$G$6:$G$1005,MATCH(V344,'Material routes'!$A$6:$A$1005,0)),"MISSING ID")</x:f>
        <x:v>Crafting components</x:v>
      </x:c>
      <x:c r="J344" s="4" t="str">
        <x:f>IFERROR(INDEX('Material routes'!$B$6:$B$1005,MATCH(U344,'Material routes'!$A$6:$A$1005,0)),"MISSING ID")</x:f>
        <x:v>design.review.proposal_ceramic_feedthrough</x:v>
      </x:c>
      <x:c r="K344" s="4" t="str">
        <x:f>IFERROR(INDEX('Crafting recipes'!$C$6:$C$1005,MATCH(J344,'Crafting recipes'!$A$6:$A$1005,0)),"MISSING ID")</x:f>
        <x:v>Material refinement</x:v>
      </x:c>
      <x:c r="L344" s="4" t="str">
        <x:f>IFERROR(INDEX('Material routes'!$K$6:$K$1005,MATCH(U344,'Material routes'!$A$6:$A$1005,0)),"MISSING ID")</x:f>
        <x:v>Proposal</x:v>
      </x:c>
      <x:c r="M344" s="4" t="str">
        <x:f>IFERROR(INDEX('Material routes'!$M$6:$M$1005,MATCH(U344,'Material routes'!$A$6:$A$1005,0)),"MISSING ID")</x:f>
        <x:v>Partial proposal</x:v>
      </x:c>
      <x:c r="N344" s="4" t="str">
        <x:f>IF(IFERROR(INDEX('Material routes'!$I$6:$I$1005,MATCH(U344,'Material routes'!$A$6:$A$1005,0)),"MISSING ID")=0,"",IFERROR(INDEX('Material routes'!$I$6:$I$1005,MATCH(U344,'Material routes'!$A$6:$A$1005,0)),"MISSING ID"))</x:f>
      </x:c>
      <x:c r="O344" s="4" t="str">
        <x:f>IFERROR(INDEX('Material routes'!$J$6:$J$1005,MATCH(U344,'Material routes'!$A$6:$A$1005,0)),"MISSING ID")</x:f>
        <x:v>Unspecified</x:v>
      </x:c>
      <x:c r="P344" s="4" t="str">
        <x:f>IF(IFERROR(INDEX('Material routes'!$I$6:$I$1005,MATCH(V344,'Material routes'!$A$6:$A$1005,0)),"MISSING ID")=0,"",IFERROR(INDEX('Material routes'!$I$6:$I$1005,MATCH(V344,'Material routes'!$A$6:$A$1005,0)),"MISSING ID"))</x:f>
      </x:c>
      <x:c r="Q344" s="4" t="str">
        <x:f>IFERROR(INDEX('Material routes'!$J$6:$J$1005,MATCH(V344,'Material routes'!$A$6:$A$1005,0)),"MISSING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routes'!$D$6:$D$1005,MATCH(U344,'Material routes'!$A$6:$A$1005,0)),"MISSING ID")</x:f>
        <x:v>proposal.branch.sealing_sheet</x:v>
      </x:c>
      <x:c r="T344" s="4" t="str">
        <x:f>IFERROR(INDEX('Material routes'!$D$6:$D$1005,MATCH(V344,'Material routes'!$A$6:$A$1005,0)),"MISSING ID")</x:f>
        <x:v>proposal.ceramic.feedthrough</x:v>
      </x:c>
      <x:c r="U344" s="4" t="str">
        <x:v>design.review.proposal_ceramic_feedthrough.in.3</x:v>
      </x:c>
      <x:c r="V344" s="4" t="str">
        <x:v>design.review.proposal_ceramic_feedthrough.out</x:v>
      </x:c>
    </x:row>
    <x:row r="345" ht="115" customHeight="1">
      <x:c r="A345" s="4" t="str">
        <x:f>IFERROR(INDEX('Material routes'!$E$6:$E$1005,MATCH(U345,'Material routes'!$A$6:$A$1005,0)),"MISSING ID")</x:f>
        <x:v>Shell laminate</x:v>
      </x:c>
      <x:c r="B345" s="4" t="str">
        <x:f>IFERROR(INDEX('Material routes'!$F$6:$F$1005,MATCH(U345,'Material routes'!$A$6:$A$1005,0)),"MISSING ID")</x:f>
        <x:v>T2</x:v>
      </x:c>
      <x:c r="C345" s="4" t="str">
        <x:f>IFERROR(INDEX('Material routes'!$H$6:$H$1005,MATCH(U345,'Material routes'!$A$6:$A$1005,0)),"MISSING ID")</x:f>
        <x:v>Crafting component</x:v>
      </x:c>
      <x:c r="D345" s="4" t="str">
        <x:f>IFERROR(INDEX('Material routes'!$G$6:$G$1005,MATCH(U345,'Material routes'!$A$6:$A$1005,0)),"MISSING ID")</x:f>
        <x:v>Crafting components</x:v>
      </x:c>
      <x:c r="E345" s="4" t="str">
        <x:f>IFERROR(INDEX('Material routes'!$C$6:$C$1005,MATCH(U345,'Material routes'!$A$6:$A$1005,0)),"MISSING ID")</x:f>
        <x:v>Ingredient candidate</x:v>
      </x:c>
      <x:c r="F345" s="4" t="str">
        <x:f>IFERROR(INDEX('Material routes'!$E$6:$E$1005,MATCH(V345,'Material routes'!$A$6:$A$1005,0)),"MISSING ID")</x:f>
        <x:v>Cooking wind baffle</x:v>
      </x:c>
      <x:c r="G345" s="4" t="str">
        <x:f>IFERROR(INDEX('Material routes'!$F$6:$F$1005,MATCH(V345,'Material routes'!$A$6:$A$1005,0)),"MISSING ID")</x:f>
        <x:v>T3</x:v>
      </x:c>
      <x:c r="H345" s="4" t="str">
        <x:f>IFERROR(INDEX('Material routes'!$H$6:$H$1005,MATCH(V345,'Material routes'!$A$6:$A$1005,0)),"MISSING ID")</x:f>
        <x:v>Crafting component</x:v>
      </x:c>
      <x:c r="I345" s="4" t="str">
        <x:f>IFERROR(INDEX('Material routes'!$G$6:$G$1005,MATCH(V345,'Material routes'!$A$6:$A$1005,0)),"MISSING ID")</x:f>
        <x:v>Crafting components</x:v>
      </x:c>
      <x:c r="J345" s="4" t="str">
        <x:f>IFERROR(INDEX('Material routes'!$B$6:$B$1005,MATCH(U345,'Material routes'!$A$6:$A$1005,0)),"MISSING ID")</x:f>
        <x:v>design.review.proposal_fire_wind_baffle</x:v>
      </x:c>
      <x:c r="K345" s="4" t="str">
        <x:f>IFERROR(INDEX('Crafting recipes'!$C$6:$C$1005,MATCH(J345,'Crafting recipes'!$A$6:$A$1005,0)),"MISSING ID")</x:f>
        <x:v>Material refinement</x:v>
      </x:c>
      <x:c r="L345" s="4" t="str">
        <x:f>IFERROR(INDEX('Material routes'!$K$6:$K$1005,MATCH(U345,'Material routes'!$A$6:$A$1005,0)),"MISSING ID")</x:f>
        <x:v>Proposal</x:v>
      </x:c>
      <x:c r="M345" s="4" t="str">
        <x:f>IFERROR(INDEX('Material routes'!$M$6:$M$1005,MATCH(U345,'Material routes'!$A$6:$A$1005,0)),"MISSING ID")</x:f>
        <x:v>Partial proposal</x:v>
      </x:c>
      <x:c r="N345" s="4" t="str">
        <x:f>IF(IFERROR(INDEX('Material routes'!$I$6:$I$1005,MATCH(U345,'Material routes'!$A$6:$A$1005,0)),"MISSING ID")=0,"",IFERROR(INDEX('Material routes'!$I$6:$I$1005,MATCH(U345,'Material routes'!$A$6:$A$1005,0)),"MISSING ID"))</x:f>
      </x:c>
      <x:c r="O345" s="4" t="str">
        <x:f>IFERROR(INDEX('Material routes'!$J$6:$J$1005,MATCH(U345,'Material routes'!$A$6:$A$1005,0)),"MISSING ID")</x:f>
        <x:v>Unspecified</x:v>
      </x:c>
      <x:c r="P345" s="4" t="str">
        <x:f>IF(IFERROR(INDEX('Material routes'!$I$6:$I$1005,MATCH(V345,'Material routes'!$A$6:$A$1005,0)),"MISSING ID")=0,"",IFERROR(INDEX('Material routes'!$I$6:$I$1005,MATCH(V345,'Material routes'!$A$6:$A$1005,0)),"MISSING ID"))</x:f>
      </x:c>
      <x:c r="Q345" s="4" t="str">
        <x:f>IFERROR(INDEX('Material routes'!$J$6:$J$1005,MATCH(V345,'Material routes'!$A$6:$A$1005,0)),"MISSING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routes'!$D$6:$D$1005,MATCH(U345,'Material routes'!$A$6:$A$1005,0)),"MISSING ID")</x:f>
        <x:v>proposal.bio.laminate</x:v>
      </x:c>
      <x:c r="T345" s="4" t="str">
        <x:f>IFERROR(INDEX('Material routes'!$D$6:$D$1005,MATCH(V345,'Material routes'!$A$6:$A$1005,0)),"MISSING ID")</x:f>
        <x:v>proposal.fire.wind_baffle</x:v>
      </x:c>
      <x:c r="U345" s="4" t="str">
        <x:v>design.review.proposal_fire_wind_baffle.in.1</x:v>
      </x:c>
      <x:c r="V345" s="4" t="str">
        <x:v>design.review.proposal_fire_wind_baffle.out</x:v>
      </x:c>
    </x:row>
    <x:row r="346" ht="115" customHeight="1">
      <x:c r="A346" s="4" t="str">
        <x:f>IFERROR(INDEX('Material routes'!$E$6:$E$1005,MATCH(U346,'Material routes'!$A$6:$A$1005,0)),"MISSING ID")</x:f>
        <x:v>Worked iron stock</x:v>
      </x:c>
      <x:c r="B346" s="4" t="str">
        <x:f>IFERROR(INDEX('Material routes'!$F$6:$F$1005,MATCH(U346,'Material routes'!$A$6:$A$1005,0)),"MISSING ID")</x:f>
        <x:v>T2</x:v>
      </x:c>
      <x:c r="C346" s="4" t="str">
        <x:f>IFERROR(INDEX('Material routes'!$H$6:$H$1005,MATCH(U346,'Material routes'!$A$6:$A$1005,0)),"MISSING ID")</x:f>
        <x:v>Processed material</x:v>
      </x:c>
      <x:c r="D346" s="4" t="str">
        <x:f>IFERROR(INDEX('Material routes'!$G$6:$G$1005,MATCH(U346,'Material routes'!$A$6:$A$1005,0)),"MISSING ID")</x:f>
        <x:v>Resources</x:v>
      </x:c>
      <x:c r="E346" s="4" t="str">
        <x:f>IFERROR(INDEX('Material routes'!$C$6:$C$1005,MATCH(U346,'Material routes'!$A$6:$A$1005,0)),"MISSING ID")</x:f>
        <x:v>Ingredient candidate</x:v>
      </x:c>
      <x:c r="F346" s="4" t="str">
        <x:f>IFERROR(INDEX('Material routes'!$E$6:$E$1005,MATCH(V346,'Material routes'!$A$6:$A$1005,0)),"MISSING ID")</x:f>
        <x:v>Cooking wind baffle</x:v>
      </x:c>
      <x:c r="G346" s="4" t="str">
        <x:f>IFERROR(INDEX('Material routes'!$F$6:$F$1005,MATCH(V346,'Material routes'!$A$6:$A$1005,0)),"MISSING ID")</x:f>
        <x:v>T3</x:v>
      </x:c>
      <x:c r="H346" s="4" t="str">
        <x:f>IFERROR(INDEX('Material routes'!$H$6:$H$1005,MATCH(V346,'Material routes'!$A$6:$A$1005,0)),"MISSING ID")</x:f>
        <x:v>Crafting component</x:v>
      </x:c>
      <x:c r="I346" s="4" t="str">
        <x:f>IFERROR(INDEX('Material routes'!$G$6:$G$1005,MATCH(V346,'Material routes'!$A$6:$A$1005,0)),"MISSING ID")</x:f>
        <x:v>Crafting components</x:v>
      </x:c>
      <x:c r="J346" s="4" t="str">
        <x:f>IFERROR(INDEX('Material routes'!$B$6:$B$1005,MATCH(U346,'Material routes'!$A$6:$A$1005,0)),"MISSING ID")</x:f>
        <x:v>design.review.proposal_fire_wind_baffle</x:v>
      </x:c>
      <x:c r="K346" s="4" t="str">
        <x:f>IFERROR(INDEX('Crafting recipes'!$C$6:$C$1005,MATCH(J346,'Crafting recipes'!$A$6:$A$1005,0)),"MISSING ID")</x:f>
        <x:v>Material refinement</x:v>
      </x:c>
      <x:c r="L346" s="4" t="str">
        <x:f>IFERROR(INDEX('Material routes'!$K$6:$K$1005,MATCH(U346,'Material routes'!$A$6:$A$1005,0)),"MISSING ID")</x:f>
        <x:v>Proposal</x:v>
      </x:c>
      <x:c r="M346" s="4" t="str">
        <x:f>IFERROR(INDEX('Material routes'!$M$6:$M$1005,MATCH(U346,'Material routes'!$A$6:$A$1005,0)),"MISSING ID")</x:f>
        <x:v>Partial proposal</x:v>
      </x:c>
      <x:c r="N346" s="4" t="str">
        <x:f>IF(IFERROR(INDEX('Material routes'!$I$6:$I$1005,MATCH(U346,'Material routes'!$A$6:$A$1005,0)),"MISSING ID")=0,"",IFERROR(INDEX('Material routes'!$I$6:$I$1005,MATCH(U346,'Material routes'!$A$6:$A$1005,0)),"MISSING ID"))</x:f>
      </x:c>
      <x:c r="O346" s="4" t="str">
        <x:f>IFERROR(INDEX('Material routes'!$J$6:$J$1005,MATCH(U346,'Material routes'!$A$6:$A$1005,0)),"MISSING ID")</x:f>
        <x:v>Unspecified</x:v>
      </x:c>
      <x:c r="P346" s="4" t="str">
        <x:f>IF(IFERROR(INDEX('Material routes'!$I$6:$I$1005,MATCH(V346,'Material routes'!$A$6:$A$1005,0)),"MISSING ID")=0,"",IFERROR(INDEX('Material routes'!$I$6:$I$1005,MATCH(V346,'Material routes'!$A$6:$A$1005,0)),"MISSING ID"))</x:f>
      </x:c>
      <x:c r="Q346" s="4" t="str">
        <x:f>IFERROR(INDEX('Material routes'!$J$6:$J$1005,MATCH(V346,'Material routes'!$A$6:$A$1005,0)),"MISSING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routes'!$D$6:$D$1005,MATCH(U346,'Material routes'!$A$6:$A$1005,0)),"MISSING ID")</x:f>
        <x:v>proposal.natural.iron_stock</x:v>
      </x:c>
      <x:c r="T346" s="4" t="str">
        <x:f>IFERROR(INDEX('Material routes'!$D$6:$D$1005,MATCH(V346,'Material routes'!$A$6:$A$1005,0)),"MISSING ID")</x:f>
        <x:v>proposal.fire.wind_baffle</x:v>
      </x:c>
      <x:c r="U346" s="4" t="str">
        <x:v>design.review.proposal_fire_wind_baffle.in.2</x:v>
      </x:c>
      <x:c r="V346" s="4" t="str">
        <x:v>design.review.proposal_fire_wind_baffle.out</x:v>
      </x:c>
    </x:row>
    <x:row r="347" ht="115" customHeight="1">
      <x:c r="A347" s="4" t="str">
        <x:f>IFERROR(INDEX('Material routes'!$E$6:$E$1005,MATCH(U347,'Material routes'!$A$6:$A$1005,0)),"MISSING ID")</x:f>
        <x:v>Steel stock</x:v>
      </x:c>
      <x:c r="B347" s="4" t="str">
        <x:f>IFERROR(INDEX('Material routes'!$F$6:$F$1005,MATCH(U347,'Material routes'!$A$6:$A$1005,0)),"MISSING ID")</x:f>
        <x:v>T2</x:v>
      </x:c>
      <x:c r="C347" s="4" t="str">
        <x:f>IFERROR(INDEX('Material routes'!$H$6:$H$1005,MATCH(U347,'Material routes'!$A$6:$A$1005,0)),"MISSING ID")</x:f>
        <x:v>Processed material</x:v>
      </x:c>
      <x:c r="D347" s="4" t="str">
        <x:f>IFERROR(INDEX('Material routes'!$G$6:$G$1005,MATCH(U347,'Material routes'!$A$6:$A$1005,0)),"MISSING ID")</x:f>
        <x:v>Resources</x:v>
      </x:c>
      <x:c r="E347" s="4" t="str">
        <x:f>IFERROR(INDEX('Material routes'!$C$6:$C$1005,MATCH(U347,'Material routes'!$A$6:$A$1005,0)),"MISSING ID")</x:f>
        <x:v>Ingredient candidate</x:v>
      </x:c>
      <x:c r="F347" s="4" t="str">
        <x:f>IFERROR(INDEX('Material routes'!$E$6:$E$1005,MATCH(V347,'Material routes'!$A$6:$A$1005,0)),"MISSING ID")</x:f>
        <x:v>Cooking draft collar</x:v>
      </x:c>
      <x:c r="G347" s="4" t="str">
        <x:f>IFERROR(INDEX('Material routes'!$F$6:$F$1005,MATCH(V347,'Material routes'!$A$6:$A$1005,0)),"MISSING ID")</x:f>
        <x:v>T3</x:v>
      </x:c>
      <x:c r="H347" s="4" t="str">
        <x:f>IFERROR(INDEX('Material routes'!$H$6:$H$1005,MATCH(V347,'Material routes'!$A$6:$A$1005,0)),"MISSING ID")</x:f>
        <x:v>Crafting component</x:v>
      </x:c>
      <x:c r="I347" s="4" t="str">
        <x:f>IFERROR(INDEX('Material routes'!$G$6:$G$1005,MATCH(V347,'Material routes'!$A$6:$A$1005,0)),"MISSING ID")</x:f>
        <x:v>Crafting components</x:v>
      </x:c>
      <x:c r="J347" s="4" t="str">
        <x:f>IFERROR(INDEX('Material routes'!$B$6:$B$1005,MATCH(U347,'Material routes'!$A$6:$A$1005,0)),"MISSING ID")</x:f>
        <x:v>design.review.proposal_fire_draft_collar</x:v>
      </x:c>
      <x:c r="K347" s="4" t="str">
        <x:f>IFERROR(INDEX('Crafting recipes'!$C$6:$C$1005,MATCH(J347,'Crafting recipes'!$A$6:$A$1005,0)),"MISSING ID")</x:f>
        <x:v>Material refinement</x:v>
      </x:c>
      <x:c r="L347" s="4" t="str">
        <x:f>IFERROR(INDEX('Material routes'!$K$6:$K$1005,MATCH(U347,'Material routes'!$A$6:$A$1005,0)),"MISSING ID")</x:f>
        <x:v>Proposal</x:v>
      </x:c>
      <x:c r="M347" s="4" t="str">
        <x:f>IFERROR(INDEX('Material routes'!$M$6:$M$1005,MATCH(U347,'Material routes'!$A$6:$A$1005,0)),"MISSING ID")</x:f>
        <x:v>Partial proposal</x:v>
      </x:c>
      <x:c r="N347" s="4" t="str">
        <x:f>IF(IFERROR(INDEX('Material routes'!$I$6:$I$1005,MATCH(U347,'Material routes'!$A$6:$A$1005,0)),"MISSING ID")=0,"",IFERROR(INDEX('Material routes'!$I$6:$I$1005,MATCH(U347,'Material routes'!$A$6:$A$1005,0)),"MISSING ID"))</x:f>
      </x:c>
      <x:c r="O347" s="4" t="str">
        <x:f>IFERROR(INDEX('Material routes'!$J$6:$J$1005,MATCH(U347,'Material routes'!$A$6:$A$1005,0)),"MISSING ID")</x:f>
        <x:v>Unspecified</x:v>
      </x:c>
      <x:c r="P347" s="4" t="str">
        <x:f>IF(IFERROR(INDEX('Material routes'!$I$6:$I$1005,MATCH(V347,'Material routes'!$A$6:$A$1005,0)),"MISSING ID")=0,"",IFERROR(INDEX('Material routes'!$I$6:$I$1005,MATCH(V347,'Material routes'!$A$6:$A$1005,0)),"MISSING ID"))</x:f>
      </x:c>
      <x:c r="Q347" s="4" t="str">
        <x:f>IFERROR(INDEX('Material routes'!$J$6:$J$1005,MATCH(V347,'Material routes'!$A$6:$A$1005,0)),"MISSING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routes'!$D$6:$D$1005,MATCH(U347,'Material routes'!$A$6:$A$1005,0)),"MISSING ID")</x:f>
        <x:v>author.metallurgy.steel_stock</x:v>
      </x:c>
      <x:c r="T347" s="4" t="str">
        <x:f>IFERROR(INDEX('Material routes'!$D$6:$D$1005,MATCH(V347,'Material routes'!$A$6:$A$1005,0)),"MISSING ID")</x:f>
        <x:v>proposal.fire.draft_collar</x:v>
      </x:c>
      <x:c r="U347" s="4" t="str">
        <x:v>design.review.proposal_fire_draft_collar.in.1</x:v>
      </x:c>
      <x:c r="V347" s="4" t="str">
        <x:v>design.review.proposal_fire_draft_collar.out</x:v>
      </x:c>
    </x:row>
    <x:row r="348" ht="115" customHeight="1">
      <x:c r="A348" s="4" t="str">
        <x:f>IFERROR(INDEX('Material routes'!$E$6:$E$1005,MATCH(U348,'Material routes'!$A$6:$A$1005,0)),"MISSING ID")</x:f>
        <x:v>Refractory ceramic stock</x:v>
      </x:c>
      <x:c r="B348" s="4" t="str">
        <x:f>IFERROR(INDEX('Material routes'!$F$6:$F$1005,MATCH(U348,'Material routes'!$A$6:$A$1005,0)),"MISSING ID")</x:f>
        <x:v>T2</x:v>
      </x:c>
      <x:c r="C348" s="4" t="str">
        <x:f>IFERROR(INDEX('Material routes'!$H$6:$H$1005,MATCH(U348,'Material routes'!$A$6:$A$1005,0)),"MISSING ID")</x:f>
        <x:v>Processed material</x:v>
      </x:c>
      <x:c r="D348" s="4" t="str">
        <x:f>IFERROR(INDEX('Material routes'!$G$6:$G$1005,MATCH(U348,'Material routes'!$A$6:$A$1005,0)),"MISSING ID")</x:f>
        <x:v>Resources</x:v>
      </x:c>
      <x:c r="E348" s="4" t="str">
        <x:f>IFERROR(INDEX('Material routes'!$C$6:$C$1005,MATCH(U348,'Material routes'!$A$6:$A$1005,0)),"MISSING ID")</x:f>
        <x:v>Ingredient candidate</x:v>
      </x:c>
      <x:c r="F348" s="4" t="str">
        <x:f>IFERROR(INDEX('Material routes'!$E$6:$E$1005,MATCH(V348,'Material routes'!$A$6:$A$1005,0)),"MISSING ID")</x:f>
        <x:v>Cooking heat shroud</x:v>
      </x:c>
      <x:c r="G348" s="4" t="str">
        <x:f>IFERROR(INDEX('Material routes'!$F$6:$F$1005,MATCH(V348,'Material routes'!$A$6:$A$1005,0)),"MISSING ID")</x:f>
        <x:v>T3</x:v>
      </x:c>
      <x:c r="H348" s="4" t="str">
        <x:f>IFERROR(INDEX('Material routes'!$H$6:$H$1005,MATCH(V348,'Material routes'!$A$6:$A$1005,0)),"MISSING ID")</x:f>
        <x:v>Crafting component</x:v>
      </x:c>
      <x:c r="I348" s="4" t="str">
        <x:f>IFERROR(INDEX('Material routes'!$G$6:$G$1005,MATCH(V348,'Material routes'!$A$6:$A$1005,0)),"MISSING ID")</x:f>
        <x:v>Crafting components</x:v>
      </x:c>
      <x:c r="J348" s="4" t="str">
        <x:f>IFERROR(INDEX('Material routes'!$B$6:$B$1005,MATCH(U348,'Material routes'!$A$6:$A$1005,0)),"MISSING ID")</x:f>
        <x:v>design.review.proposal_fire_heat_shroud</x:v>
      </x:c>
      <x:c r="K348" s="4" t="str">
        <x:f>IFERROR(INDEX('Crafting recipes'!$C$6:$C$1005,MATCH(J348,'Crafting recipes'!$A$6:$A$1005,0)),"MISSING ID")</x:f>
        <x:v>Material refinement</x:v>
      </x:c>
      <x:c r="L348" s="4" t="str">
        <x:f>IFERROR(INDEX('Material routes'!$K$6:$K$1005,MATCH(U348,'Material routes'!$A$6:$A$1005,0)),"MISSING ID")</x:f>
        <x:v>Proposal</x:v>
      </x:c>
      <x:c r="M348" s="4" t="str">
        <x:f>IFERROR(INDEX('Material routes'!$M$6:$M$1005,MATCH(U348,'Material routes'!$A$6:$A$1005,0)),"MISSING ID")</x:f>
        <x:v>Partial proposal</x:v>
      </x:c>
      <x:c r="N348" s="4" t="str">
        <x:f>IF(IFERROR(INDEX('Material routes'!$I$6:$I$1005,MATCH(U348,'Material routes'!$A$6:$A$1005,0)),"MISSING ID")=0,"",IFERROR(INDEX('Material routes'!$I$6:$I$1005,MATCH(U348,'Material routes'!$A$6:$A$1005,0)),"MISSING ID"))</x:f>
      </x:c>
      <x:c r="O348" s="4" t="str">
        <x:f>IFERROR(INDEX('Material routes'!$J$6:$J$1005,MATCH(U348,'Material routes'!$A$6:$A$1005,0)),"MISSING ID")</x:f>
        <x:v>Unspecified</x:v>
      </x:c>
      <x:c r="P348" s="4" t="str">
        <x:f>IF(IFERROR(INDEX('Material routes'!$I$6:$I$1005,MATCH(V348,'Material routes'!$A$6:$A$1005,0)),"MISSING ID")=0,"",IFERROR(INDEX('Material routes'!$I$6:$I$1005,MATCH(V348,'Material routes'!$A$6:$A$1005,0)),"MISSING ID"))</x:f>
      </x:c>
      <x:c r="Q348" s="4" t="str">
        <x:f>IFERROR(INDEX('Material routes'!$J$6:$J$1005,MATCH(V348,'Material routes'!$A$6:$A$1005,0)),"MISSING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routes'!$D$6:$D$1005,MATCH(U348,'Material routes'!$A$6:$A$1005,0)),"MISSING ID")</x:f>
        <x:v>proposal.branch.refractory_ceramic</x:v>
      </x:c>
      <x:c r="T348" s="4" t="str">
        <x:f>IFERROR(INDEX('Material routes'!$D$6:$D$1005,MATCH(V348,'Material routes'!$A$6:$A$1005,0)),"MISSING ID")</x:f>
        <x:v>proposal.fire.heat_shroud</x:v>
      </x:c>
      <x:c r="U348" s="4" t="str">
        <x:v>design.review.proposal_fire_heat_shroud.in.1</x:v>
      </x:c>
      <x:c r="V348" s="4" t="str">
        <x:v>design.review.proposal_fire_heat_shroud.out</x:v>
      </x:c>
    </x:row>
    <x:row r="349" ht="115" customHeight="1">
      <x:c r="A349" s="4" t="str">
        <x:f>IFERROR(INDEX('Material routes'!$E$6:$E$1005,MATCH(U349,'Material routes'!$A$6:$A$1005,0)),"MISSING ID")</x:f>
        <x:v>Steel stock</x:v>
      </x:c>
      <x:c r="B349" s="4" t="str">
        <x:f>IFERROR(INDEX('Material routes'!$F$6:$F$1005,MATCH(U349,'Material routes'!$A$6:$A$1005,0)),"MISSING ID")</x:f>
        <x:v>T2</x:v>
      </x:c>
      <x:c r="C349" s="4" t="str">
        <x:f>IFERROR(INDEX('Material routes'!$H$6:$H$1005,MATCH(U349,'Material routes'!$A$6:$A$1005,0)),"MISSING ID")</x:f>
        <x:v>Processed material</x:v>
      </x:c>
      <x:c r="D349" s="4" t="str">
        <x:f>IFERROR(INDEX('Material routes'!$G$6:$G$1005,MATCH(U349,'Material routes'!$A$6:$A$1005,0)),"MISSING ID")</x:f>
        <x:v>Resources</x:v>
      </x:c>
      <x:c r="E349" s="4" t="str">
        <x:f>IFERROR(INDEX('Material routes'!$C$6:$C$1005,MATCH(U349,'Material routes'!$A$6:$A$1005,0)),"MISSING ID")</x:f>
        <x:v>Ingredient candidate</x:v>
      </x:c>
      <x:c r="F349" s="4" t="str">
        <x:f>IFERROR(INDEX('Material routes'!$E$6:$E$1005,MATCH(V349,'Material routes'!$A$6:$A$1005,0)),"MISSING ID")</x:f>
        <x:v>Cooking heat shroud</x:v>
      </x:c>
      <x:c r="G349" s="4" t="str">
        <x:f>IFERROR(INDEX('Material routes'!$F$6:$F$1005,MATCH(V349,'Material routes'!$A$6:$A$1005,0)),"MISSING ID")</x:f>
        <x:v>T3</x:v>
      </x:c>
      <x:c r="H349" s="4" t="str">
        <x:f>IFERROR(INDEX('Material routes'!$H$6:$H$1005,MATCH(V349,'Material routes'!$A$6:$A$1005,0)),"MISSING ID")</x:f>
        <x:v>Crafting component</x:v>
      </x:c>
      <x:c r="I349" s="4" t="str">
        <x:f>IFERROR(INDEX('Material routes'!$G$6:$G$1005,MATCH(V349,'Material routes'!$A$6:$A$1005,0)),"MISSING ID")</x:f>
        <x:v>Crafting components</x:v>
      </x:c>
      <x:c r="J349" s="4" t="str">
        <x:f>IFERROR(INDEX('Material routes'!$B$6:$B$1005,MATCH(U349,'Material routes'!$A$6:$A$1005,0)),"MISSING ID")</x:f>
        <x:v>design.review.proposal_fire_heat_shroud</x:v>
      </x:c>
      <x:c r="K349" s="4" t="str">
        <x:f>IFERROR(INDEX('Crafting recipes'!$C$6:$C$1005,MATCH(J349,'Crafting recipes'!$A$6:$A$1005,0)),"MISSING ID")</x:f>
        <x:v>Material refinement</x:v>
      </x:c>
      <x:c r="L349" s="4" t="str">
        <x:f>IFERROR(INDEX('Material routes'!$K$6:$K$1005,MATCH(U349,'Material routes'!$A$6:$A$1005,0)),"MISSING ID")</x:f>
        <x:v>Proposal</x:v>
      </x:c>
      <x:c r="M349" s="4" t="str">
        <x:f>IFERROR(INDEX('Material routes'!$M$6:$M$1005,MATCH(U349,'Material routes'!$A$6:$A$1005,0)),"MISSING ID")</x:f>
        <x:v>Partial proposal</x:v>
      </x:c>
      <x:c r="N349" s="4" t="str">
        <x:f>IF(IFERROR(INDEX('Material routes'!$I$6:$I$1005,MATCH(U349,'Material routes'!$A$6:$A$1005,0)),"MISSING ID")=0,"",IFERROR(INDEX('Material routes'!$I$6:$I$1005,MATCH(U349,'Material routes'!$A$6:$A$1005,0)),"MISSING ID"))</x:f>
      </x:c>
      <x:c r="O349" s="4" t="str">
        <x:f>IFERROR(INDEX('Material routes'!$J$6:$J$1005,MATCH(U349,'Material routes'!$A$6:$A$1005,0)),"MISSING ID")</x:f>
        <x:v>Unspecified</x:v>
      </x:c>
      <x:c r="P349" s="4" t="str">
        <x:f>IF(IFERROR(INDEX('Material routes'!$I$6:$I$1005,MATCH(V349,'Material routes'!$A$6:$A$1005,0)),"MISSING ID")=0,"",IFERROR(INDEX('Material routes'!$I$6:$I$1005,MATCH(V349,'Material routes'!$A$6:$A$1005,0)),"MISSING ID"))</x:f>
      </x:c>
      <x:c r="Q349" s="4" t="str">
        <x:f>IFERROR(INDEX('Material routes'!$J$6:$J$1005,MATCH(V349,'Material routes'!$A$6:$A$1005,0)),"MISSING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routes'!$D$6:$D$1005,MATCH(U349,'Material routes'!$A$6:$A$1005,0)),"MISSING ID")</x:f>
        <x:v>author.metallurgy.steel_stock</x:v>
      </x:c>
      <x:c r="T349" s="4" t="str">
        <x:f>IFERROR(INDEX('Material routes'!$D$6:$D$1005,MATCH(V349,'Material routes'!$A$6:$A$1005,0)),"MISSING ID")</x:f>
        <x:v>proposal.fire.heat_shroud</x:v>
      </x:c>
      <x:c r="U349" s="4" t="str">
        <x:v>design.review.proposal_fire_heat_shroud.in.2</x:v>
      </x:c>
      <x:c r="V349" s="4" t="str">
        <x:v>design.review.proposal_fire_heat_shroud.out</x:v>
      </x:c>
    </x:row>
    <x:row r="350" ht="115" customHeight="1">
      <x:c r="A350" s="4" t="str">
        <x:f>IFERROR(INDEX('Material routes'!$E$6:$E$1005,MATCH(U350,'Material routes'!$A$6:$A$1005,0)),"MISSING ID")</x:f>
        <x:v>Clarified faunal lubricant base</x:v>
      </x:c>
      <x:c r="B350" s="4" t="str">
        <x:f>IFERROR(INDEX('Material routes'!$F$6:$F$1005,MATCH(U350,'Material routes'!$A$6:$A$1005,0)),"MISSING ID")</x:f>
        <x:v>T1</x:v>
      </x:c>
      <x:c r="C350" s="4" t="str">
        <x:f>IFERROR(INDEX('Material routes'!$H$6:$H$1005,MATCH(U350,'Material routes'!$A$6:$A$1005,0)),"MISSING ID")</x:f>
        <x:v>Chemical material</x:v>
      </x:c>
      <x:c r="D350" s="4" t="str">
        <x:f>IFERROR(INDEX('Material routes'!$G$6:$G$1005,MATCH(U350,'Material routes'!$A$6:$A$1005,0)),"MISSING ID")</x:f>
        <x:v>Resources</x:v>
      </x:c>
      <x:c r="E350" s="4" t="str">
        <x:f>IFERROR(INDEX('Material routes'!$C$6:$C$1005,MATCH(U350,'Material routes'!$A$6:$A$1005,0)),"MISSING ID")</x:f>
        <x:v>Ingredient candidate</x:v>
      </x:c>
      <x:c r="F350" s="4" t="str">
        <x:f>IFERROR(INDEX('Material routes'!$E$6:$E$1005,MATCH(V350,'Material routes'!$A$6:$A$1005,0)),"MISSING ID")</x:f>
        <x:v>Dust-shedding lubricant film</x:v>
      </x:c>
      <x:c r="G350" s="4" t="str">
        <x:f>IFERROR(INDEX('Material routes'!$F$6:$F$1005,MATCH(V350,'Material routes'!$A$6:$A$1005,0)),"MISSING ID")</x:f>
        <x:v>T2</x:v>
      </x:c>
      <x:c r="H350" s="4" t="str">
        <x:f>IFERROR(INDEX('Material routes'!$H$6:$H$1005,MATCH(V350,'Material routes'!$A$6:$A$1005,0)),"MISSING ID")</x:f>
        <x:v>Chemical material</x:v>
      </x:c>
      <x:c r="I350" s="4" t="str">
        <x:f>IFERROR(INDEX('Material routes'!$G$6:$G$1005,MATCH(V350,'Material routes'!$A$6:$A$1005,0)),"MISSING ID")</x:f>
        <x:v>Resources</x:v>
      </x:c>
      <x:c r="J350" s="4" t="str">
        <x:f>IFERROR(INDEX('Material routes'!$B$6:$B$1005,MATCH(U350,'Material routes'!$A$6:$A$1005,0)),"MISSING ID")</x:f>
        <x:v>design.review.proposal_lubricant_dust_film</x:v>
      </x:c>
      <x:c r="K350" s="4" t="str">
        <x:f>IFERROR(INDEX('Crafting recipes'!$C$6:$C$1005,MATCH(J350,'Crafting recipes'!$A$6:$A$1005,0)),"MISSING ID")</x:f>
        <x:v>Material refinement</x:v>
      </x:c>
      <x:c r="L350" s="4" t="str">
        <x:f>IFERROR(INDEX('Material routes'!$K$6:$K$1005,MATCH(U350,'Material routes'!$A$6:$A$1005,0)),"MISSING ID")</x:f>
        <x:v>Proposal</x:v>
      </x:c>
      <x:c r="M350" s="4" t="str">
        <x:f>IFERROR(INDEX('Material routes'!$M$6:$M$1005,MATCH(U350,'Material routes'!$A$6:$A$1005,0)),"MISSING ID")</x:f>
        <x:v>Partial proposal</x:v>
      </x:c>
      <x:c r="N350" s="4" t="str">
        <x:f>IF(IFERROR(INDEX('Material routes'!$I$6:$I$1005,MATCH(U350,'Material routes'!$A$6:$A$1005,0)),"MISSING ID")=0,"",IFERROR(INDEX('Material routes'!$I$6:$I$1005,MATCH(U350,'Material routes'!$A$6:$A$1005,0)),"MISSING ID"))</x:f>
      </x:c>
      <x:c r="O350" s="4" t="str">
        <x:f>IFERROR(INDEX('Material routes'!$J$6:$J$1005,MATCH(U350,'Material routes'!$A$6:$A$1005,0)),"MISSING ID")</x:f>
        <x:v>Unspecified</x:v>
      </x:c>
      <x:c r="P350" s="4" t="str">
        <x:f>IF(IFERROR(INDEX('Material routes'!$I$6:$I$1005,MATCH(V350,'Material routes'!$A$6:$A$1005,0)),"MISSING ID")=0,"",IFERROR(INDEX('Material routes'!$I$6:$I$1005,MATCH(V350,'Material routes'!$A$6:$A$1005,0)),"MISSING ID"))</x:f>
      </x:c>
      <x:c r="Q350" s="4" t="str">
        <x:f>IFERROR(INDEX('Material routes'!$J$6:$J$1005,MATCH(V350,'Material routes'!$A$6:$A$1005,0)),"MISSING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routes'!$D$6:$D$1005,MATCH(U350,'Material routes'!$A$6:$A$1005,0)),"MISSING ID")</x:f>
        <x:v>proposal.lubricant.base</x:v>
      </x:c>
      <x:c r="T350" s="4" t="str">
        <x:f>IFERROR(INDEX('Material routes'!$D$6:$D$1005,MATCH(V350,'Material routes'!$A$6:$A$1005,0)),"MISSING ID")</x:f>
        <x:v>proposal.lubricant.dust_film</x:v>
      </x:c>
      <x:c r="U350" s="4" t="str">
        <x:v>design.review.proposal_lubricant_dust_film.in.1</x:v>
      </x:c>
      <x:c r="V350" s="4" t="str">
        <x:v>design.review.proposal_lubricant_dust_film.out</x:v>
      </x:c>
    </x:row>
    <x:row r="351" ht="115" customHeight="1">
      <x:c r="A351" s="4" t="str">
        <x:f>IFERROR(INDEX('Material routes'!$E$6:$E$1005,MATCH(U351,'Material routes'!$A$6:$A$1005,0)),"MISSING ID")</x:f>
        <x:v>Selected faunal carrier fraction</x:v>
      </x:c>
      <x:c r="B351" s="4" t="str">
        <x:f>IFERROR(INDEX('Material routes'!$F$6:$F$1005,MATCH(U351,'Material routes'!$A$6:$A$1005,0)),"MISSING ID")</x:f>
        <x:v>T1</x:v>
      </x:c>
      <x:c r="C351" s="4" t="str">
        <x:f>IFERROR(INDEX('Material routes'!$H$6:$H$1005,MATCH(U351,'Material routes'!$A$6:$A$1005,0)),"MISSING ID")</x:f>
        <x:v>Chemical material</x:v>
      </x:c>
      <x:c r="D351" s="4" t="str">
        <x:f>IFERROR(INDEX('Material routes'!$G$6:$G$1005,MATCH(U351,'Material routes'!$A$6:$A$1005,0)),"MISSING ID")</x:f>
        <x:v>Resources</x:v>
      </x:c>
      <x:c r="E351" s="4" t="str">
        <x:f>IFERROR(INDEX('Material routes'!$C$6:$C$1005,MATCH(U351,'Material routes'!$A$6:$A$1005,0)),"MISSING ID")</x:f>
        <x:v>Ingredient candidate</x:v>
      </x:c>
      <x:c r="F351" s="4" t="str">
        <x:f>IFERROR(INDEX('Material routes'!$E$6:$E$1005,MATCH(V351,'Material routes'!$A$6:$A$1005,0)),"MISSING ID")</x:f>
        <x:v>Dust-shedding lubricant film</x:v>
      </x:c>
      <x:c r="G351" s="4" t="str">
        <x:f>IFERROR(INDEX('Material routes'!$F$6:$F$1005,MATCH(V351,'Material routes'!$A$6:$A$1005,0)),"MISSING ID")</x:f>
        <x:v>T2</x:v>
      </x:c>
      <x:c r="H351" s="4" t="str">
        <x:f>IFERROR(INDEX('Material routes'!$H$6:$H$1005,MATCH(V351,'Material routes'!$A$6:$A$1005,0)),"MISSING ID")</x:f>
        <x:v>Chemical material</x:v>
      </x:c>
      <x:c r="I351" s="4" t="str">
        <x:f>IFERROR(INDEX('Material routes'!$G$6:$G$1005,MATCH(V351,'Material routes'!$A$6:$A$1005,0)),"MISSING ID")</x:f>
        <x:v>Resources</x:v>
      </x:c>
      <x:c r="J351" s="4" t="str">
        <x:f>IFERROR(INDEX('Material routes'!$B$6:$B$1005,MATCH(U351,'Material routes'!$A$6:$A$1005,0)),"MISSING ID")</x:f>
        <x:v>design.review.proposal_lubricant_dust_film</x:v>
      </x:c>
      <x:c r="K351" s="4" t="str">
        <x:f>IFERROR(INDEX('Crafting recipes'!$C$6:$C$1005,MATCH(J351,'Crafting recipes'!$A$6:$A$1005,0)),"MISSING ID")</x:f>
        <x:v>Material refinement</x:v>
      </x:c>
      <x:c r="L351" s="4" t="str">
        <x:f>IFERROR(INDEX('Material routes'!$K$6:$K$1005,MATCH(U351,'Material routes'!$A$6:$A$1005,0)),"MISSING ID")</x:f>
        <x:v>Proposal</x:v>
      </x:c>
      <x:c r="M351" s="4" t="str">
        <x:f>IFERROR(INDEX('Material routes'!$M$6:$M$1005,MATCH(U351,'Material routes'!$A$6:$A$1005,0)),"MISSING ID")</x:f>
        <x:v>Partial proposal</x:v>
      </x:c>
      <x:c r="N351" s="4" t="str">
        <x:f>IF(IFERROR(INDEX('Material routes'!$I$6:$I$1005,MATCH(U351,'Material routes'!$A$6:$A$1005,0)),"MISSING ID")=0,"",IFERROR(INDEX('Material routes'!$I$6:$I$1005,MATCH(U351,'Material routes'!$A$6:$A$1005,0)),"MISSING ID"))</x:f>
      </x:c>
      <x:c r="O351" s="4" t="str">
        <x:f>IFERROR(INDEX('Material routes'!$J$6:$J$1005,MATCH(U351,'Material routes'!$A$6:$A$1005,0)),"MISSING ID")</x:f>
        <x:v>Unspecified</x:v>
      </x:c>
      <x:c r="P351" s="4" t="str">
        <x:f>IF(IFERROR(INDEX('Material routes'!$I$6:$I$1005,MATCH(V351,'Material routes'!$A$6:$A$1005,0)),"MISSING ID")=0,"",IFERROR(INDEX('Material routes'!$I$6:$I$1005,MATCH(V351,'Material routes'!$A$6:$A$1005,0)),"MISSING ID"))</x:f>
      </x:c>
      <x:c r="Q351" s="4" t="str">
        <x:f>IFERROR(INDEX('Material routes'!$J$6:$J$1005,MATCH(V351,'Material routes'!$A$6:$A$1005,0)),"MISSING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routes'!$D$6:$D$1005,MATCH(U351,'Material routes'!$A$6:$A$1005,0)),"MISSING ID")</x:f>
        <x:v>proposal.t1.faunal_carrier</x:v>
      </x:c>
      <x:c r="T351" s="4" t="str">
        <x:f>IFERROR(INDEX('Material routes'!$D$6:$D$1005,MATCH(V351,'Material routes'!$A$6:$A$1005,0)),"MISSING ID")</x:f>
        <x:v>proposal.lubricant.dust_film</x:v>
      </x:c>
      <x:c r="U351" s="4" t="str">
        <x:v>design.review.proposal_lubricant_dust_film.in.2</x:v>
      </x:c>
      <x:c r="V351" s="4" t="str">
        <x:v>design.review.proposal_lubricant_dust_film.out</x:v>
      </x:c>
    </x:row>
    <x:row r="352" ht="115" customHeight="1">
      <x:c r="A352" s="4" t="str">
        <x:f>IFERROR(INDEX('Material routes'!$E$6:$E$1005,MATCH(U352,'Material routes'!$A$6:$A$1005,0)),"MISSING ID")</x:f>
        <x:v>Clarified faunal lubricant base</x:v>
      </x:c>
      <x:c r="B352" s="4" t="str">
        <x:f>IFERROR(INDEX('Material routes'!$F$6:$F$1005,MATCH(U352,'Material routes'!$A$6:$A$1005,0)),"MISSING ID")</x:f>
        <x:v>T1</x:v>
      </x:c>
      <x:c r="C352" s="4" t="str">
        <x:f>IFERROR(INDEX('Material routes'!$H$6:$H$1005,MATCH(U352,'Material routes'!$A$6:$A$1005,0)),"MISSING ID")</x:f>
        <x:v>Chemical material</x:v>
      </x:c>
      <x:c r="D352" s="4" t="str">
        <x:f>IFERROR(INDEX('Material routes'!$G$6:$G$1005,MATCH(U352,'Material routes'!$A$6:$A$1005,0)),"MISSING ID")</x:f>
        <x:v>Resources</x:v>
      </x:c>
      <x:c r="E352" s="4" t="str">
        <x:f>IFERROR(INDEX('Material routes'!$C$6:$C$1005,MATCH(U352,'Material routes'!$A$6:$A$1005,0)),"MISSING ID")</x:f>
        <x:v>Ingredient candidate</x:v>
      </x:c>
      <x:c r="F352" s="4" t="str">
        <x:f>IFERROR(INDEX('Material routes'!$E$6:$E$1005,MATCH(V352,'Material routes'!$A$6:$A$1005,0)),"MISSING ID")</x:f>
        <x:v>Seal-conditioning paste</x:v>
      </x:c>
      <x:c r="G352" s="4" t="str">
        <x:f>IFERROR(INDEX('Material routes'!$F$6:$F$1005,MATCH(V352,'Material routes'!$A$6:$A$1005,0)),"MISSING ID")</x:f>
        <x:v>T2</x:v>
      </x:c>
      <x:c r="H352" s="4" t="str">
        <x:f>IFERROR(INDEX('Material routes'!$H$6:$H$1005,MATCH(V352,'Material routes'!$A$6:$A$1005,0)),"MISSING ID")</x:f>
        <x:v>Chemical material</x:v>
      </x:c>
      <x:c r="I352" s="4" t="str">
        <x:f>IFERROR(INDEX('Material routes'!$G$6:$G$1005,MATCH(V352,'Material routes'!$A$6:$A$1005,0)),"MISSING ID")</x:f>
        <x:v>Resources</x:v>
      </x:c>
      <x:c r="J352" s="4" t="str">
        <x:f>IFERROR(INDEX('Material routes'!$B$6:$B$1005,MATCH(U352,'Material routes'!$A$6:$A$1005,0)),"MISSING ID")</x:f>
        <x:v>design.review.proposal_lubricant_seal_paste</x:v>
      </x:c>
      <x:c r="K352" s="4" t="str">
        <x:f>IFERROR(INDEX('Crafting recipes'!$C$6:$C$1005,MATCH(J352,'Crafting recipes'!$A$6:$A$1005,0)),"MISSING ID")</x:f>
        <x:v>Material refinement</x:v>
      </x:c>
      <x:c r="L352" s="4" t="str">
        <x:f>IFERROR(INDEX('Material routes'!$K$6:$K$1005,MATCH(U352,'Material routes'!$A$6:$A$1005,0)),"MISSING ID")</x:f>
        <x:v>Proposal</x:v>
      </x:c>
      <x:c r="M352" s="4" t="str">
        <x:f>IFERROR(INDEX('Material routes'!$M$6:$M$1005,MATCH(U352,'Material routes'!$A$6:$A$1005,0)),"MISSING ID")</x:f>
        <x:v>Partial proposal</x:v>
      </x:c>
      <x:c r="N352" s="4" t="str">
        <x:f>IF(IFERROR(INDEX('Material routes'!$I$6:$I$1005,MATCH(U352,'Material routes'!$A$6:$A$1005,0)),"MISSING ID")=0,"",IFERROR(INDEX('Material routes'!$I$6:$I$1005,MATCH(U352,'Material routes'!$A$6:$A$1005,0)),"MISSING ID"))</x:f>
      </x:c>
      <x:c r="O352" s="4" t="str">
        <x:f>IFERROR(INDEX('Material routes'!$J$6:$J$1005,MATCH(U352,'Material routes'!$A$6:$A$1005,0)),"MISSING ID")</x:f>
        <x:v>Unspecified</x:v>
      </x:c>
      <x:c r="P352" s="4" t="str">
        <x:f>IF(IFERROR(INDEX('Material routes'!$I$6:$I$1005,MATCH(V352,'Material routes'!$A$6:$A$1005,0)),"MISSING ID")=0,"",IFERROR(INDEX('Material routes'!$I$6:$I$1005,MATCH(V352,'Material routes'!$A$6:$A$1005,0)),"MISSING ID"))</x:f>
      </x:c>
      <x:c r="Q352" s="4" t="str">
        <x:f>IFERROR(INDEX('Material routes'!$J$6:$J$1005,MATCH(V352,'Material routes'!$A$6:$A$1005,0)),"MISSING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routes'!$D$6:$D$1005,MATCH(U352,'Material routes'!$A$6:$A$1005,0)),"MISSING ID")</x:f>
        <x:v>proposal.lubricant.base</x:v>
      </x:c>
      <x:c r="T352" s="4" t="str">
        <x:f>IFERROR(INDEX('Material routes'!$D$6:$D$1005,MATCH(V352,'Material routes'!$A$6:$A$1005,0)),"MISSING ID")</x:f>
        <x:v>proposal.lubricant.seal_paste</x:v>
      </x:c>
      <x:c r="U352" s="4" t="str">
        <x:v>design.review.proposal_lubricant_seal_paste.in.1</x:v>
      </x:c>
      <x:c r="V352" s="4" t="str">
        <x:v>design.review.proposal_lubricant_seal_paste.out</x:v>
      </x:c>
    </x:row>
    <x:row r="353" ht="115" customHeight="1">
      <x:c r="A353" s="4" t="str">
        <x:f>IFERROR(INDEX('Material routes'!$E$6:$E$1005,MATCH(U353,'Material routes'!$A$6:$A$1005,0)),"MISSING ID")</x:f>
        <x:v>Prepared clot-seal compound</x:v>
      </x:c>
      <x:c r="B353" s="4" t="str">
        <x:f>IFERROR(INDEX('Material routes'!$F$6:$F$1005,MATCH(U353,'Material routes'!$A$6:$A$1005,0)),"MISSING ID")</x:f>
        <x:v>T1</x:v>
      </x:c>
      <x:c r="C353" s="4" t="str">
        <x:f>IFERROR(INDEX('Material routes'!$H$6:$H$1005,MATCH(U353,'Material routes'!$A$6:$A$1005,0)),"MISSING ID")</x:f>
        <x:v>Chemical material</x:v>
      </x:c>
      <x:c r="D353" s="4" t="str">
        <x:f>IFERROR(INDEX('Material routes'!$G$6:$G$1005,MATCH(U353,'Material routes'!$A$6:$A$1005,0)),"MISSING ID")</x:f>
        <x:v>Resources</x:v>
      </x:c>
      <x:c r="E353" s="4" t="str">
        <x:f>IFERROR(INDEX('Material routes'!$C$6:$C$1005,MATCH(U353,'Material routes'!$A$6:$A$1005,0)),"MISSING ID")</x:f>
        <x:v>Ingredient candidate</x:v>
      </x:c>
      <x:c r="F353" s="4" t="str">
        <x:f>IFERROR(INDEX('Material routes'!$E$6:$E$1005,MATCH(V353,'Material routes'!$A$6:$A$1005,0)),"MISSING ID")</x:f>
        <x:v>Seal-conditioning paste</x:v>
      </x:c>
      <x:c r="G353" s="4" t="str">
        <x:f>IFERROR(INDEX('Material routes'!$F$6:$F$1005,MATCH(V353,'Material routes'!$A$6:$A$1005,0)),"MISSING ID")</x:f>
        <x:v>T2</x:v>
      </x:c>
      <x:c r="H353" s="4" t="str">
        <x:f>IFERROR(INDEX('Material routes'!$H$6:$H$1005,MATCH(V353,'Material routes'!$A$6:$A$1005,0)),"MISSING ID")</x:f>
        <x:v>Chemical material</x:v>
      </x:c>
      <x:c r="I353" s="4" t="str">
        <x:f>IFERROR(INDEX('Material routes'!$G$6:$G$1005,MATCH(V353,'Material routes'!$A$6:$A$1005,0)),"MISSING ID")</x:f>
        <x:v>Resources</x:v>
      </x:c>
      <x:c r="J353" s="4" t="str">
        <x:f>IFERROR(INDEX('Material routes'!$B$6:$B$1005,MATCH(U353,'Material routes'!$A$6:$A$1005,0)),"MISSING ID")</x:f>
        <x:v>design.review.proposal_lubricant_seal_paste</x:v>
      </x:c>
      <x:c r="K353" s="4" t="str">
        <x:f>IFERROR(INDEX('Crafting recipes'!$C$6:$C$1005,MATCH(J353,'Crafting recipes'!$A$6:$A$1005,0)),"MISSING ID")</x:f>
        <x:v>Material refinement</x:v>
      </x:c>
      <x:c r="L353" s="4" t="str">
        <x:f>IFERROR(INDEX('Material routes'!$K$6:$K$1005,MATCH(U353,'Material routes'!$A$6:$A$1005,0)),"MISSING ID")</x:f>
        <x:v>Proposal</x:v>
      </x:c>
      <x:c r="M353" s="4" t="str">
        <x:f>IFERROR(INDEX('Material routes'!$M$6:$M$1005,MATCH(U353,'Material routes'!$A$6:$A$1005,0)),"MISSING ID")</x:f>
        <x:v>Partial proposal</x:v>
      </x:c>
      <x:c r="N353" s="4" t="str">
        <x:f>IF(IFERROR(INDEX('Material routes'!$I$6:$I$1005,MATCH(U353,'Material routes'!$A$6:$A$1005,0)),"MISSING ID")=0,"",IFERROR(INDEX('Material routes'!$I$6:$I$1005,MATCH(U353,'Material routes'!$A$6:$A$1005,0)),"MISSING ID"))</x:f>
      </x:c>
      <x:c r="O353" s="4" t="str">
        <x:f>IFERROR(INDEX('Material routes'!$J$6:$J$1005,MATCH(U353,'Material routes'!$A$6:$A$1005,0)),"MISSING ID")</x:f>
        <x:v>Unspecified</x:v>
      </x:c>
      <x:c r="P353" s="4" t="str">
        <x:f>IF(IFERROR(INDEX('Material routes'!$I$6:$I$1005,MATCH(V353,'Material routes'!$A$6:$A$1005,0)),"MISSING ID")=0,"",IFERROR(INDEX('Material routes'!$I$6:$I$1005,MATCH(V353,'Material routes'!$A$6:$A$1005,0)),"MISSING ID"))</x:f>
      </x:c>
      <x:c r="Q353" s="4" t="str">
        <x:f>IFERROR(INDEX('Material routes'!$J$6:$J$1005,MATCH(V353,'Material routes'!$A$6:$A$1005,0)),"MISSING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routes'!$D$6:$D$1005,MATCH(U353,'Material routes'!$A$6:$A$1005,0)),"MISSING ID")</x:f>
        <x:v>proposal.t1.clot_seal</x:v>
      </x:c>
      <x:c r="T353" s="4" t="str">
        <x:f>IFERROR(INDEX('Material routes'!$D$6:$D$1005,MATCH(V353,'Material routes'!$A$6:$A$1005,0)),"MISSING ID")</x:f>
        <x:v>proposal.lubricant.seal_paste</x:v>
      </x:c>
      <x:c r="U353" s="4" t="str">
        <x:v>design.review.proposal_lubricant_seal_paste.in.2</x:v>
      </x:c>
      <x:c r="V353" s="4" t="str">
        <x:v>design.review.proposal_lubricant_seal_paste.out</x:v>
      </x:c>
    </x:row>
    <x:row r="354" ht="115" customHeight="1">
      <x:c r="A354" s="4" t="str">
        <x:f>IFERROR(INDEX('Material routes'!$E$6:$E$1005,MATCH(U354,'Material routes'!$A$6:$A$1005,0)),"MISSING ID")</x:f>
        <x:v>Clarified faunal lubricant base</x:v>
      </x:c>
      <x:c r="B354" s="4" t="str">
        <x:f>IFERROR(INDEX('Material routes'!$F$6:$F$1005,MATCH(U354,'Material routes'!$A$6:$A$1005,0)),"MISSING ID")</x:f>
        <x:v>T1</x:v>
      </x:c>
      <x:c r="C354" s="4" t="str">
        <x:f>IFERROR(INDEX('Material routes'!$H$6:$H$1005,MATCH(U354,'Material routes'!$A$6:$A$1005,0)),"MISSING ID")</x:f>
        <x:v>Chemical material</x:v>
      </x:c>
      <x:c r="D354" s="4" t="str">
        <x:f>IFERROR(INDEX('Material routes'!$G$6:$G$1005,MATCH(U354,'Material routes'!$A$6:$A$1005,0)),"MISSING ID")</x:f>
        <x:v>Resources</x:v>
      </x:c>
      <x:c r="E354" s="4" t="str">
        <x:f>IFERROR(INDEX('Material routes'!$C$6:$C$1005,MATCH(U354,'Material routes'!$A$6:$A$1005,0)),"MISSING ID")</x:f>
        <x:v>Ingredient candidate</x:v>
      </x:c>
      <x:c r="F354" s="4" t="str">
        <x:f>IFERROR(INDEX('Material routes'!$E$6:$E$1005,MATCH(V354,'Material routes'!$A$6:$A$1005,0)),"MISSING ID")</x:f>
        <x:v>Electrically insulating grease</x:v>
      </x:c>
      <x:c r="G354" s="4" t="str">
        <x:f>IFERROR(INDEX('Material routes'!$F$6:$F$1005,MATCH(V354,'Material routes'!$A$6:$A$1005,0)),"MISSING ID")</x:f>
        <x:v>T2</x:v>
      </x:c>
      <x:c r="H354" s="4" t="str">
        <x:f>IFERROR(INDEX('Material routes'!$H$6:$H$1005,MATCH(V354,'Material routes'!$A$6:$A$1005,0)),"MISSING ID")</x:f>
        <x:v>Chemical material</x:v>
      </x:c>
      <x:c r="I354" s="4" t="str">
        <x:f>IFERROR(INDEX('Material routes'!$G$6:$G$1005,MATCH(V354,'Material routes'!$A$6:$A$1005,0)),"MISSING ID")</x:f>
        <x:v>Resources</x:v>
      </x:c>
      <x:c r="J354" s="4" t="str">
        <x:f>IFERROR(INDEX('Material routes'!$B$6:$B$1005,MATCH(U354,'Material routes'!$A$6:$A$1005,0)),"MISSING ID")</x:f>
        <x:v>design.review.proposal_lubricant_insulating_grease</x:v>
      </x:c>
      <x:c r="K354" s="4" t="str">
        <x:f>IFERROR(INDEX('Crafting recipes'!$C$6:$C$1005,MATCH(J354,'Crafting recipes'!$A$6:$A$1005,0)),"MISSING ID")</x:f>
        <x:v>Material refinement</x:v>
      </x:c>
      <x:c r="L354" s="4" t="str">
        <x:f>IFERROR(INDEX('Material routes'!$K$6:$K$1005,MATCH(U354,'Material routes'!$A$6:$A$1005,0)),"MISSING ID")</x:f>
        <x:v>Proposal</x:v>
      </x:c>
      <x:c r="M354" s="4" t="str">
        <x:f>IFERROR(INDEX('Material routes'!$M$6:$M$1005,MATCH(U354,'Material routes'!$A$6:$A$1005,0)),"MISSING ID")</x:f>
        <x:v>Partial proposal</x:v>
      </x:c>
      <x:c r="N354" s="4" t="str">
        <x:f>IF(IFERROR(INDEX('Material routes'!$I$6:$I$1005,MATCH(U354,'Material routes'!$A$6:$A$1005,0)),"MISSING ID")=0,"",IFERROR(INDEX('Material routes'!$I$6:$I$1005,MATCH(U354,'Material routes'!$A$6:$A$1005,0)),"MISSING ID"))</x:f>
      </x:c>
      <x:c r="O354" s="4" t="str">
        <x:f>IFERROR(INDEX('Material routes'!$J$6:$J$1005,MATCH(U354,'Material routes'!$A$6:$A$1005,0)),"MISSING ID")</x:f>
        <x:v>Unspecified</x:v>
      </x:c>
      <x:c r="P354" s="4" t="str">
        <x:f>IF(IFERROR(INDEX('Material routes'!$I$6:$I$1005,MATCH(V354,'Material routes'!$A$6:$A$1005,0)),"MISSING ID")=0,"",IFERROR(INDEX('Material routes'!$I$6:$I$1005,MATCH(V354,'Material routes'!$A$6:$A$1005,0)),"MISSING ID"))</x:f>
      </x:c>
      <x:c r="Q354" s="4" t="str">
        <x:f>IFERROR(INDEX('Material routes'!$J$6:$J$1005,MATCH(V354,'Material routes'!$A$6:$A$1005,0)),"MISSING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routes'!$D$6:$D$1005,MATCH(U354,'Material routes'!$A$6:$A$1005,0)),"MISSING ID")</x:f>
        <x:v>proposal.lubricant.base</x:v>
      </x:c>
      <x:c r="T354" s="4" t="str">
        <x:f>IFERROR(INDEX('Material routes'!$D$6:$D$1005,MATCH(V354,'Material routes'!$A$6:$A$1005,0)),"MISSING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routes'!$E$6:$E$1005,MATCH(U355,'Material routes'!$A$6:$A$1005,0)),"MISSING ID")</x:f>
        <x:v>Prepared secretion thickener</x:v>
      </x:c>
      <x:c r="B355" s="4" t="str">
        <x:f>IFERROR(INDEX('Material routes'!$F$6:$F$1005,MATCH(U355,'Material routes'!$A$6:$A$1005,0)),"MISSING ID")</x:f>
        <x:v>T1</x:v>
      </x:c>
      <x:c r="C355" s="4" t="str">
        <x:f>IFERROR(INDEX('Material routes'!$H$6:$H$1005,MATCH(U355,'Material routes'!$A$6:$A$1005,0)),"MISSING ID")</x:f>
        <x:v>Chemical material</x:v>
      </x:c>
      <x:c r="D355" s="4" t="str">
        <x:f>IFERROR(INDEX('Material routes'!$G$6:$G$1005,MATCH(U355,'Material routes'!$A$6:$A$1005,0)),"MISSING ID")</x:f>
        <x:v>Resources</x:v>
      </x:c>
      <x:c r="E355" s="4" t="str">
        <x:f>IFERROR(INDEX('Material routes'!$C$6:$C$1005,MATCH(U355,'Material routes'!$A$6:$A$1005,0)),"MISSING ID")</x:f>
        <x:v>Ingredient candidate</x:v>
      </x:c>
      <x:c r="F355" s="4" t="str">
        <x:f>IFERROR(INDEX('Material routes'!$E$6:$E$1005,MATCH(V355,'Material routes'!$A$6:$A$1005,0)),"MISSING ID")</x:f>
        <x:v>Electrically insulating grease</x:v>
      </x:c>
      <x:c r="G355" s="4" t="str">
        <x:f>IFERROR(INDEX('Material routes'!$F$6:$F$1005,MATCH(V355,'Material routes'!$A$6:$A$1005,0)),"MISSING ID")</x:f>
        <x:v>T2</x:v>
      </x:c>
      <x:c r="H355" s="4" t="str">
        <x:f>IFERROR(INDEX('Material routes'!$H$6:$H$1005,MATCH(V355,'Material routes'!$A$6:$A$1005,0)),"MISSING ID")</x:f>
        <x:v>Chemical material</x:v>
      </x:c>
      <x:c r="I355" s="4" t="str">
        <x:f>IFERROR(INDEX('Material routes'!$G$6:$G$1005,MATCH(V355,'Material routes'!$A$6:$A$1005,0)),"MISSING ID")</x:f>
        <x:v>Resources</x:v>
      </x:c>
      <x:c r="J355" s="4" t="str">
        <x:f>IFERROR(INDEX('Material routes'!$B$6:$B$1005,MATCH(U355,'Material routes'!$A$6:$A$1005,0)),"MISSING ID")</x:f>
        <x:v>design.review.proposal_lubricant_insulating_grease</x:v>
      </x:c>
      <x:c r="K355" s="4" t="str">
        <x:f>IFERROR(INDEX('Crafting recipes'!$C$6:$C$1005,MATCH(J355,'Crafting recipes'!$A$6:$A$1005,0)),"MISSING ID")</x:f>
        <x:v>Material refinement</x:v>
      </x:c>
      <x:c r="L355" s="4" t="str">
        <x:f>IFERROR(INDEX('Material routes'!$K$6:$K$1005,MATCH(U355,'Material routes'!$A$6:$A$1005,0)),"MISSING ID")</x:f>
        <x:v>Proposal</x:v>
      </x:c>
      <x:c r="M355" s="4" t="str">
        <x:f>IFERROR(INDEX('Material routes'!$M$6:$M$1005,MATCH(U355,'Material routes'!$A$6:$A$1005,0)),"MISSING ID")</x:f>
        <x:v>Partial proposal</x:v>
      </x:c>
      <x:c r="N355" s="4" t="str">
        <x:f>IF(IFERROR(INDEX('Material routes'!$I$6:$I$1005,MATCH(U355,'Material routes'!$A$6:$A$1005,0)),"MISSING ID")=0,"",IFERROR(INDEX('Material routes'!$I$6:$I$1005,MATCH(U355,'Material routes'!$A$6:$A$1005,0)),"MISSING ID"))</x:f>
      </x:c>
      <x:c r="O355" s="4" t="str">
        <x:f>IFERROR(INDEX('Material routes'!$J$6:$J$1005,MATCH(U355,'Material routes'!$A$6:$A$1005,0)),"MISSING ID")</x:f>
        <x:v>Unspecified</x:v>
      </x:c>
      <x:c r="P355" s="4" t="str">
        <x:f>IF(IFERROR(INDEX('Material routes'!$I$6:$I$1005,MATCH(V355,'Material routes'!$A$6:$A$1005,0)),"MISSING ID")=0,"",IFERROR(INDEX('Material routes'!$I$6:$I$1005,MATCH(V355,'Material routes'!$A$6:$A$1005,0)),"MISSING ID"))</x:f>
      </x:c>
      <x:c r="Q355" s="4" t="str">
        <x:f>IFERROR(INDEX('Material routes'!$J$6:$J$1005,MATCH(V355,'Material routes'!$A$6:$A$1005,0)),"MISSING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routes'!$D$6:$D$1005,MATCH(U355,'Material routes'!$A$6:$A$1005,0)),"MISSING ID")</x:f>
        <x:v>proposal.lubricant.thickener</x:v>
      </x:c>
      <x:c r="T355" s="4" t="str">
        <x:f>IFERROR(INDEX('Material routes'!$D$6:$D$1005,MATCH(V355,'Material routes'!$A$6:$A$1005,0)),"MISSING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routes'!$E$6:$E$1005,MATCH(U356,'Material routes'!$A$6:$A$1005,0)),"MISSING ID")</x:f>
        <x:v>Separated mica flake grade</x:v>
      </x:c>
      <x:c r="B356" s="4" t="str">
        <x:f>IFERROR(INDEX('Material routes'!$F$6:$F$1005,MATCH(U356,'Material routes'!$A$6:$A$1005,0)),"MISSING ID")</x:f>
        <x:v>T1</x:v>
      </x:c>
      <x:c r="C356" s="4" t="str">
        <x:f>IFERROR(INDEX('Material routes'!$H$6:$H$1005,MATCH(U356,'Material routes'!$A$6:$A$1005,0)),"MISSING ID")</x:f>
        <x:v>Processed material</x:v>
      </x:c>
      <x:c r="D356" s="4" t="str">
        <x:f>IFERROR(INDEX('Material routes'!$G$6:$G$1005,MATCH(U356,'Material routes'!$A$6:$A$1005,0)),"MISSING ID")</x:f>
        <x:v>Resources</x:v>
      </x:c>
      <x:c r="E356" s="4" t="str">
        <x:f>IFERROR(INDEX('Material routes'!$C$6:$C$1005,MATCH(U356,'Material routes'!$A$6:$A$1005,0)),"MISSING ID")</x:f>
        <x:v>Ingredient candidate</x:v>
      </x:c>
      <x:c r="F356" s="4" t="str">
        <x:f>IFERROR(INDEX('Material routes'!$E$6:$E$1005,MATCH(V356,'Material routes'!$A$6:$A$1005,0)),"MISSING ID")</x:f>
        <x:v>Electrically insulating grease</x:v>
      </x:c>
      <x:c r="G356" s="4" t="str">
        <x:f>IFERROR(INDEX('Material routes'!$F$6:$F$1005,MATCH(V356,'Material routes'!$A$6:$A$1005,0)),"MISSING ID")</x:f>
        <x:v>T2</x:v>
      </x:c>
      <x:c r="H356" s="4" t="str">
        <x:f>IFERROR(INDEX('Material routes'!$H$6:$H$1005,MATCH(V356,'Material routes'!$A$6:$A$1005,0)),"MISSING ID")</x:f>
        <x:v>Chemical material</x:v>
      </x:c>
      <x:c r="I356" s="4" t="str">
        <x:f>IFERROR(INDEX('Material routes'!$G$6:$G$1005,MATCH(V356,'Material routes'!$A$6:$A$1005,0)),"MISSING ID")</x:f>
        <x:v>Resources</x:v>
      </x:c>
      <x:c r="J356" s="4" t="str">
        <x:f>IFERROR(INDEX('Material routes'!$B$6:$B$1005,MATCH(U356,'Material routes'!$A$6:$A$1005,0)),"MISSING ID")</x:f>
        <x:v>design.review.proposal_lubricant_insulating_grease</x:v>
      </x:c>
      <x:c r="K356" s="4" t="str">
        <x:f>IFERROR(INDEX('Crafting recipes'!$C$6:$C$1005,MATCH(J356,'Crafting recipes'!$A$6:$A$1005,0)),"MISSING ID")</x:f>
        <x:v>Material refinement</x:v>
      </x:c>
      <x:c r="L356" s="4" t="str">
        <x:f>IFERROR(INDEX('Material routes'!$K$6:$K$1005,MATCH(U356,'Material routes'!$A$6:$A$1005,0)),"MISSING ID")</x:f>
        <x:v>Proposal</x:v>
      </x:c>
      <x:c r="M356" s="4" t="str">
        <x:f>IFERROR(INDEX('Material routes'!$M$6:$M$1005,MATCH(U356,'Material routes'!$A$6:$A$1005,0)),"MISSING ID")</x:f>
        <x:v>Partial proposal</x:v>
      </x:c>
      <x:c r="N356" s="4" t="str">
        <x:f>IF(IFERROR(INDEX('Material routes'!$I$6:$I$1005,MATCH(U356,'Material routes'!$A$6:$A$1005,0)),"MISSING ID")=0,"",IFERROR(INDEX('Material routes'!$I$6:$I$1005,MATCH(U356,'Material routes'!$A$6:$A$1005,0)),"MISSING ID"))</x:f>
      </x:c>
      <x:c r="O356" s="4" t="str">
        <x:f>IFERROR(INDEX('Material routes'!$J$6:$J$1005,MATCH(U356,'Material routes'!$A$6:$A$1005,0)),"MISSING ID")</x:f>
        <x:v>Unspecified</x:v>
      </x:c>
      <x:c r="P356" s="4" t="str">
        <x:f>IF(IFERROR(INDEX('Material routes'!$I$6:$I$1005,MATCH(V356,'Material routes'!$A$6:$A$1005,0)),"MISSING ID")=0,"",IFERROR(INDEX('Material routes'!$I$6:$I$1005,MATCH(V356,'Material routes'!$A$6:$A$1005,0)),"MISSING ID"))</x:f>
      </x:c>
      <x:c r="Q356" s="4" t="str">
        <x:f>IFERROR(INDEX('Material routes'!$J$6:$J$1005,MATCH(V356,'Material routes'!$A$6:$A$1005,0)),"MISSING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routes'!$D$6:$D$1005,MATCH(U356,'Material routes'!$A$6:$A$1005,0)),"MISSING ID")</x:f>
        <x:v>proposal.t1.mica_flakes</x:v>
      </x:c>
      <x:c r="T356" s="4" t="str">
        <x:f>IFERROR(INDEX('Material routes'!$D$6:$D$1005,MATCH(V356,'Material routes'!$A$6:$A$1005,0)),"MISSING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routes'!$E$6:$E$1005,MATCH(U357,'Material routes'!$A$6:$A$1005,0)),"MISSING ID")</x:f>
        <x:v>Drawn steel tube stock</x:v>
      </x:c>
      <x:c r="B357" s="4" t="str">
        <x:f>IFERROR(INDEX('Material routes'!$F$6:$F$1005,MATCH(U357,'Material routes'!$A$6:$A$1005,0)),"MISSING ID")</x:f>
        <x:v>T3</x:v>
      </x:c>
      <x:c r="C357" s="4" t="str">
        <x:f>IFERROR(INDEX('Material routes'!$H$6:$H$1005,MATCH(U357,'Material routes'!$A$6:$A$1005,0)),"MISSING ID")</x:f>
        <x:v>Processed material</x:v>
      </x:c>
      <x:c r="D357" s="4" t="str">
        <x:f>IFERROR(INDEX('Material routes'!$G$6:$G$1005,MATCH(U357,'Material routes'!$A$6:$A$1005,0)),"MISSING ID")</x:f>
        <x:v>Resources</x:v>
      </x:c>
      <x:c r="E357" s="4" t="str">
        <x:f>IFERROR(INDEX('Material routes'!$C$6:$C$1005,MATCH(U357,'Material routes'!$A$6:$A$1005,0)),"MISSING ID")</x:f>
        <x:v>Ingredient candidate</x:v>
      </x:c>
      <x:c r="F357" s="4" t="str">
        <x:f>IFERROR(INDEX('Material routes'!$E$6:$E$1005,MATCH(V357,'Material routes'!$A$6:$A$1005,0)),"MISSING ID")</x:f>
        <x:v>Collapsible sail frame</x:v>
      </x:c>
      <x:c r="G357" s="4" t="str">
        <x:f>IFERROR(INDEX('Material routes'!$F$6:$F$1005,MATCH(V357,'Material routes'!$A$6:$A$1005,0)),"MISSING ID")</x:f>
        <x:v>T4</x:v>
      </x:c>
      <x:c r="H357" s="4" t="str">
        <x:f>IFERROR(INDEX('Material routes'!$H$6:$H$1005,MATCH(V357,'Material routes'!$A$6:$A$1005,0)),"MISSING ID")</x:f>
        <x:v>Crafting component</x:v>
      </x:c>
      <x:c r="I357" s="4" t="str">
        <x:f>IFERROR(INDEX('Material routes'!$G$6:$G$1005,MATCH(V357,'Material routes'!$A$6:$A$1005,0)),"MISSING ID")</x:f>
        <x:v>Crafting components</x:v>
      </x:c>
      <x:c r="J357" s="4" t="str">
        <x:f>IFERROR(INDEX('Material routes'!$B$6:$B$1005,MATCH(U357,'Material routes'!$A$6:$A$1005,0)),"MISSING ID")</x:f>
        <x:v>design.review.proposal_wind_folding_frame</x:v>
      </x:c>
      <x:c r="K357" s="4" t="str">
        <x:f>IFERROR(INDEX('Crafting recipes'!$C$6:$C$1005,MATCH(J357,'Crafting recipes'!$A$6:$A$1005,0)),"MISSING ID")</x:f>
        <x:v>Material refinement</x:v>
      </x:c>
      <x:c r="L357" s="4" t="str">
        <x:f>IFERROR(INDEX('Material routes'!$K$6:$K$1005,MATCH(U357,'Material routes'!$A$6:$A$1005,0)),"MISSING ID")</x:f>
        <x:v>Proposal</x:v>
      </x:c>
      <x:c r="M357" s="4" t="str">
        <x:f>IFERROR(INDEX('Material routes'!$M$6:$M$1005,MATCH(U357,'Material routes'!$A$6:$A$1005,0)),"MISSING ID")</x:f>
        <x:v>Partial proposal</x:v>
      </x:c>
      <x:c r="N357" s="4" t="str">
        <x:f>IF(IFERROR(INDEX('Material routes'!$I$6:$I$1005,MATCH(U357,'Material routes'!$A$6:$A$1005,0)),"MISSING ID")=0,"",IFERROR(INDEX('Material routes'!$I$6:$I$1005,MATCH(U357,'Material routes'!$A$6:$A$1005,0)),"MISSING ID"))</x:f>
      </x:c>
      <x:c r="O357" s="4" t="str">
        <x:f>IFERROR(INDEX('Material routes'!$J$6:$J$1005,MATCH(U357,'Material routes'!$A$6:$A$1005,0)),"MISSING ID")</x:f>
        <x:v>Unspecified</x:v>
      </x:c>
      <x:c r="P357" s="4" t="str">
        <x:f>IF(IFERROR(INDEX('Material routes'!$I$6:$I$1005,MATCH(V357,'Material routes'!$A$6:$A$1005,0)),"MISSING ID")=0,"",IFERROR(INDEX('Material routes'!$I$6:$I$1005,MATCH(V357,'Material routes'!$A$6:$A$1005,0)),"MISSING ID"))</x:f>
      </x:c>
      <x:c r="Q357" s="4" t="str">
        <x:f>IFERROR(INDEX('Material routes'!$J$6:$J$1005,MATCH(V357,'Material routes'!$A$6:$A$1005,0)),"MISSING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routes'!$D$6:$D$1005,MATCH(U357,'Material routes'!$A$6:$A$1005,0)),"MISSING ID")</x:f>
        <x:v>proposal.t3.precision_tube</x:v>
      </x:c>
      <x:c r="T357" s="4" t="str">
        <x:f>IFERROR(INDEX('Material routes'!$D$6:$D$1005,MATCH(V357,'Material routes'!$A$6:$A$1005,0)),"MISSING ID")</x:f>
        <x:v>proposal.wind.folding_frame</x:v>
      </x:c>
      <x:c r="U357" s="4" t="str">
        <x:v>design.review.proposal_wind_folding_frame.in.1</x:v>
      </x:c>
      <x:c r="V357" s="4" t="str">
        <x:v>design.review.proposal_wind_folding_frame.out</x:v>
      </x:c>
    </x:row>
    <x:row r="358" ht="115" customHeight="1">
      <x:c r="A358" s="4" t="str">
        <x:f>IFERROR(INDEX('Material routes'!$E$6:$E$1005,MATCH(U358,'Material routes'!$A$6:$A$1005,0)),"MISSING ID")</x:f>
        <x:v>Spring-grade steel stock</x:v>
      </x:c>
      <x:c r="B358" s="4" t="str">
        <x:f>IFERROR(INDEX('Material routes'!$F$6:$F$1005,MATCH(U358,'Material routes'!$A$6:$A$1005,0)),"MISSING ID")</x:f>
        <x:v>T3</x:v>
      </x:c>
      <x:c r="C358" s="4" t="str">
        <x:f>IFERROR(INDEX('Material routes'!$H$6:$H$1005,MATCH(U358,'Material routes'!$A$6:$A$1005,0)),"MISSING ID")</x:f>
        <x:v>Processed material</x:v>
      </x:c>
      <x:c r="D358" s="4" t="str">
        <x:f>IFERROR(INDEX('Material routes'!$G$6:$G$1005,MATCH(U358,'Material routes'!$A$6:$A$1005,0)),"MISSING ID")</x:f>
        <x:v>Resources</x:v>
      </x:c>
      <x:c r="E358" s="4" t="str">
        <x:f>IFERROR(INDEX('Material routes'!$C$6:$C$1005,MATCH(U358,'Material routes'!$A$6:$A$1005,0)),"MISSING ID")</x:f>
        <x:v>Ingredient candidate</x:v>
      </x:c>
      <x:c r="F358" s="4" t="str">
        <x:f>IFERROR(INDEX('Material routes'!$E$6:$E$1005,MATCH(V358,'Material routes'!$A$6:$A$1005,0)),"MISSING ID")</x:f>
        <x:v>Collapsible sail frame</x:v>
      </x:c>
      <x:c r="G358" s="4" t="str">
        <x:f>IFERROR(INDEX('Material routes'!$F$6:$F$1005,MATCH(V358,'Material routes'!$A$6:$A$1005,0)),"MISSING ID")</x:f>
        <x:v>T4</x:v>
      </x:c>
      <x:c r="H358" s="4" t="str">
        <x:f>IFERROR(INDEX('Material routes'!$H$6:$H$1005,MATCH(V358,'Material routes'!$A$6:$A$1005,0)),"MISSING ID")</x:f>
        <x:v>Crafting component</x:v>
      </x:c>
      <x:c r="I358" s="4" t="str">
        <x:f>IFERROR(INDEX('Material routes'!$G$6:$G$1005,MATCH(V358,'Material routes'!$A$6:$A$1005,0)),"MISSING ID")</x:f>
        <x:v>Crafting components</x:v>
      </x:c>
      <x:c r="J358" s="4" t="str">
        <x:f>IFERROR(INDEX('Material routes'!$B$6:$B$1005,MATCH(U358,'Material routes'!$A$6:$A$1005,0)),"MISSING ID")</x:f>
        <x:v>design.review.proposal_wind_folding_frame</x:v>
      </x:c>
      <x:c r="K358" s="4" t="str">
        <x:f>IFERROR(INDEX('Crafting recipes'!$C$6:$C$1005,MATCH(J358,'Crafting recipes'!$A$6:$A$1005,0)),"MISSING ID")</x:f>
        <x:v>Material refinement</x:v>
      </x:c>
      <x:c r="L358" s="4" t="str">
        <x:f>IFERROR(INDEX('Material routes'!$K$6:$K$1005,MATCH(U358,'Material routes'!$A$6:$A$1005,0)),"MISSING ID")</x:f>
        <x:v>Proposal</x:v>
      </x:c>
      <x:c r="M358" s="4" t="str">
        <x:f>IFERROR(INDEX('Material routes'!$M$6:$M$1005,MATCH(U358,'Material routes'!$A$6:$A$1005,0)),"MISSING ID")</x:f>
        <x:v>Partial proposal</x:v>
      </x:c>
      <x:c r="N358" s="4" t="str">
        <x:f>IF(IFERROR(INDEX('Material routes'!$I$6:$I$1005,MATCH(U358,'Material routes'!$A$6:$A$1005,0)),"MISSING ID")=0,"",IFERROR(INDEX('Material routes'!$I$6:$I$1005,MATCH(U358,'Material routes'!$A$6:$A$1005,0)),"MISSING ID"))</x:f>
      </x:c>
      <x:c r="O358" s="4" t="str">
        <x:f>IFERROR(INDEX('Material routes'!$J$6:$J$1005,MATCH(U358,'Material routes'!$A$6:$A$1005,0)),"MISSING ID")</x:f>
        <x:v>Unspecified</x:v>
      </x:c>
      <x:c r="P358" s="4" t="str">
        <x:f>IF(IFERROR(INDEX('Material routes'!$I$6:$I$1005,MATCH(V358,'Material routes'!$A$6:$A$1005,0)),"MISSING ID")=0,"",IFERROR(INDEX('Material routes'!$I$6:$I$1005,MATCH(V358,'Material routes'!$A$6:$A$1005,0)),"MISSING ID"))</x:f>
      </x:c>
      <x:c r="Q358" s="4" t="str">
        <x:f>IFERROR(INDEX('Material routes'!$J$6:$J$1005,MATCH(V358,'Material routes'!$A$6:$A$1005,0)),"MISSING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routes'!$D$6:$D$1005,MATCH(U358,'Material routes'!$A$6:$A$1005,0)),"MISSING ID")</x:f>
        <x:v>proposal.branch.spring_steel</x:v>
      </x:c>
      <x:c r="T358" s="4" t="str">
        <x:f>IFERROR(INDEX('Material routes'!$D$6:$D$1005,MATCH(V358,'Material routes'!$A$6:$A$1005,0)),"MISSING ID")</x:f>
        <x:v>proposal.wind.folding_frame</x:v>
      </x:c>
      <x:c r="U358" s="4" t="str">
        <x:v>design.review.proposal_wind_folding_frame.in.2</x:v>
      </x:c>
      <x:c r="V358" s="4" t="str">
        <x:v>design.review.proposal_wind_folding_frame.out</x:v>
      </x:c>
    </x:row>
    <x:row r="359" ht="115" customHeight="1">
      <x:c r="A359" s="4" t="str">
        <x:f>IFERROR(INDEX('Material routes'!$E$6:$E$1005,MATCH(U359,'Material routes'!$A$6:$A$1005,0)),"MISSING ID")</x:f>
        <x:v>Prepared bronze bearing stock</x:v>
      </x:c>
      <x:c r="B359" s="4" t="str">
        <x:f>IFERROR(INDEX('Material routes'!$F$6:$F$1005,MATCH(U359,'Material routes'!$A$6:$A$1005,0)),"MISSING ID")</x:f>
        <x:v>T2</x:v>
      </x:c>
      <x:c r="C359" s="4" t="str">
        <x:f>IFERROR(INDEX('Material routes'!$H$6:$H$1005,MATCH(U359,'Material routes'!$A$6:$A$1005,0)),"MISSING ID")</x:f>
        <x:v>Processed material</x:v>
      </x:c>
      <x:c r="D359" s="4" t="str">
        <x:f>IFERROR(INDEX('Material routes'!$G$6:$G$1005,MATCH(U359,'Material routes'!$A$6:$A$1005,0)),"MISSING ID")</x:f>
        <x:v>Resources</x:v>
      </x:c>
      <x:c r="E359" s="4" t="str">
        <x:f>IFERROR(INDEX('Material routes'!$C$6:$C$1005,MATCH(U359,'Material routes'!$A$6:$A$1005,0)),"MISSING ID")</x:f>
        <x:v>Ingredient candidate</x:v>
      </x:c>
      <x:c r="F359" s="4" t="str">
        <x:f>IFERROR(INDEX('Material routes'!$E$6:$E$1005,MATCH(V359,'Material routes'!$A$6:$A$1005,0)),"MISSING ID")</x:f>
        <x:v>Collapsible sail frame</x:v>
      </x:c>
      <x:c r="G359" s="4" t="str">
        <x:f>IFERROR(INDEX('Material routes'!$F$6:$F$1005,MATCH(V359,'Material routes'!$A$6:$A$1005,0)),"MISSING ID")</x:f>
        <x:v>T4</x:v>
      </x:c>
      <x:c r="H359" s="4" t="str">
        <x:f>IFERROR(INDEX('Material routes'!$H$6:$H$1005,MATCH(V359,'Material routes'!$A$6:$A$1005,0)),"MISSING ID")</x:f>
        <x:v>Crafting component</x:v>
      </x:c>
      <x:c r="I359" s="4" t="str">
        <x:f>IFERROR(INDEX('Material routes'!$G$6:$G$1005,MATCH(V359,'Material routes'!$A$6:$A$1005,0)),"MISSING ID")</x:f>
        <x:v>Crafting components</x:v>
      </x:c>
      <x:c r="J359" s="4" t="str">
        <x:f>IFERROR(INDEX('Material routes'!$B$6:$B$1005,MATCH(U359,'Material routes'!$A$6:$A$1005,0)),"MISSING ID")</x:f>
        <x:v>design.review.proposal_wind_folding_frame</x:v>
      </x:c>
      <x:c r="K359" s="4" t="str">
        <x:f>IFERROR(INDEX('Crafting recipes'!$C$6:$C$1005,MATCH(J359,'Crafting recipes'!$A$6:$A$1005,0)),"MISSING ID")</x:f>
        <x:v>Material refinement</x:v>
      </x:c>
      <x:c r="L359" s="4" t="str">
        <x:f>IFERROR(INDEX('Material routes'!$K$6:$K$1005,MATCH(U359,'Material routes'!$A$6:$A$1005,0)),"MISSING ID")</x:f>
        <x:v>Proposal</x:v>
      </x:c>
      <x:c r="M359" s="4" t="str">
        <x:f>IFERROR(INDEX('Material routes'!$M$6:$M$1005,MATCH(U359,'Material routes'!$A$6:$A$1005,0)),"MISSING ID")</x:f>
        <x:v>Partial proposal</x:v>
      </x:c>
      <x:c r="N359" s="4" t="str">
        <x:f>IF(IFERROR(INDEX('Material routes'!$I$6:$I$1005,MATCH(U359,'Material routes'!$A$6:$A$1005,0)),"MISSING ID")=0,"",IFERROR(INDEX('Material routes'!$I$6:$I$1005,MATCH(U359,'Material routes'!$A$6:$A$1005,0)),"MISSING ID"))</x:f>
      </x:c>
      <x:c r="O359" s="4" t="str">
        <x:f>IFERROR(INDEX('Material routes'!$J$6:$J$1005,MATCH(U359,'Material routes'!$A$6:$A$1005,0)),"MISSING ID")</x:f>
        <x:v>Unspecified</x:v>
      </x:c>
      <x:c r="P359" s="4" t="str">
        <x:f>IF(IFERROR(INDEX('Material routes'!$I$6:$I$1005,MATCH(V359,'Material routes'!$A$6:$A$1005,0)),"MISSING ID")=0,"",IFERROR(INDEX('Material routes'!$I$6:$I$1005,MATCH(V359,'Material routes'!$A$6:$A$1005,0)),"MISSING ID"))</x:f>
      </x:c>
      <x:c r="Q359" s="4" t="str">
        <x:f>IFERROR(INDEX('Material routes'!$J$6:$J$1005,MATCH(V359,'Material routes'!$A$6:$A$1005,0)),"MISSING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routes'!$D$6:$D$1005,MATCH(U359,'Material routes'!$A$6:$A$1005,0)),"MISSING ID")</x:f>
        <x:v>proposal.branch.bearing_bronze</x:v>
      </x:c>
      <x:c r="T359" s="4" t="str">
        <x:f>IFERROR(INDEX('Material routes'!$D$6:$D$1005,MATCH(V359,'Material routes'!$A$6:$A$1005,0)),"MISSING ID")</x:f>
        <x:v>proposal.wind.folding_frame</x:v>
      </x:c>
      <x:c r="U359" s="4" t="str">
        <x:v>design.review.proposal_wind_folding_frame.in.3</x:v>
      </x:c>
      <x:c r="V359" s="4" t="str">
        <x:v>design.review.proposal_wind_folding_frame.out</x:v>
      </x:c>
    </x:row>
    <x:row r="360" ht="115" customHeight="1">
      <x:c r="A360" s="4" t="str">
        <x:f>IFERROR(INDEX('Material routes'!$E$6:$E$1005,MATCH(U360,'Material routes'!$A$6:$A$1005,0)),"MISSING ID")</x:f>
        <x:v>Steel stock</x:v>
      </x:c>
      <x:c r="B360" s="4" t="str">
        <x:f>IFERROR(INDEX('Material routes'!$F$6:$F$1005,MATCH(U360,'Material routes'!$A$6:$A$1005,0)),"MISSING ID")</x:f>
        <x:v>T2</x:v>
      </x:c>
      <x:c r="C360" s="4" t="str">
        <x:f>IFERROR(INDEX('Material routes'!$H$6:$H$1005,MATCH(U360,'Material routes'!$A$6:$A$1005,0)),"MISSING ID")</x:f>
        <x:v>Processed material</x:v>
      </x:c>
      <x:c r="D360" s="4" t="str">
        <x:f>IFERROR(INDEX('Material routes'!$G$6:$G$1005,MATCH(U360,'Material routes'!$A$6:$A$1005,0)),"MISSING ID")</x:f>
        <x:v>Resources</x:v>
      </x:c>
      <x:c r="E360" s="4" t="str">
        <x:f>IFERROR(INDEX('Material routes'!$C$6:$C$1005,MATCH(U360,'Material routes'!$A$6:$A$1005,0)),"MISSING ID")</x:f>
        <x:v>Ingredient candidate</x:v>
      </x:c>
      <x:c r="F360" s="4" t="str">
        <x:f>IFERROR(INDEX('Material routes'!$E$6:$E$1005,MATCH(V360,'Material routes'!$A$6:$A$1005,0)),"MISSING ID")</x:f>
        <x:v>Hand-sail grip assembly</x:v>
      </x:c>
      <x:c r="G360" s="4" t="str">
        <x:f>IFERROR(INDEX('Material routes'!$F$6:$F$1005,MATCH(V360,'Material routes'!$A$6:$A$1005,0)),"MISSING ID")</x:f>
        <x:v>T3</x:v>
      </x:c>
      <x:c r="H360" s="4" t="str">
        <x:f>IFERROR(INDEX('Material routes'!$H$6:$H$1005,MATCH(V360,'Material routes'!$A$6:$A$1005,0)),"MISSING ID")</x:f>
        <x:v>Crafting component</x:v>
      </x:c>
      <x:c r="I360" s="4" t="str">
        <x:f>IFERROR(INDEX('Material routes'!$G$6:$G$1005,MATCH(V360,'Material routes'!$A$6:$A$1005,0)),"MISSING ID")</x:f>
        <x:v>Crafting components</x:v>
      </x:c>
      <x:c r="J360" s="4" t="str">
        <x:f>IFERROR(INDEX('Material routes'!$B$6:$B$1005,MATCH(U360,'Material routes'!$A$6:$A$1005,0)),"MISSING ID")</x:f>
        <x:v>design.review.proposal_wind_sail_grip</x:v>
      </x:c>
      <x:c r="K360" s="4" t="str">
        <x:f>IFERROR(INDEX('Crafting recipes'!$C$6:$C$1005,MATCH(J360,'Crafting recipes'!$A$6:$A$1005,0)),"MISSING ID")</x:f>
        <x:v>Material refinement</x:v>
      </x:c>
      <x:c r="L360" s="4" t="str">
        <x:f>IFERROR(INDEX('Material routes'!$K$6:$K$1005,MATCH(U360,'Material routes'!$A$6:$A$1005,0)),"MISSING ID")</x:f>
        <x:v>Proposal</x:v>
      </x:c>
      <x:c r="M360" s="4" t="str">
        <x:f>IFERROR(INDEX('Material routes'!$M$6:$M$1005,MATCH(U360,'Material routes'!$A$6:$A$1005,0)),"MISSING ID")</x:f>
        <x:v>Partial proposal</x:v>
      </x:c>
      <x:c r="N360" s="4" t="str">
        <x:f>IF(IFERROR(INDEX('Material routes'!$I$6:$I$1005,MATCH(U360,'Material routes'!$A$6:$A$1005,0)),"MISSING ID")=0,"",IFERROR(INDEX('Material routes'!$I$6:$I$1005,MATCH(U360,'Material routes'!$A$6:$A$1005,0)),"MISSING ID"))</x:f>
      </x:c>
      <x:c r="O360" s="4" t="str">
        <x:f>IFERROR(INDEX('Material routes'!$J$6:$J$1005,MATCH(U360,'Material routes'!$A$6:$A$1005,0)),"MISSING ID")</x:f>
        <x:v>Unspecified</x:v>
      </x:c>
      <x:c r="P360" s="4" t="str">
        <x:f>IF(IFERROR(INDEX('Material routes'!$I$6:$I$1005,MATCH(V360,'Material routes'!$A$6:$A$1005,0)),"MISSING ID")=0,"",IFERROR(INDEX('Material routes'!$I$6:$I$1005,MATCH(V360,'Material routes'!$A$6:$A$1005,0)),"MISSING ID"))</x:f>
      </x:c>
      <x:c r="Q360" s="4" t="str">
        <x:f>IFERROR(INDEX('Material routes'!$J$6:$J$1005,MATCH(V360,'Material routes'!$A$6:$A$1005,0)),"MISSING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routes'!$D$6:$D$1005,MATCH(U360,'Material routes'!$A$6:$A$1005,0)),"MISSING ID")</x:f>
        <x:v>author.metallurgy.steel_stock</x:v>
      </x:c>
      <x:c r="T360" s="4" t="str">
        <x:f>IFERROR(INDEX('Material routes'!$D$6:$D$1005,MATCH(V360,'Material routes'!$A$6:$A$1005,0)),"MISSING ID")</x:f>
        <x:v>proposal.wind.sail_grip</x:v>
      </x:c>
      <x:c r="U360" s="4" t="str">
        <x:v>design.review.proposal_wind_sail_grip.in.1</x:v>
      </x:c>
      <x:c r="V360" s="4" t="str">
        <x:v>design.review.proposal_wind_sail_grip.out</x:v>
      </x:c>
    </x:row>
    <x:row r="361" ht="115" customHeight="1">
      <x:c r="A361" s="4" t="str">
        <x:f>IFERROR(INDEX('Material routes'!$E$6:$E$1005,MATCH(U361,'Material routes'!$A$6:$A$1005,0)),"MISSING ID")</x:f>
        <x:v>Processed hide material</x:v>
      </x:c>
      <x:c r="B361" s="4" t="str">
        <x:f>IFERROR(INDEX('Material routes'!$F$6:$F$1005,MATCH(U361,'Material routes'!$A$6:$A$1005,0)),"MISSING ID")</x:f>
        <x:v>T1</x:v>
      </x:c>
      <x:c r="C361" s="4" t="str">
        <x:f>IFERROR(INDEX('Material routes'!$H$6:$H$1005,MATCH(U361,'Material routes'!$A$6:$A$1005,0)),"MISSING ID")</x:f>
        <x:v>Processed material</x:v>
      </x:c>
      <x:c r="D361" s="4" t="str">
        <x:f>IFERROR(INDEX('Material routes'!$G$6:$G$1005,MATCH(U361,'Material routes'!$A$6:$A$1005,0)),"MISSING ID")</x:f>
        <x:v>Crafting components</x:v>
      </x:c>
      <x:c r="E361" s="4" t="str">
        <x:f>IFERROR(INDEX('Material routes'!$C$6:$C$1005,MATCH(U361,'Material routes'!$A$6:$A$1005,0)),"MISSING ID")</x:f>
        <x:v>Ingredient candidate</x:v>
      </x:c>
      <x:c r="F361" s="4" t="str">
        <x:f>IFERROR(INDEX('Material routes'!$E$6:$E$1005,MATCH(V361,'Material routes'!$A$6:$A$1005,0)),"MISSING ID")</x:f>
        <x:v>Hand-sail grip assembly</x:v>
      </x:c>
      <x:c r="G361" s="4" t="str">
        <x:f>IFERROR(INDEX('Material routes'!$F$6:$F$1005,MATCH(V361,'Material routes'!$A$6:$A$1005,0)),"MISSING ID")</x:f>
        <x:v>T3</x:v>
      </x:c>
      <x:c r="H361" s="4" t="str">
        <x:f>IFERROR(INDEX('Material routes'!$H$6:$H$1005,MATCH(V361,'Material routes'!$A$6:$A$1005,0)),"MISSING ID")</x:f>
        <x:v>Crafting component</x:v>
      </x:c>
      <x:c r="I361" s="4" t="str">
        <x:f>IFERROR(INDEX('Material routes'!$G$6:$G$1005,MATCH(V361,'Material routes'!$A$6:$A$1005,0)),"MISSING ID")</x:f>
        <x:v>Crafting components</x:v>
      </x:c>
      <x:c r="J361" s="4" t="str">
        <x:f>IFERROR(INDEX('Material routes'!$B$6:$B$1005,MATCH(U361,'Material routes'!$A$6:$A$1005,0)),"MISSING ID")</x:f>
        <x:v>design.review.proposal_wind_sail_grip</x:v>
      </x:c>
      <x:c r="K361" s="4" t="str">
        <x:f>IFERROR(INDEX('Crafting recipes'!$C$6:$C$1005,MATCH(J361,'Crafting recipes'!$A$6:$A$1005,0)),"MISSING ID")</x:f>
        <x:v>Material refinement</x:v>
      </x:c>
      <x:c r="L361" s="4" t="str">
        <x:f>IFERROR(INDEX('Material routes'!$K$6:$K$1005,MATCH(U361,'Material routes'!$A$6:$A$1005,0)),"MISSING ID")</x:f>
        <x:v>Proposal</x:v>
      </x:c>
      <x:c r="M361" s="4" t="str">
        <x:f>IFERROR(INDEX('Material routes'!$M$6:$M$1005,MATCH(U361,'Material routes'!$A$6:$A$1005,0)),"MISSING ID")</x:f>
        <x:v>Partial proposal</x:v>
      </x:c>
      <x:c r="N361" s="4" t="str">
        <x:f>IF(IFERROR(INDEX('Material routes'!$I$6:$I$1005,MATCH(U361,'Material routes'!$A$6:$A$1005,0)),"MISSING ID")=0,"",IFERROR(INDEX('Material routes'!$I$6:$I$1005,MATCH(U361,'Material routes'!$A$6:$A$1005,0)),"MISSING ID"))</x:f>
      </x:c>
      <x:c r="O361" s="4" t="str">
        <x:f>IFERROR(INDEX('Material routes'!$J$6:$J$1005,MATCH(U361,'Material routes'!$A$6:$A$1005,0)),"MISSING ID")</x:f>
        <x:v>Unspecified</x:v>
      </x:c>
      <x:c r="P361" s="4" t="str">
        <x:f>IF(IFERROR(INDEX('Material routes'!$I$6:$I$1005,MATCH(V361,'Material routes'!$A$6:$A$1005,0)),"MISSING ID")=0,"",IFERROR(INDEX('Material routes'!$I$6:$I$1005,MATCH(V361,'Material routes'!$A$6:$A$1005,0)),"MISSING ID"))</x:f>
      </x:c>
      <x:c r="Q361" s="4" t="str">
        <x:f>IFERROR(INDEX('Material routes'!$J$6:$J$1005,MATCH(V361,'Material routes'!$A$6:$A$1005,0)),"MISSING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routes'!$D$6:$D$1005,MATCH(U361,'Material routes'!$A$6:$A$1005,0)),"MISSING ID")</x:f>
        <x:v>proposal.bio.hide_material</x:v>
      </x:c>
      <x:c r="T361" s="4" t="str">
        <x:f>IFERROR(INDEX('Material routes'!$D$6:$D$1005,MATCH(V361,'Material routes'!$A$6:$A$1005,0)),"MISSING ID")</x:f>
        <x:v>proposal.wind.sail_grip</x:v>
      </x:c>
      <x:c r="U361" s="4" t="str">
        <x:v>design.review.proposal_wind_sail_grip.in.2</x:v>
      </x:c>
      <x:c r="V361" s="4" t="str">
        <x:v>design.review.proposal_wind_sail_grip.out</x:v>
      </x:c>
    </x:row>
    <x:row r="362" ht="115" customHeight="1">
      <x:c r="A362" s="4" t="str">
        <x:f>IFERROR(INDEX('Material routes'!$E$6:$E$1005,MATCH(U362,'Material routes'!$A$6:$A$1005,0)),"MISSING ID")</x:f>
        <x:v>Lapped bronze bearing blanks</x:v>
      </x:c>
      <x:c r="B362" s="4" t="str">
        <x:f>IFERROR(INDEX('Material routes'!$F$6:$F$1005,MATCH(U362,'Material routes'!$A$6:$A$1005,0)),"MISSING ID")</x:f>
        <x:v>T3</x:v>
      </x:c>
      <x:c r="C362" s="4" t="str">
        <x:f>IFERROR(INDEX('Material routes'!$H$6:$H$1005,MATCH(U362,'Material routes'!$A$6:$A$1005,0)),"MISSING ID")</x:f>
        <x:v>Crafting component</x:v>
      </x:c>
      <x:c r="D362" s="4" t="str">
        <x:f>IFERROR(INDEX('Material routes'!$G$6:$G$1005,MATCH(U362,'Material routes'!$A$6:$A$1005,0)),"MISSING ID")</x:f>
        <x:v>Crafting components</x:v>
      </x:c>
      <x:c r="E362" s="4" t="str">
        <x:f>IFERROR(INDEX('Material routes'!$C$6:$C$1005,MATCH(U362,'Material routes'!$A$6:$A$1005,0)),"MISSING ID")</x:f>
        <x:v>Ingredient candidate</x:v>
      </x:c>
      <x:c r="F362" s="4" t="str">
        <x:f>IFERROR(INDEX('Material routes'!$E$6:$E$1005,MATCH(V362,'Material routes'!$A$6:$A$1005,0)),"MISSING ID")</x:f>
        <x:v>Dirtboard wheel assembly</x:v>
      </x:c>
      <x:c r="G362" s="4" t="str">
        <x:f>IFERROR(INDEX('Material routes'!$F$6:$F$1005,MATCH(V362,'Material routes'!$A$6:$A$1005,0)),"MISSING ID")</x:f>
        <x:v>T4</x:v>
      </x:c>
      <x:c r="H362" s="4" t="str">
        <x:f>IFERROR(INDEX('Material routes'!$H$6:$H$1005,MATCH(V362,'Material routes'!$A$6:$A$1005,0)),"MISSING ID")</x:f>
        <x:v>Crafting component</x:v>
      </x:c>
      <x:c r="I362" s="4" t="str">
        <x:f>IFERROR(INDEX('Material routes'!$G$6:$G$1005,MATCH(V362,'Material routes'!$A$6:$A$1005,0)),"MISSING ID")</x:f>
        <x:v>Crafting components</x:v>
      </x:c>
      <x:c r="J362" s="4" t="str">
        <x:f>IFERROR(INDEX('Material routes'!$B$6:$B$1005,MATCH(U362,'Material routes'!$A$6:$A$1005,0)),"MISSING ID")</x:f>
        <x:v>design.review.proposal_wind_wheel</x:v>
      </x:c>
      <x:c r="K362" s="4" t="str">
        <x:f>IFERROR(INDEX('Crafting recipes'!$C$6:$C$1005,MATCH(J362,'Crafting recipes'!$A$6:$A$1005,0)),"MISSING ID")</x:f>
        <x:v>Material refinement</x:v>
      </x:c>
      <x:c r="L362" s="4" t="str">
        <x:f>IFERROR(INDEX('Material routes'!$K$6:$K$1005,MATCH(U362,'Material routes'!$A$6:$A$1005,0)),"MISSING ID")</x:f>
        <x:v>Proposal</x:v>
      </x:c>
      <x:c r="M362" s="4" t="str">
        <x:f>IFERROR(INDEX('Material routes'!$M$6:$M$1005,MATCH(U362,'Material routes'!$A$6:$A$1005,0)),"MISSING ID")</x:f>
        <x:v>Partial proposal</x:v>
      </x:c>
      <x:c r="N362" s="4" t="str">
        <x:f>IF(IFERROR(INDEX('Material routes'!$I$6:$I$1005,MATCH(U362,'Material routes'!$A$6:$A$1005,0)),"MISSING ID")=0,"",IFERROR(INDEX('Material routes'!$I$6:$I$1005,MATCH(U362,'Material routes'!$A$6:$A$1005,0)),"MISSING ID"))</x:f>
      </x:c>
      <x:c r="O362" s="4" t="str">
        <x:f>IFERROR(INDEX('Material routes'!$J$6:$J$1005,MATCH(U362,'Material routes'!$A$6:$A$1005,0)),"MISSING ID")</x:f>
        <x:v>Unspecified</x:v>
      </x:c>
      <x:c r="P362" s="4" t="str">
        <x:f>IF(IFERROR(INDEX('Material routes'!$I$6:$I$1005,MATCH(V362,'Material routes'!$A$6:$A$1005,0)),"MISSING ID")=0,"",IFERROR(INDEX('Material routes'!$I$6:$I$1005,MATCH(V362,'Material routes'!$A$6:$A$1005,0)),"MISSING ID"))</x:f>
      </x:c>
      <x:c r="Q362" s="4" t="str">
        <x:f>IFERROR(INDEX('Material routes'!$J$6:$J$1005,MATCH(V362,'Material routes'!$A$6:$A$1005,0)),"MISSING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routes'!$D$6:$D$1005,MATCH(U362,'Material routes'!$A$6:$A$1005,0)),"MISSING ID")</x:f>
        <x:v>proposal.t3.bearing_blank</x:v>
      </x:c>
      <x:c r="T362" s="4" t="str">
        <x:f>IFERROR(INDEX('Material routes'!$D$6:$D$1005,MATCH(V362,'Material routes'!$A$6:$A$1005,0)),"MISSING ID")</x:f>
        <x:v>proposal.wind.wheel</x:v>
      </x:c>
      <x:c r="U362" s="4" t="str">
        <x:v>design.review.proposal_wind_wheel.in.1</x:v>
      </x:c>
      <x:c r="V362" s="4" t="str">
        <x:v>design.review.proposal_wind_wheel.out</x:v>
      </x:c>
    </x:row>
    <x:row r="363" ht="115" customHeight="1">
      <x:c r="A363" s="4" t="str">
        <x:f>IFERROR(INDEX('Material routes'!$E$6:$E$1005,MATCH(U363,'Material routes'!$A$6:$A$1005,0)),"MISSING ID")</x:f>
        <x:v>Drawn steel tube stock</x:v>
      </x:c>
      <x:c r="B363" s="4" t="str">
        <x:f>IFERROR(INDEX('Material routes'!$F$6:$F$1005,MATCH(U363,'Material routes'!$A$6:$A$1005,0)),"MISSING ID")</x:f>
        <x:v>T3</x:v>
      </x:c>
      <x:c r="C363" s="4" t="str">
        <x:f>IFERROR(INDEX('Material routes'!$H$6:$H$1005,MATCH(U363,'Material routes'!$A$6:$A$1005,0)),"MISSING ID")</x:f>
        <x:v>Processed material</x:v>
      </x:c>
      <x:c r="D363" s="4" t="str">
        <x:f>IFERROR(INDEX('Material routes'!$G$6:$G$1005,MATCH(U363,'Material routes'!$A$6:$A$1005,0)),"MISSING ID")</x:f>
        <x:v>Resources</x:v>
      </x:c>
      <x:c r="E363" s="4" t="str">
        <x:f>IFERROR(INDEX('Material routes'!$C$6:$C$1005,MATCH(U363,'Material routes'!$A$6:$A$1005,0)),"MISSING ID")</x:f>
        <x:v>Ingredient candidate</x:v>
      </x:c>
      <x:c r="F363" s="4" t="str">
        <x:f>IFERROR(INDEX('Material routes'!$E$6:$E$1005,MATCH(V363,'Material routes'!$A$6:$A$1005,0)),"MISSING ID")</x:f>
        <x:v>Dirtboard wheel assembly</x:v>
      </x:c>
      <x:c r="G363" s="4" t="str">
        <x:f>IFERROR(INDEX('Material routes'!$F$6:$F$1005,MATCH(V363,'Material routes'!$A$6:$A$1005,0)),"MISSING ID")</x:f>
        <x:v>T4</x:v>
      </x:c>
      <x:c r="H363" s="4" t="str">
        <x:f>IFERROR(INDEX('Material routes'!$H$6:$H$1005,MATCH(V363,'Material routes'!$A$6:$A$1005,0)),"MISSING ID")</x:f>
        <x:v>Crafting component</x:v>
      </x:c>
      <x:c r="I363" s="4" t="str">
        <x:f>IFERROR(INDEX('Material routes'!$G$6:$G$1005,MATCH(V363,'Material routes'!$A$6:$A$1005,0)),"MISSING ID")</x:f>
        <x:v>Crafting components</x:v>
      </x:c>
      <x:c r="J363" s="4" t="str">
        <x:f>IFERROR(INDEX('Material routes'!$B$6:$B$1005,MATCH(U363,'Material routes'!$A$6:$A$1005,0)),"MISSING ID")</x:f>
        <x:v>design.review.proposal_wind_wheel</x:v>
      </x:c>
      <x:c r="K363" s="4" t="str">
        <x:f>IFERROR(INDEX('Crafting recipes'!$C$6:$C$1005,MATCH(J363,'Crafting recipes'!$A$6:$A$1005,0)),"MISSING ID")</x:f>
        <x:v>Material refinement</x:v>
      </x:c>
      <x:c r="L363" s="4" t="str">
        <x:f>IFERROR(INDEX('Material routes'!$K$6:$K$1005,MATCH(U363,'Material routes'!$A$6:$A$1005,0)),"MISSING ID")</x:f>
        <x:v>Proposal</x:v>
      </x:c>
      <x:c r="M363" s="4" t="str">
        <x:f>IFERROR(INDEX('Material routes'!$M$6:$M$1005,MATCH(U363,'Material routes'!$A$6:$A$1005,0)),"MISSING ID")</x:f>
        <x:v>Partial proposal</x:v>
      </x:c>
      <x:c r="N363" s="4" t="str">
        <x:f>IF(IFERROR(INDEX('Material routes'!$I$6:$I$1005,MATCH(U363,'Material routes'!$A$6:$A$1005,0)),"MISSING ID")=0,"",IFERROR(INDEX('Material routes'!$I$6:$I$1005,MATCH(U363,'Material routes'!$A$6:$A$1005,0)),"MISSING ID"))</x:f>
      </x:c>
      <x:c r="O363" s="4" t="str">
        <x:f>IFERROR(INDEX('Material routes'!$J$6:$J$1005,MATCH(U363,'Material routes'!$A$6:$A$1005,0)),"MISSING ID")</x:f>
        <x:v>Unspecified</x:v>
      </x:c>
      <x:c r="P363" s="4" t="str">
        <x:f>IF(IFERROR(INDEX('Material routes'!$I$6:$I$1005,MATCH(V363,'Material routes'!$A$6:$A$1005,0)),"MISSING ID")=0,"",IFERROR(INDEX('Material routes'!$I$6:$I$1005,MATCH(V363,'Material routes'!$A$6:$A$1005,0)),"MISSING ID"))</x:f>
      </x:c>
      <x:c r="Q363" s="4" t="str">
        <x:f>IFERROR(INDEX('Material routes'!$J$6:$J$1005,MATCH(V363,'Material routes'!$A$6:$A$1005,0)),"MISSING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routes'!$D$6:$D$1005,MATCH(U363,'Material routes'!$A$6:$A$1005,0)),"MISSING ID")</x:f>
        <x:v>proposal.t3.precision_tube</x:v>
      </x:c>
      <x:c r="T363" s="4" t="str">
        <x:f>IFERROR(INDEX('Material routes'!$D$6:$D$1005,MATCH(V363,'Material routes'!$A$6:$A$1005,0)),"MISSING ID")</x:f>
        <x:v>proposal.wind.wheel</x:v>
      </x:c>
      <x:c r="U363" s="4" t="str">
        <x:v>design.review.proposal_wind_wheel.in.2</x:v>
      </x:c>
      <x:c r="V363" s="4" t="str">
        <x:v>design.review.proposal_wind_wheel.out</x:v>
      </x:c>
    </x:row>
    <x:row r="364" ht="115" customHeight="1">
      <x:c r="A364" s="4" t="str">
        <x:f>IFERROR(INDEX('Material routes'!$E$6:$E$1005,MATCH(U364,'Material routes'!$A$6:$A$1005,0)),"MISSING ID")</x:f>
        <x:v>Steel stock</x:v>
      </x:c>
      <x:c r="B364" s="4" t="str">
        <x:f>IFERROR(INDEX('Material routes'!$F$6:$F$1005,MATCH(U364,'Material routes'!$A$6:$A$1005,0)),"MISSING ID")</x:f>
        <x:v>T2</x:v>
      </x:c>
      <x:c r="C364" s="4" t="str">
        <x:f>IFERROR(INDEX('Material routes'!$H$6:$H$1005,MATCH(U364,'Material routes'!$A$6:$A$1005,0)),"MISSING ID")</x:f>
        <x:v>Processed material</x:v>
      </x:c>
      <x:c r="D364" s="4" t="str">
        <x:f>IFERROR(INDEX('Material routes'!$G$6:$G$1005,MATCH(U364,'Material routes'!$A$6:$A$1005,0)),"MISSING ID")</x:f>
        <x:v>Resources</x:v>
      </x:c>
      <x:c r="E364" s="4" t="str">
        <x:f>IFERROR(INDEX('Material routes'!$C$6:$C$1005,MATCH(U364,'Material routes'!$A$6:$A$1005,0)),"MISSING ID")</x:f>
        <x:v>Ingredient candidate</x:v>
      </x:c>
      <x:c r="F364" s="4" t="str">
        <x:f>IFERROR(INDEX('Material routes'!$E$6:$E$1005,MATCH(V364,'Material routes'!$A$6:$A$1005,0)),"MISSING ID")</x:f>
        <x:v>Dirtboard wheel assembly</x:v>
      </x:c>
      <x:c r="G364" s="4" t="str">
        <x:f>IFERROR(INDEX('Material routes'!$F$6:$F$1005,MATCH(V364,'Material routes'!$A$6:$A$1005,0)),"MISSING ID")</x:f>
        <x:v>T4</x:v>
      </x:c>
      <x:c r="H364" s="4" t="str">
        <x:f>IFERROR(INDEX('Material routes'!$H$6:$H$1005,MATCH(V364,'Material routes'!$A$6:$A$1005,0)),"MISSING ID")</x:f>
        <x:v>Crafting component</x:v>
      </x:c>
      <x:c r="I364" s="4" t="str">
        <x:f>IFERROR(INDEX('Material routes'!$G$6:$G$1005,MATCH(V364,'Material routes'!$A$6:$A$1005,0)),"MISSING ID")</x:f>
        <x:v>Crafting components</x:v>
      </x:c>
      <x:c r="J364" s="4" t="str">
        <x:f>IFERROR(INDEX('Material routes'!$B$6:$B$1005,MATCH(U364,'Material routes'!$A$6:$A$1005,0)),"MISSING ID")</x:f>
        <x:v>design.review.proposal_wind_wheel</x:v>
      </x:c>
      <x:c r="K364" s="4" t="str">
        <x:f>IFERROR(INDEX('Crafting recipes'!$C$6:$C$1005,MATCH(J364,'Crafting recipes'!$A$6:$A$1005,0)),"MISSING ID")</x:f>
        <x:v>Material refinement</x:v>
      </x:c>
      <x:c r="L364" s="4" t="str">
        <x:f>IFERROR(INDEX('Material routes'!$K$6:$K$1005,MATCH(U364,'Material routes'!$A$6:$A$1005,0)),"MISSING ID")</x:f>
        <x:v>Proposal</x:v>
      </x:c>
      <x:c r="M364" s="4" t="str">
        <x:f>IFERROR(INDEX('Material routes'!$M$6:$M$1005,MATCH(U364,'Material routes'!$A$6:$A$1005,0)),"MISSING ID")</x:f>
        <x:v>Partial proposal</x:v>
      </x:c>
      <x:c r="N364" s="4" t="str">
        <x:f>IF(IFERROR(INDEX('Material routes'!$I$6:$I$1005,MATCH(U364,'Material routes'!$A$6:$A$1005,0)),"MISSING ID")=0,"",IFERROR(INDEX('Material routes'!$I$6:$I$1005,MATCH(U364,'Material routes'!$A$6:$A$1005,0)),"MISSING ID"))</x:f>
      </x:c>
      <x:c r="O364" s="4" t="str">
        <x:f>IFERROR(INDEX('Material routes'!$J$6:$J$1005,MATCH(U364,'Material routes'!$A$6:$A$1005,0)),"MISSING ID")</x:f>
        <x:v>Unspecified</x:v>
      </x:c>
      <x:c r="P364" s="4" t="str">
        <x:f>IF(IFERROR(INDEX('Material routes'!$I$6:$I$1005,MATCH(V364,'Material routes'!$A$6:$A$1005,0)),"MISSING ID")=0,"",IFERROR(INDEX('Material routes'!$I$6:$I$1005,MATCH(V364,'Material routes'!$A$6:$A$1005,0)),"MISSING ID"))</x:f>
      </x:c>
      <x:c r="Q364" s="4" t="str">
        <x:f>IFERROR(INDEX('Material routes'!$J$6:$J$1005,MATCH(V364,'Material routes'!$A$6:$A$1005,0)),"MISSING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routes'!$D$6:$D$1005,MATCH(U364,'Material routes'!$A$6:$A$1005,0)),"MISSING ID")</x:f>
        <x:v>author.metallurgy.steel_stock</x:v>
      </x:c>
      <x:c r="T364" s="4" t="str">
        <x:f>IFERROR(INDEX('Material routes'!$D$6:$D$1005,MATCH(V364,'Material routes'!$A$6:$A$1005,0)),"MISSING ID")</x:f>
        <x:v>proposal.wind.wheel</x:v>
      </x:c>
      <x:c r="U364" s="4" t="str">
        <x:v>design.review.proposal_wind_wheel.in.3</x:v>
      </x:c>
      <x:c r="V364" s="4" t="str">
        <x:v>design.review.proposal_wind_wheel.out</x:v>
      </x:c>
    </x:row>
    <x:row r="365" ht="115" customHeight="1">
      <x:c r="A365" s="4" t="str">
        <x:f>IFERROR(INDEX('Material routes'!$E$6:$E$1005,MATCH(U365,'Material routes'!$A$6:$A$1005,0)),"MISSING ID")</x:f>
        <x:v>Shell laminate</x:v>
      </x:c>
      <x:c r="B365" s="4" t="str">
        <x:f>IFERROR(INDEX('Material routes'!$F$6:$F$1005,MATCH(U365,'Material routes'!$A$6:$A$1005,0)),"MISSING ID")</x:f>
        <x:v>T2</x:v>
      </x:c>
      <x:c r="C365" s="4" t="str">
        <x:f>IFERROR(INDEX('Material routes'!$H$6:$H$1005,MATCH(U365,'Material routes'!$A$6:$A$1005,0)),"MISSING ID")</x:f>
        <x:v>Crafting component</x:v>
      </x:c>
      <x:c r="D365" s="4" t="str">
        <x:f>IFERROR(INDEX('Material routes'!$G$6:$G$1005,MATCH(U365,'Material routes'!$A$6:$A$1005,0)),"MISSING ID")</x:f>
        <x:v>Crafting components</x:v>
      </x:c>
      <x:c r="E365" s="4" t="str">
        <x:f>IFERROR(INDEX('Material routes'!$C$6:$C$1005,MATCH(U365,'Material routes'!$A$6:$A$1005,0)),"MISSING ID")</x:f>
        <x:v>Ingredient candidate</x:v>
      </x:c>
      <x:c r="F365" s="4" t="str">
        <x:f>IFERROR(INDEX('Material routes'!$E$6:$E$1005,MATCH(V365,'Material routes'!$A$6:$A$1005,0)),"MISSING ID")</x:f>
        <x:v>Dirtboard wheel assembly</x:v>
      </x:c>
      <x:c r="G365" s="4" t="str">
        <x:f>IFERROR(INDEX('Material routes'!$F$6:$F$1005,MATCH(V365,'Material routes'!$A$6:$A$1005,0)),"MISSING ID")</x:f>
        <x:v>T4</x:v>
      </x:c>
      <x:c r="H365" s="4" t="str">
        <x:f>IFERROR(INDEX('Material routes'!$H$6:$H$1005,MATCH(V365,'Material routes'!$A$6:$A$1005,0)),"MISSING ID")</x:f>
        <x:v>Crafting component</x:v>
      </x:c>
      <x:c r="I365" s="4" t="str">
        <x:f>IFERROR(INDEX('Material routes'!$G$6:$G$1005,MATCH(V365,'Material routes'!$A$6:$A$1005,0)),"MISSING ID")</x:f>
        <x:v>Crafting components</x:v>
      </x:c>
      <x:c r="J365" s="4" t="str">
        <x:f>IFERROR(INDEX('Material routes'!$B$6:$B$1005,MATCH(U365,'Material routes'!$A$6:$A$1005,0)),"MISSING ID")</x:f>
        <x:v>design.review.proposal_wind_wheel</x:v>
      </x:c>
      <x:c r="K365" s="4" t="str">
        <x:f>IFERROR(INDEX('Crafting recipes'!$C$6:$C$1005,MATCH(J365,'Crafting recipes'!$A$6:$A$1005,0)),"MISSING ID")</x:f>
        <x:v>Material refinement</x:v>
      </x:c>
      <x:c r="L365" s="4" t="str">
        <x:f>IFERROR(INDEX('Material routes'!$K$6:$K$1005,MATCH(U365,'Material routes'!$A$6:$A$1005,0)),"MISSING ID")</x:f>
        <x:v>Proposal</x:v>
      </x:c>
      <x:c r="M365" s="4" t="str">
        <x:f>IFERROR(INDEX('Material routes'!$M$6:$M$1005,MATCH(U365,'Material routes'!$A$6:$A$1005,0)),"MISSING ID")</x:f>
        <x:v>Partial proposal</x:v>
      </x:c>
      <x:c r="N365" s="4" t="str">
        <x:f>IF(IFERROR(INDEX('Material routes'!$I$6:$I$1005,MATCH(U365,'Material routes'!$A$6:$A$1005,0)),"MISSING ID")=0,"",IFERROR(INDEX('Material routes'!$I$6:$I$1005,MATCH(U365,'Material routes'!$A$6:$A$1005,0)),"MISSING ID"))</x:f>
      </x:c>
      <x:c r="O365" s="4" t="str">
        <x:f>IFERROR(INDEX('Material routes'!$J$6:$J$1005,MATCH(U365,'Material routes'!$A$6:$A$1005,0)),"MISSING ID")</x:f>
        <x:v>Unspecified</x:v>
      </x:c>
      <x:c r="P365" s="4" t="str">
        <x:f>IF(IFERROR(INDEX('Material routes'!$I$6:$I$1005,MATCH(V365,'Material routes'!$A$6:$A$1005,0)),"MISSING ID")=0,"",IFERROR(INDEX('Material routes'!$I$6:$I$1005,MATCH(V365,'Material routes'!$A$6:$A$1005,0)),"MISSING ID"))</x:f>
      </x:c>
      <x:c r="Q365" s="4" t="str">
        <x:f>IFERROR(INDEX('Material routes'!$J$6:$J$1005,MATCH(V365,'Material routes'!$A$6:$A$1005,0)),"MISSING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routes'!$D$6:$D$1005,MATCH(U365,'Material routes'!$A$6:$A$1005,0)),"MISSING ID")</x:f>
        <x:v>proposal.bio.laminate</x:v>
      </x:c>
      <x:c r="T365" s="4" t="str">
        <x:f>IFERROR(INDEX('Material routes'!$D$6:$D$1005,MATCH(V365,'Material routes'!$A$6:$A$1005,0)),"MISSING ID")</x:f>
        <x:v>proposal.wind.wheel</x:v>
      </x:c>
      <x:c r="U365" s="4" t="str">
        <x:v>design.review.proposal_wind_wheel.in.4</x:v>
      </x:c>
      <x:c r="V365" s="4" t="str">
        <x:v>design.review.proposal_wind_wheel.out</x:v>
      </x:c>
    </x:row>
    <x:row r="366" ht="115" customHeight="1">
      <x:c r="A366" s="4" t="str">
        <x:f>IFERROR(INDEX('Material routes'!$E$6:$E$1005,MATCH(U366,'Material routes'!$A$6:$A$1005,0)),"MISSING ID")</x:f>
        <x:v>Drawn steel tube stock</x:v>
      </x:c>
      <x:c r="B366" s="4" t="str">
        <x:f>IFERROR(INDEX('Material routes'!$F$6:$F$1005,MATCH(U366,'Material routes'!$A$6:$A$1005,0)),"MISSING ID")</x:f>
        <x:v>T3</x:v>
      </x:c>
      <x:c r="C366" s="4" t="str">
        <x:f>IFERROR(INDEX('Material routes'!$H$6:$H$1005,MATCH(U366,'Material routes'!$A$6:$A$1005,0)),"MISSING ID")</x:f>
        <x:v>Processed material</x:v>
      </x:c>
      <x:c r="D366" s="4" t="str">
        <x:f>IFERROR(INDEX('Material routes'!$G$6:$G$1005,MATCH(U366,'Material routes'!$A$6:$A$1005,0)),"MISSING ID")</x:f>
        <x:v>Resources</x:v>
      </x:c>
      <x:c r="E366" s="4" t="str">
        <x:f>IFERROR(INDEX('Material routes'!$C$6:$C$1005,MATCH(U366,'Material routes'!$A$6:$A$1005,0)),"MISSING ID")</x:f>
        <x:v>Ingredient candidate</x:v>
      </x:c>
      <x:c r="F366" s="4" t="str">
        <x:f>IFERROR(INDEX('Material routes'!$E$6:$E$1005,MATCH(V366,'Material routes'!$A$6:$A$1005,0)),"MISSING ID")</x:f>
        <x:v>Dirtboard axle / steering assembly</x:v>
      </x:c>
      <x:c r="G366" s="4" t="str">
        <x:f>IFERROR(INDEX('Material routes'!$F$6:$F$1005,MATCH(V366,'Material routes'!$A$6:$A$1005,0)),"MISSING ID")</x:f>
        <x:v>T4</x:v>
      </x:c>
      <x:c r="H366" s="4" t="str">
        <x:f>IFERROR(INDEX('Material routes'!$H$6:$H$1005,MATCH(V366,'Material routes'!$A$6:$A$1005,0)),"MISSING ID")</x:f>
        <x:v>Crafting component</x:v>
      </x:c>
      <x:c r="I366" s="4" t="str">
        <x:f>IFERROR(INDEX('Material routes'!$G$6:$G$1005,MATCH(V366,'Material routes'!$A$6:$A$1005,0)),"MISSING ID")</x:f>
        <x:v>Crafting components</x:v>
      </x:c>
      <x:c r="J366" s="4" t="str">
        <x:f>IFERROR(INDEX('Material routes'!$B$6:$B$1005,MATCH(U366,'Material routes'!$A$6:$A$1005,0)),"MISSING ID")</x:f>
        <x:v>design.review.proposal_wind_truck</x:v>
      </x:c>
      <x:c r="K366" s="4" t="str">
        <x:f>IFERROR(INDEX('Crafting recipes'!$C$6:$C$1005,MATCH(J366,'Crafting recipes'!$A$6:$A$1005,0)),"MISSING ID")</x:f>
        <x:v>Material refinement</x:v>
      </x:c>
      <x:c r="L366" s="4" t="str">
        <x:f>IFERROR(INDEX('Material routes'!$K$6:$K$1005,MATCH(U366,'Material routes'!$A$6:$A$1005,0)),"MISSING ID")</x:f>
        <x:v>Proposal</x:v>
      </x:c>
      <x:c r="M366" s="4" t="str">
        <x:f>IFERROR(INDEX('Material routes'!$M$6:$M$1005,MATCH(U366,'Material routes'!$A$6:$A$1005,0)),"MISSING ID")</x:f>
        <x:v>Partial proposal</x:v>
      </x:c>
      <x:c r="N366" s="4" t="str">
        <x:f>IF(IFERROR(INDEX('Material routes'!$I$6:$I$1005,MATCH(U366,'Material routes'!$A$6:$A$1005,0)),"MISSING ID")=0,"",IFERROR(INDEX('Material routes'!$I$6:$I$1005,MATCH(U366,'Material routes'!$A$6:$A$1005,0)),"MISSING ID"))</x:f>
      </x:c>
      <x:c r="O366" s="4" t="str">
        <x:f>IFERROR(INDEX('Material routes'!$J$6:$J$1005,MATCH(U366,'Material routes'!$A$6:$A$1005,0)),"MISSING ID")</x:f>
        <x:v>Unspecified</x:v>
      </x:c>
      <x:c r="P366" s="4" t="str">
        <x:f>IF(IFERROR(INDEX('Material routes'!$I$6:$I$1005,MATCH(V366,'Material routes'!$A$6:$A$1005,0)),"MISSING ID")=0,"",IFERROR(INDEX('Material routes'!$I$6:$I$1005,MATCH(V366,'Material routes'!$A$6:$A$1005,0)),"MISSING ID"))</x:f>
      </x:c>
      <x:c r="Q366" s="4" t="str">
        <x:f>IFERROR(INDEX('Material routes'!$J$6:$J$1005,MATCH(V366,'Material routes'!$A$6:$A$1005,0)),"MISSING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routes'!$D$6:$D$1005,MATCH(U366,'Material routes'!$A$6:$A$1005,0)),"MISSING ID")</x:f>
        <x:v>proposal.t3.precision_tube</x:v>
      </x:c>
      <x:c r="T366" s="4" t="str">
        <x:f>IFERROR(INDEX('Material routes'!$D$6:$D$1005,MATCH(V366,'Material routes'!$A$6:$A$1005,0)),"MISSING ID")</x:f>
        <x:v>proposal.wind.truck</x:v>
      </x:c>
      <x:c r="U366" s="4" t="str">
        <x:v>design.review.proposal_wind_truck.in.1</x:v>
      </x:c>
      <x:c r="V366" s="4" t="str">
        <x:v>design.review.proposal_wind_truck.out</x:v>
      </x:c>
    </x:row>
    <x:row r="367" ht="115" customHeight="1">
      <x:c r="A367" s="4" t="str">
        <x:f>IFERROR(INDEX('Material routes'!$E$6:$E$1005,MATCH(U367,'Material routes'!$A$6:$A$1005,0)),"MISSING ID")</x:f>
        <x:v>Spring-grade steel stock</x:v>
      </x:c>
      <x:c r="B367" s="4" t="str">
        <x:f>IFERROR(INDEX('Material routes'!$F$6:$F$1005,MATCH(U367,'Material routes'!$A$6:$A$1005,0)),"MISSING ID")</x:f>
        <x:v>T3</x:v>
      </x:c>
      <x:c r="C367" s="4" t="str">
        <x:f>IFERROR(INDEX('Material routes'!$H$6:$H$1005,MATCH(U367,'Material routes'!$A$6:$A$1005,0)),"MISSING ID")</x:f>
        <x:v>Processed material</x:v>
      </x:c>
      <x:c r="D367" s="4" t="str">
        <x:f>IFERROR(INDEX('Material routes'!$G$6:$G$1005,MATCH(U367,'Material routes'!$A$6:$A$1005,0)),"MISSING ID")</x:f>
        <x:v>Resources</x:v>
      </x:c>
      <x:c r="E367" s="4" t="str">
        <x:f>IFERROR(INDEX('Material routes'!$C$6:$C$1005,MATCH(U367,'Material routes'!$A$6:$A$1005,0)),"MISSING ID")</x:f>
        <x:v>Ingredient candidate</x:v>
      </x:c>
      <x:c r="F367" s="4" t="str">
        <x:f>IFERROR(INDEX('Material routes'!$E$6:$E$1005,MATCH(V367,'Material routes'!$A$6:$A$1005,0)),"MISSING ID")</x:f>
        <x:v>Dirtboard axle / steering assembly</x:v>
      </x:c>
      <x:c r="G367" s="4" t="str">
        <x:f>IFERROR(INDEX('Material routes'!$F$6:$F$1005,MATCH(V367,'Material routes'!$A$6:$A$1005,0)),"MISSING ID")</x:f>
        <x:v>T4</x:v>
      </x:c>
      <x:c r="H367" s="4" t="str">
        <x:f>IFERROR(INDEX('Material routes'!$H$6:$H$1005,MATCH(V367,'Material routes'!$A$6:$A$1005,0)),"MISSING ID")</x:f>
        <x:v>Crafting component</x:v>
      </x:c>
      <x:c r="I367" s="4" t="str">
        <x:f>IFERROR(INDEX('Material routes'!$G$6:$G$1005,MATCH(V367,'Material routes'!$A$6:$A$1005,0)),"MISSING ID")</x:f>
        <x:v>Crafting components</x:v>
      </x:c>
      <x:c r="J367" s="4" t="str">
        <x:f>IFERROR(INDEX('Material routes'!$B$6:$B$1005,MATCH(U367,'Material routes'!$A$6:$A$1005,0)),"MISSING ID")</x:f>
        <x:v>design.review.proposal_wind_truck</x:v>
      </x:c>
      <x:c r="K367" s="4" t="str">
        <x:f>IFERROR(INDEX('Crafting recipes'!$C$6:$C$1005,MATCH(J367,'Crafting recipes'!$A$6:$A$1005,0)),"MISSING ID")</x:f>
        <x:v>Material refinement</x:v>
      </x:c>
      <x:c r="L367" s="4" t="str">
        <x:f>IFERROR(INDEX('Material routes'!$K$6:$K$1005,MATCH(U367,'Material routes'!$A$6:$A$1005,0)),"MISSING ID")</x:f>
        <x:v>Proposal</x:v>
      </x:c>
      <x:c r="M367" s="4" t="str">
        <x:f>IFERROR(INDEX('Material routes'!$M$6:$M$1005,MATCH(U367,'Material routes'!$A$6:$A$1005,0)),"MISSING ID")</x:f>
        <x:v>Partial proposal</x:v>
      </x:c>
      <x:c r="N367" s="4" t="str">
        <x:f>IF(IFERROR(INDEX('Material routes'!$I$6:$I$1005,MATCH(U367,'Material routes'!$A$6:$A$1005,0)),"MISSING ID")=0,"",IFERROR(INDEX('Material routes'!$I$6:$I$1005,MATCH(U367,'Material routes'!$A$6:$A$1005,0)),"MISSING ID"))</x:f>
      </x:c>
      <x:c r="O367" s="4" t="str">
        <x:f>IFERROR(INDEX('Material routes'!$J$6:$J$1005,MATCH(U367,'Material routes'!$A$6:$A$1005,0)),"MISSING ID")</x:f>
        <x:v>Unspecified</x:v>
      </x:c>
      <x:c r="P367" s="4" t="str">
        <x:f>IF(IFERROR(INDEX('Material routes'!$I$6:$I$1005,MATCH(V367,'Material routes'!$A$6:$A$1005,0)),"MISSING ID")=0,"",IFERROR(INDEX('Material routes'!$I$6:$I$1005,MATCH(V367,'Material routes'!$A$6:$A$1005,0)),"MISSING ID"))</x:f>
      </x:c>
      <x:c r="Q367" s="4" t="str">
        <x:f>IFERROR(INDEX('Material routes'!$J$6:$J$1005,MATCH(V367,'Material routes'!$A$6:$A$1005,0)),"MISSING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routes'!$D$6:$D$1005,MATCH(U367,'Material routes'!$A$6:$A$1005,0)),"MISSING ID")</x:f>
        <x:v>proposal.branch.spring_steel</x:v>
      </x:c>
      <x:c r="T367" s="4" t="str">
        <x:f>IFERROR(INDEX('Material routes'!$D$6:$D$1005,MATCH(V367,'Material routes'!$A$6:$A$1005,0)),"MISSING ID")</x:f>
        <x:v>proposal.wind.truck</x:v>
      </x:c>
      <x:c r="U367" s="4" t="str">
        <x:v>design.review.proposal_wind_truck.in.2</x:v>
      </x:c>
      <x:c r="V367" s="4" t="str">
        <x:v>design.review.proposal_wind_truck.out</x:v>
      </x:c>
    </x:row>
    <x:row r="368" ht="115" customHeight="1">
      <x:c r="A368" s="4" t="str">
        <x:f>IFERROR(INDEX('Material routes'!$E$6:$E$1005,MATCH(U368,'Material routes'!$A$6:$A$1005,0)),"MISSING ID")</x:f>
        <x:v>Lapped bronze bearing blanks</x:v>
      </x:c>
      <x:c r="B368" s="4" t="str">
        <x:f>IFERROR(INDEX('Material routes'!$F$6:$F$1005,MATCH(U368,'Material routes'!$A$6:$A$1005,0)),"MISSING ID")</x:f>
        <x:v>T3</x:v>
      </x:c>
      <x:c r="C368" s="4" t="str">
        <x:f>IFERROR(INDEX('Material routes'!$H$6:$H$1005,MATCH(U368,'Material routes'!$A$6:$A$1005,0)),"MISSING ID")</x:f>
        <x:v>Crafting component</x:v>
      </x:c>
      <x:c r="D368" s="4" t="str">
        <x:f>IFERROR(INDEX('Material routes'!$G$6:$G$1005,MATCH(U368,'Material routes'!$A$6:$A$1005,0)),"MISSING ID")</x:f>
        <x:v>Crafting components</x:v>
      </x:c>
      <x:c r="E368" s="4" t="str">
        <x:f>IFERROR(INDEX('Material routes'!$C$6:$C$1005,MATCH(U368,'Material routes'!$A$6:$A$1005,0)),"MISSING ID")</x:f>
        <x:v>Ingredient candidate</x:v>
      </x:c>
      <x:c r="F368" s="4" t="str">
        <x:f>IFERROR(INDEX('Material routes'!$E$6:$E$1005,MATCH(V368,'Material routes'!$A$6:$A$1005,0)),"MISSING ID")</x:f>
        <x:v>Dirtboard axle / steering assembly</x:v>
      </x:c>
      <x:c r="G368" s="4" t="str">
        <x:f>IFERROR(INDEX('Material routes'!$F$6:$F$1005,MATCH(V368,'Material routes'!$A$6:$A$1005,0)),"MISSING ID")</x:f>
        <x:v>T4</x:v>
      </x:c>
      <x:c r="H368" s="4" t="str">
        <x:f>IFERROR(INDEX('Material routes'!$H$6:$H$1005,MATCH(V368,'Material routes'!$A$6:$A$1005,0)),"MISSING ID")</x:f>
        <x:v>Crafting component</x:v>
      </x:c>
      <x:c r="I368" s="4" t="str">
        <x:f>IFERROR(INDEX('Material routes'!$G$6:$G$1005,MATCH(V368,'Material routes'!$A$6:$A$1005,0)),"MISSING ID")</x:f>
        <x:v>Crafting components</x:v>
      </x:c>
      <x:c r="J368" s="4" t="str">
        <x:f>IFERROR(INDEX('Material routes'!$B$6:$B$1005,MATCH(U368,'Material routes'!$A$6:$A$1005,0)),"MISSING ID")</x:f>
        <x:v>design.review.proposal_wind_truck</x:v>
      </x:c>
      <x:c r="K368" s="4" t="str">
        <x:f>IFERROR(INDEX('Crafting recipes'!$C$6:$C$1005,MATCH(J368,'Crafting recipes'!$A$6:$A$1005,0)),"MISSING ID")</x:f>
        <x:v>Material refinement</x:v>
      </x:c>
      <x:c r="L368" s="4" t="str">
        <x:f>IFERROR(INDEX('Material routes'!$K$6:$K$1005,MATCH(U368,'Material routes'!$A$6:$A$1005,0)),"MISSING ID")</x:f>
        <x:v>Proposal</x:v>
      </x:c>
      <x:c r="M368" s="4" t="str">
        <x:f>IFERROR(INDEX('Material routes'!$M$6:$M$1005,MATCH(U368,'Material routes'!$A$6:$A$1005,0)),"MISSING ID")</x:f>
        <x:v>Partial proposal</x:v>
      </x:c>
      <x:c r="N368" s="4" t="str">
        <x:f>IF(IFERROR(INDEX('Material routes'!$I$6:$I$1005,MATCH(U368,'Material routes'!$A$6:$A$1005,0)),"MISSING ID")=0,"",IFERROR(INDEX('Material routes'!$I$6:$I$1005,MATCH(U368,'Material routes'!$A$6:$A$1005,0)),"MISSING ID"))</x:f>
      </x:c>
      <x:c r="O368" s="4" t="str">
        <x:f>IFERROR(INDEX('Material routes'!$J$6:$J$1005,MATCH(U368,'Material routes'!$A$6:$A$1005,0)),"MISSING ID")</x:f>
        <x:v>Unspecified</x:v>
      </x:c>
      <x:c r="P368" s="4" t="str">
        <x:f>IF(IFERROR(INDEX('Material routes'!$I$6:$I$1005,MATCH(V368,'Material routes'!$A$6:$A$1005,0)),"MISSING ID")=0,"",IFERROR(INDEX('Material routes'!$I$6:$I$1005,MATCH(V368,'Material routes'!$A$6:$A$1005,0)),"MISSING ID"))</x:f>
      </x:c>
      <x:c r="Q368" s="4" t="str">
        <x:f>IFERROR(INDEX('Material routes'!$J$6:$J$1005,MATCH(V368,'Material routes'!$A$6:$A$1005,0)),"MISSING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routes'!$D$6:$D$1005,MATCH(U368,'Material routes'!$A$6:$A$1005,0)),"MISSING ID")</x:f>
        <x:v>proposal.t3.bearing_blank</x:v>
      </x:c>
      <x:c r="T368" s="4" t="str">
        <x:f>IFERROR(INDEX('Material routes'!$D$6:$D$1005,MATCH(V368,'Material routes'!$A$6:$A$1005,0)),"MISSING ID")</x:f>
        <x:v>proposal.wind.truck</x:v>
      </x:c>
      <x:c r="U368" s="4" t="str">
        <x:v>design.review.proposal_wind_truck.in.3</x:v>
      </x:c>
      <x:c r="V368" s="4" t="str">
        <x:v>design.review.proposal_wind_truck.out</x:v>
      </x:c>
    </x:row>
    <x:row r="369" ht="115" customHeight="1">
      <x:c r="A369" s="4" t="str">
        <x:f>IFERROR(INDEX('Material routes'!$E$6:$E$1005,MATCH(U369,'Material routes'!$A$6:$A$1005,0)),"MISSING ID")</x:f>
        <x:v>Steel stock</x:v>
      </x:c>
      <x:c r="B369" s="4" t="str">
        <x:f>IFERROR(INDEX('Material routes'!$F$6:$F$1005,MATCH(U369,'Material routes'!$A$6:$A$1005,0)),"MISSING ID")</x:f>
        <x:v>T2</x:v>
      </x:c>
      <x:c r="C369" s="4" t="str">
        <x:f>IFERROR(INDEX('Material routes'!$H$6:$H$1005,MATCH(U369,'Material routes'!$A$6:$A$1005,0)),"MISSING ID")</x:f>
        <x:v>Processed material</x:v>
      </x:c>
      <x:c r="D369" s="4" t="str">
        <x:f>IFERROR(INDEX('Material routes'!$G$6:$G$1005,MATCH(U369,'Material routes'!$A$6:$A$1005,0)),"MISSING ID")</x:f>
        <x:v>Resources</x:v>
      </x:c>
      <x:c r="E369" s="4" t="str">
        <x:f>IFERROR(INDEX('Material routes'!$C$6:$C$1005,MATCH(U369,'Material routes'!$A$6:$A$1005,0)),"MISSING ID")</x:f>
        <x:v>Ingredient candidate</x:v>
      </x:c>
      <x:c r="F369" s="4" t="str">
        <x:f>IFERROR(INDEX('Material routes'!$E$6:$E$1005,MATCH(V369,'Material routes'!$A$6:$A$1005,0)),"MISSING ID")</x:f>
        <x:v>Dirtboard axle / steering assembly</x:v>
      </x:c>
      <x:c r="G369" s="4" t="str">
        <x:f>IFERROR(INDEX('Material routes'!$F$6:$F$1005,MATCH(V369,'Material routes'!$A$6:$A$1005,0)),"MISSING ID")</x:f>
        <x:v>T4</x:v>
      </x:c>
      <x:c r="H369" s="4" t="str">
        <x:f>IFERROR(INDEX('Material routes'!$H$6:$H$1005,MATCH(V369,'Material routes'!$A$6:$A$1005,0)),"MISSING ID")</x:f>
        <x:v>Crafting component</x:v>
      </x:c>
      <x:c r="I369" s="4" t="str">
        <x:f>IFERROR(INDEX('Material routes'!$G$6:$G$1005,MATCH(V369,'Material routes'!$A$6:$A$1005,0)),"MISSING ID")</x:f>
        <x:v>Crafting components</x:v>
      </x:c>
      <x:c r="J369" s="4" t="str">
        <x:f>IFERROR(INDEX('Material routes'!$B$6:$B$1005,MATCH(U369,'Material routes'!$A$6:$A$1005,0)),"MISSING ID")</x:f>
        <x:v>design.review.proposal_wind_truck</x:v>
      </x:c>
      <x:c r="K369" s="4" t="str">
        <x:f>IFERROR(INDEX('Crafting recipes'!$C$6:$C$1005,MATCH(J369,'Crafting recipes'!$A$6:$A$1005,0)),"MISSING ID")</x:f>
        <x:v>Material refinement</x:v>
      </x:c>
      <x:c r="L369" s="4" t="str">
        <x:f>IFERROR(INDEX('Material routes'!$K$6:$K$1005,MATCH(U369,'Material routes'!$A$6:$A$1005,0)),"MISSING ID")</x:f>
        <x:v>Proposal</x:v>
      </x:c>
      <x:c r="M369" s="4" t="str">
        <x:f>IFERROR(INDEX('Material routes'!$M$6:$M$1005,MATCH(U369,'Material routes'!$A$6:$A$1005,0)),"MISSING ID")</x:f>
        <x:v>Partial proposal</x:v>
      </x:c>
      <x:c r="N369" s="4" t="str">
        <x:f>IF(IFERROR(INDEX('Material routes'!$I$6:$I$1005,MATCH(U369,'Material routes'!$A$6:$A$1005,0)),"MISSING ID")=0,"",IFERROR(INDEX('Material routes'!$I$6:$I$1005,MATCH(U369,'Material routes'!$A$6:$A$1005,0)),"MISSING ID"))</x:f>
      </x:c>
      <x:c r="O369" s="4" t="str">
        <x:f>IFERROR(INDEX('Material routes'!$J$6:$J$1005,MATCH(U369,'Material routes'!$A$6:$A$1005,0)),"MISSING ID")</x:f>
        <x:v>Unspecified</x:v>
      </x:c>
      <x:c r="P369" s="4" t="str">
        <x:f>IF(IFERROR(INDEX('Material routes'!$I$6:$I$1005,MATCH(V369,'Material routes'!$A$6:$A$1005,0)),"MISSING ID")=0,"",IFERROR(INDEX('Material routes'!$I$6:$I$1005,MATCH(V369,'Material routes'!$A$6:$A$1005,0)),"MISSING ID"))</x:f>
      </x:c>
      <x:c r="Q369" s="4" t="str">
        <x:f>IFERROR(INDEX('Material routes'!$J$6:$J$1005,MATCH(V369,'Material routes'!$A$6:$A$1005,0)),"MISSING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routes'!$D$6:$D$1005,MATCH(U369,'Material routes'!$A$6:$A$1005,0)),"MISSING ID")</x:f>
        <x:v>author.metallurgy.steel_stock</x:v>
      </x:c>
      <x:c r="T369" s="4" t="str">
        <x:f>IFERROR(INDEX('Material routes'!$D$6:$D$1005,MATCH(V369,'Material routes'!$A$6:$A$1005,0)),"MISSING ID")</x:f>
        <x:v>proposal.wind.truck</x:v>
      </x:c>
      <x:c r="U369" s="4" t="str">
        <x:v>design.review.proposal_wind_truck.in.4</x:v>
      </x:c>
      <x:c r="V369" s="4" t="str">
        <x:v>design.review.proposal_wind_truck.out</x:v>
      </x:c>
    </x:row>
    <x:row r="370" ht="115" customHeight="1">
      <x:c r="A370" s="4" t="str">
        <x:f>IFERROR(INDEX('Material routes'!$E$6:$E$1005,MATCH(U370,'Material routes'!$A$6:$A$1005,0)),"MISSING ID")</x:f>
        <x:v>Steel stock</x:v>
      </x:c>
      <x:c r="B370" s="4" t="str">
        <x:f>IFERROR(INDEX('Material routes'!$F$6:$F$1005,MATCH(U370,'Material routes'!$A$6:$A$1005,0)),"MISSING ID")</x:f>
        <x:v>T2</x:v>
      </x:c>
      <x:c r="C370" s="4" t="str">
        <x:f>IFERROR(INDEX('Material routes'!$H$6:$H$1005,MATCH(U370,'Material routes'!$A$6:$A$1005,0)),"MISSING ID")</x:f>
        <x:v>Processed material</x:v>
      </x:c>
      <x:c r="D370" s="4" t="str">
        <x:f>IFERROR(INDEX('Material routes'!$G$6:$G$1005,MATCH(U370,'Material routes'!$A$6:$A$1005,0)),"MISSING ID")</x:f>
        <x:v>Resources</x:v>
      </x:c>
      <x:c r="E370" s="4" t="str">
        <x:f>IFERROR(INDEX('Material routes'!$C$6:$C$1005,MATCH(U370,'Material routes'!$A$6:$A$1005,0)),"MISSING ID")</x:f>
        <x:v>Ingredient candidate</x:v>
      </x:c>
      <x:c r="F370" s="4" t="str">
        <x:f>IFERROR(INDEX('Material routes'!$E$6:$E$1005,MATCH(V370,'Material routes'!$A$6:$A$1005,0)),"MISSING ID")</x:f>
        <x:v>Legger lashing-anchor set</x:v>
      </x:c>
      <x:c r="G370" s="4" t="str">
        <x:f>IFERROR(INDEX('Material routes'!$F$6:$F$1005,MATCH(V370,'Material routes'!$A$6:$A$1005,0)),"MISSING ID")</x:f>
        <x:v>T3</x:v>
      </x:c>
      <x:c r="H370" s="4" t="str">
        <x:f>IFERROR(INDEX('Material routes'!$H$6:$H$1005,MATCH(V370,'Material routes'!$A$6:$A$1005,0)),"MISSING ID")</x:f>
        <x:v>Crafting component</x:v>
      </x:c>
      <x:c r="I370" s="4" t="str">
        <x:f>IFERROR(INDEX('Material routes'!$G$6:$G$1005,MATCH(V370,'Material routes'!$A$6:$A$1005,0)),"MISSING ID")</x:f>
        <x:v>Crafting components</x:v>
      </x:c>
      <x:c r="J370" s="4" t="str">
        <x:f>IFERROR(INDEX('Material routes'!$B$6:$B$1005,MATCH(U370,'Material routes'!$A$6:$A$1005,0)),"MISSING ID")</x:f>
        <x:v>design.review.proposal_legger_anchors</x:v>
      </x:c>
      <x:c r="K370" s="4" t="str">
        <x:f>IFERROR(INDEX('Crafting recipes'!$C$6:$C$1005,MATCH(J370,'Crafting recipes'!$A$6:$A$1005,0)),"MISSING ID")</x:f>
        <x:v>Material refinement</x:v>
      </x:c>
      <x:c r="L370" s="4" t="str">
        <x:f>IFERROR(INDEX('Material routes'!$K$6:$K$1005,MATCH(U370,'Material routes'!$A$6:$A$1005,0)),"MISSING ID")</x:f>
        <x:v>Proposal</x:v>
      </x:c>
      <x:c r="M370" s="4" t="str">
        <x:f>IFERROR(INDEX('Material routes'!$M$6:$M$1005,MATCH(U370,'Material routes'!$A$6:$A$1005,0)),"MISSING ID")</x:f>
        <x:v>Partial proposal</x:v>
      </x:c>
      <x:c r="N370" s="4" t="str">
        <x:f>IF(IFERROR(INDEX('Material routes'!$I$6:$I$1005,MATCH(U370,'Material routes'!$A$6:$A$1005,0)),"MISSING ID")=0,"",IFERROR(INDEX('Material routes'!$I$6:$I$1005,MATCH(U370,'Material routes'!$A$6:$A$1005,0)),"MISSING ID"))</x:f>
      </x:c>
      <x:c r="O370" s="4" t="str">
        <x:f>IFERROR(INDEX('Material routes'!$J$6:$J$1005,MATCH(U370,'Material routes'!$A$6:$A$1005,0)),"MISSING ID")</x:f>
        <x:v>Unspecified</x:v>
      </x:c>
      <x:c r="P370" s="4" t="str">
        <x:f>IF(IFERROR(INDEX('Material routes'!$I$6:$I$1005,MATCH(V370,'Material routes'!$A$6:$A$1005,0)),"MISSING ID")=0,"",IFERROR(INDEX('Material routes'!$I$6:$I$1005,MATCH(V370,'Material routes'!$A$6:$A$1005,0)),"MISSING ID"))</x:f>
      </x:c>
      <x:c r="Q370" s="4" t="str">
        <x:f>IFERROR(INDEX('Material routes'!$J$6:$J$1005,MATCH(V370,'Material routes'!$A$6:$A$1005,0)),"MISSING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routes'!$D$6:$D$1005,MATCH(U370,'Material routes'!$A$6:$A$1005,0)),"MISSING ID")</x:f>
        <x:v>author.metallurgy.steel_stock</x:v>
      </x:c>
      <x:c r="T370" s="4" t="str">
        <x:f>IFERROR(INDEX('Material routes'!$D$6:$D$1005,MATCH(V370,'Material routes'!$A$6:$A$1005,0)),"MISSING ID")</x:f>
        <x:v>proposal.legger.anchors</x:v>
      </x:c>
      <x:c r="U370" s="4" t="str">
        <x:v>design.review.proposal_legger_anchors.in.1</x:v>
      </x:c>
      <x:c r="V370" s="4" t="str">
        <x:v>design.review.proposal_legger_anchors.out</x:v>
      </x:c>
    </x:row>
    <x:row r="371" ht="115" customHeight="1">
      <x:c r="A371" s="4" t="str">
        <x:f>IFERROR(INDEX('Material routes'!$E$6:$E$1005,MATCH(U371,'Material routes'!$A$6:$A$1005,0)),"MISSING ID")</x:f>
        <x:v>Steel stock</x:v>
      </x:c>
      <x:c r="B371" s="4" t="str">
        <x:f>IFERROR(INDEX('Material routes'!$F$6:$F$1005,MATCH(U371,'Material routes'!$A$6:$A$1005,0)),"MISSING ID")</x:f>
        <x:v>T2</x:v>
      </x:c>
      <x:c r="C371" s="4" t="str">
        <x:f>IFERROR(INDEX('Material routes'!$H$6:$H$1005,MATCH(U371,'Material routes'!$A$6:$A$1005,0)),"MISSING ID")</x:f>
        <x:v>Processed material</x:v>
      </x:c>
      <x:c r="D371" s="4" t="str">
        <x:f>IFERROR(INDEX('Material routes'!$G$6:$G$1005,MATCH(U371,'Material routes'!$A$6:$A$1005,0)),"MISSING ID")</x:f>
        <x:v>Resources</x:v>
      </x:c>
      <x:c r="E371" s="4" t="str">
        <x:f>IFERROR(INDEX('Material routes'!$C$6:$C$1005,MATCH(U371,'Material routes'!$A$6:$A$1005,0)),"MISSING ID")</x:f>
        <x:v>Ingredient candidate</x:v>
      </x:c>
      <x:c r="F371" s="4" t="str">
        <x:f>IFERROR(INDEX('Material routes'!$E$6:$E$1005,MATCH(V371,'Material routes'!$A$6:$A$1005,0)),"MISSING ID")</x:f>
        <x:v>Legger attachment rail</x:v>
      </x:c>
      <x:c r="G371" s="4" t="str">
        <x:f>IFERROR(INDEX('Material routes'!$F$6:$F$1005,MATCH(V371,'Material routes'!$A$6:$A$1005,0)),"MISSING ID")</x:f>
        <x:v>T3</x:v>
      </x:c>
      <x:c r="H371" s="4" t="str">
        <x:f>IFERROR(INDEX('Material routes'!$H$6:$H$1005,MATCH(V371,'Material routes'!$A$6:$A$1005,0)),"MISSING ID")</x:f>
        <x:v>Crafting component</x:v>
      </x:c>
      <x:c r="I371" s="4" t="str">
        <x:f>IFERROR(INDEX('Material routes'!$G$6:$G$1005,MATCH(V371,'Material routes'!$A$6:$A$1005,0)),"MISSING ID")</x:f>
        <x:v>Crafting components</x:v>
      </x:c>
      <x:c r="J371" s="4" t="str">
        <x:f>IFERROR(INDEX('Material routes'!$B$6:$B$1005,MATCH(U371,'Material routes'!$A$6:$A$1005,0)),"MISSING ID")</x:f>
        <x:v>design.review.proposal_legger_mount_rail</x:v>
      </x:c>
      <x:c r="K371" s="4" t="str">
        <x:f>IFERROR(INDEX('Crafting recipes'!$C$6:$C$1005,MATCH(J371,'Crafting recipes'!$A$6:$A$1005,0)),"MISSING ID")</x:f>
        <x:v>Material refinement</x:v>
      </x:c>
      <x:c r="L371" s="4" t="str">
        <x:f>IFERROR(INDEX('Material routes'!$K$6:$K$1005,MATCH(U371,'Material routes'!$A$6:$A$1005,0)),"MISSING ID")</x:f>
        <x:v>Proposal</x:v>
      </x:c>
      <x:c r="M371" s="4" t="str">
        <x:f>IFERROR(INDEX('Material routes'!$M$6:$M$1005,MATCH(U371,'Material routes'!$A$6:$A$1005,0)),"MISSING ID")</x:f>
        <x:v>Partial proposal</x:v>
      </x:c>
      <x:c r="N371" s="4" t="str">
        <x:f>IF(IFERROR(INDEX('Material routes'!$I$6:$I$1005,MATCH(U371,'Material routes'!$A$6:$A$1005,0)),"MISSING ID")=0,"",IFERROR(INDEX('Material routes'!$I$6:$I$1005,MATCH(U371,'Material routes'!$A$6:$A$1005,0)),"MISSING ID"))</x:f>
      </x:c>
      <x:c r="O371" s="4" t="str">
        <x:f>IFERROR(INDEX('Material routes'!$J$6:$J$1005,MATCH(U371,'Material routes'!$A$6:$A$1005,0)),"MISSING ID")</x:f>
        <x:v>Unspecified</x:v>
      </x:c>
      <x:c r="P371" s="4" t="str">
        <x:f>IF(IFERROR(INDEX('Material routes'!$I$6:$I$1005,MATCH(V371,'Material routes'!$A$6:$A$1005,0)),"MISSING ID")=0,"",IFERROR(INDEX('Material routes'!$I$6:$I$1005,MATCH(V371,'Material routes'!$A$6:$A$1005,0)),"MISSING ID"))</x:f>
      </x:c>
      <x:c r="Q371" s="4" t="str">
        <x:f>IFERROR(INDEX('Material routes'!$J$6:$J$1005,MATCH(V371,'Material routes'!$A$6:$A$1005,0)),"MISSING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routes'!$D$6:$D$1005,MATCH(U371,'Material routes'!$A$6:$A$1005,0)),"MISSING ID")</x:f>
        <x:v>author.metallurgy.steel_stock</x:v>
      </x:c>
      <x:c r="T371" s="4" t="str">
        <x:f>IFERROR(INDEX('Material routes'!$D$6:$D$1005,MATCH(V371,'Material routes'!$A$6:$A$1005,0)),"MISSING ID")</x:f>
        <x:v>proposal.legger.mount_rail</x:v>
      </x:c>
      <x:c r="U371" s="4" t="str">
        <x:v>design.review.proposal_legger_mount_rail.in.1</x:v>
      </x:c>
      <x:c r="V371" s="4" t="str">
        <x:v>design.review.proposal_legger_mount_rail.out</x:v>
      </x:c>
    </x:row>
    <x:row r="372" ht="115" customHeight="1">
      <x:c r="A372" s="4" t="str">
        <x:f>IFERROR(INDEX('Material routes'!$E$6:$E$1005,MATCH(U372,'Material routes'!$A$6:$A$1005,0)),"MISSING ID")</x:f>
        <x:v>Steel stock</x:v>
      </x:c>
      <x:c r="B372" s="4" t="str">
        <x:f>IFERROR(INDEX('Material routes'!$F$6:$F$1005,MATCH(U372,'Material routes'!$A$6:$A$1005,0)),"MISSING ID")</x:f>
        <x:v>T2</x:v>
      </x:c>
      <x:c r="C372" s="4" t="str">
        <x:f>IFERROR(INDEX('Material routes'!$H$6:$H$1005,MATCH(U372,'Material routes'!$A$6:$A$1005,0)),"MISSING ID")</x:f>
        <x:v>Processed material</x:v>
      </x:c>
      <x:c r="D372" s="4" t="str">
        <x:f>IFERROR(INDEX('Material routes'!$G$6:$G$1005,MATCH(U372,'Material routes'!$A$6:$A$1005,0)),"MISSING ID")</x:f>
        <x:v>Resources</x:v>
      </x:c>
      <x:c r="E372" s="4" t="str">
        <x:f>IFERROR(INDEX('Material routes'!$C$6:$C$1005,MATCH(U372,'Material routes'!$A$6:$A$1005,0)),"MISSING ID")</x:f>
        <x:v>Ingredient candidate</x:v>
      </x:c>
      <x:c r="F372" s="4" t="str">
        <x:f>IFERROR(INDEX('Material routes'!$E$6:$E$1005,MATCH(V372,'Material routes'!$A$6:$A$1005,0)),"MISSING ID")</x:f>
        <x:v>Legger long-load clamp</x:v>
      </x:c>
      <x:c r="G372" s="4" t="str">
        <x:f>IFERROR(INDEX('Material routes'!$F$6:$F$1005,MATCH(V372,'Material routes'!$A$6:$A$1005,0)),"MISSING ID")</x:f>
        <x:v>T3</x:v>
      </x:c>
      <x:c r="H372" s="4" t="str">
        <x:f>IFERROR(INDEX('Material routes'!$H$6:$H$1005,MATCH(V372,'Material routes'!$A$6:$A$1005,0)),"MISSING ID")</x:f>
        <x:v>Crafting component</x:v>
      </x:c>
      <x:c r="I372" s="4" t="str">
        <x:f>IFERROR(INDEX('Material routes'!$G$6:$G$1005,MATCH(V372,'Material routes'!$A$6:$A$1005,0)),"MISSING ID")</x:f>
        <x:v>Crafting components</x:v>
      </x:c>
      <x:c r="J372" s="4" t="str">
        <x:f>IFERROR(INDEX('Material routes'!$B$6:$B$1005,MATCH(U372,'Material routes'!$A$6:$A$1005,0)),"MISSING ID")</x:f>
        <x:v>design.review.proposal_legger_long_load_clamp</x:v>
      </x:c>
      <x:c r="K372" s="4" t="str">
        <x:f>IFERROR(INDEX('Crafting recipes'!$C$6:$C$1005,MATCH(J372,'Crafting recipes'!$A$6:$A$1005,0)),"MISSING ID")</x:f>
        <x:v>Material refinement</x:v>
      </x:c>
      <x:c r="L372" s="4" t="str">
        <x:f>IFERROR(INDEX('Material routes'!$K$6:$K$1005,MATCH(U372,'Material routes'!$A$6:$A$1005,0)),"MISSING ID")</x:f>
        <x:v>Proposal</x:v>
      </x:c>
      <x:c r="M372" s="4" t="str">
        <x:f>IFERROR(INDEX('Material routes'!$M$6:$M$1005,MATCH(U372,'Material routes'!$A$6:$A$1005,0)),"MISSING ID")</x:f>
        <x:v>Partial proposal</x:v>
      </x:c>
      <x:c r="N372" s="4" t="str">
        <x:f>IF(IFERROR(INDEX('Material routes'!$I$6:$I$1005,MATCH(U372,'Material routes'!$A$6:$A$1005,0)),"MISSING ID")=0,"",IFERROR(INDEX('Material routes'!$I$6:$I$1005,MATCH(U372,'Material routes'!$A$6:$A$1005,0)),"MISSING ID"))</x:f>
      </x:c>
      <x:c r="O372" s="4" t="str">
        <x:f>IFERROR(INDEX('Material routes'!$J$6:$J$1005,MATCH(U372,'Material routes'!$A$6:$A$1005,0)),"MISSING ID")</x:f>
        <x:v>Unspecified</x:v>
      </x:c>
      <x:c r="P372" s="4" t="str">
        <x:f>IF(IFERROR(INDEX('Material routes'!$I$6:$I$1005,MATCH(V372,'Material routes'!$A$6:$A$1005,0)),"MISSING ID")=0,"",IFERROR(INDEX('Material routes'!$I$6:$I$1005,MATCH(V372,'Material routes'!$A$6:$A$1005,0)),"MISSING ID"))</x:f>
      </x:c>
      <x:c r="Q372" s="4" t="str">
        <x:f>IFERROR(INDEX('Material routes'!$J$6:$J$1005,MATCH(V372,'Material routes'!$A$6:$A$1005,0)),"MISSING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routes'!$D$6:$D$1005,MATCH(U372,'Material routes'!$A$6:$A$1005,0)),"MISSING ID")</x:f>
        <x:v>author.metallurgy.steel_stock</x:v>
      </x:c>
      <x:c r="T372" s="4" t="str">
        <x:f>IFERROR(INDEX('Material routes'!$D$6:$D$1005,MATCH(V372,'Material routes'!$A$6:$A$1005,0)),"MISSING ID")</x:f>
        <x:v>proposal.legger.long_load_clamp</x:v>
      </x:c>
      <x:c r="U372" s="4" t="str">
        <x:v>design.review.proposal_legger_long_load_clamp.in.1</x:v>
      </x:c>
      <x:c r="V372" s="4" t="str">
        <x:v>design.review.proposal_legger_long_load_clamp.out</x:v>
      </x:c>
    </x:row>
    <x:row r="373" ht="115" customHeight="1">
      <x:c r="A373" s="4" t="str">
        <x:f>IFERROR(INDEX('Material routes'!$E$6:$E$1005,MATCH(U373,'Material routes'!$A$6:$A$1005,0)),"MISSING ID")</x:f>
        <x:v>Steel stock</x:v>
      </x:c>
      <x:c r="B373" s="4" t="str">
        <x:f>IFERROR(INDEX('Material routes'!$F$6:$F$1005,MATCH(U373,'Material routes'!$A$6:$A$1005,0)),"MISSING ID")</x:f>
        <x:v>T2</x:v>
      </x:c>
      <x:c r="C373" s="4" t="str">
        <x:f>IFERROR(INDEX('Material routes'!$H$6:$H$1005,MATCH(U373,'Material routes'!$A$6:$A$1005,0)),"MISSING ID")</x:f>
        <x:v>Processed material</x:v>
      </x:c>
      <x:c r="D373" s="4" t="str">
        <x:f>IFERROR(INDEX('Material routes'!$G$6:$G$1005,MATCH(U373,'Material routes'!$A$6:$A$1005,0)),"MISSING ID")</x:f>
        <x:v>Resources</x:v>
      </x:c>
      <x:c r="E373" s="4" t="str">
        <x:f>IFERROR(INDEX('Material routes'!$C$6:$C$1005,MATCH(U373,'Material routes'!$A$6:$A$1005,0)),"MISSING ID")</x:f>
        <x:v>Ingredient candidate</x:v>
      </x:c>
      <x:c r="F373" s="4" t="str">
        <x:f>IFERROR(INDEX('Material routes'!$E$6:$E$1005,MATCH(V373,'Material routes'!$A$6:$A$1005,0)),"MISSING ID")</x:f>
        <x:v>Chassis hinge-mount plate</x:v>
      </x:c>
      <x:c r="G373" s="4" t="str">
        <x:f>IFERROR(INDEX('Material routes'!$F$6:$F$1005,MATCH(V373,'Material routes'!$A$6:$A$1005,0)),"MISSING ID")</x:f>
        <x:v>T3</x:v>
      </x:c>
      <x:c r="H373" s="4" t="str">
        <x:f>IFERROR(INDEX('Material routes'!$H$6:$H$1005,MATCH(V373,'Material routes'!$A$6:$A$1005,0)),"MISSING ID")</x:f>
        <x:v>Crafting component</x:v>
      </x:c>
      <x:c r="I373" s="4" t="str">
        <x:f>IFERROR(INDEX('Material routes'!$G$6:$G$1005,MATCH(V373,'Material routes'!$A$6:$A$1005,0)),"MISSING ID")</x:f>
        <x:v>Crafting components</x:v>
      </x:c>
      <x:c r="J373" s="4" t="str">
        <x:f>IFERROR(INDEX('Material routes'!$B$6:$B$1005,MATCH(U373,'Material routes'!$A$6:$A$1005,0)),"MISSING ID")</x:f>
        <x:v>design.review.proposal_legger_hinge_plate</x:v>
      </x:c>
      <x:c r="K373" s="4" t="str">
        <x:f>IFERROR(INDEX('Crafting recipes'!$C$6:$C$1005,MATCH(J373,'Crafting recipes'!$A$6:$A$1005,0)),"MISSING ID")</x:f>
        <x:v>Material refinement</x:v>
      </x:c>
      <x:c r="L373" s="4" t="str">
        <x:f>IFERROR(INDEX('Material routes'!$K$6:$K$1005,MATCH(U373,'Material routes'!$A$6:$A$1005,0)),"MISSING ID")</x:f>
        <x:v>Proposal</x:v>
      </x:c>
      <x:c r="M373" s="4" t="str">
        <x:f>IFERROR(INDEX('Material routes'!$M$6:$M$1005,MATCH(U373,'Material routes'!$A$6:$A$1005,0)),"MISSING ID")</x:f>
        <x:v>Partial proposal</x:v>
      </x:c>
      <x:c r="N373" s="4" t="str">
        <x:f>IF(IFERROR(INDEX('Material routes'!$I$6:$I$1005,MATCH(U373,'Material routes'!$A$6:$A$1005,0)),"MISSING ID")=0,"",IFERROR(INDEX('Material routes'!$I$6:$I$1005,MATCH(U373,'Material routes'!$A$6:$A$1005,0)),"MISSING ID"))</x:f>
      </x:c>
      <x:c r="O373" s="4" t="str">
        <x:f>IFERROR(INDEX('Material routes'!$J$6:$J$1005,MATCH(U373,'Material routes'!$A$6:$A$1005,0)),"MISSING ID")</x:f>
        <x:v>Unspecified</x:v>
      </x:c>
      <x:c r="P373" s="4" t="str">
        <x:f>IF(IFERROR(INDEX('Material routes'!$I$6:$I$1005,MATCH(V373,'Material routes'!$A$6:$A$1005,0)),"MISSING ID")=0,"",IFERROR(INDEX('Material routes'!$I$6:$I$1005,MATCH(V373,'Material routes'!$A$6:$A$1005,0)),"MISSING ID"))</x:f>
      </x:c>
      <x:c r="Q373" s="4" t="str">
        <x:f>IFERROR(INDEX('Material routes'!$J$6:$J$1005,MATCH(V373,'Material routes'!$A$6:$A$1005,0)),"MISSING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routes'!$D$6:$D$1005,MATCH(U373,'Material routes'!$A$6:$A$1005,0)),"MISSING ID")</x:f>
        <x:v>author.metallurgy.steel_stock</x:v>
      </x:c>
      <x:c r="T373" s="4" t="str">
        <x:f>IFERROR(INDEX('Material routes'!$D$6:$D$1005,MATCH(V373,'Material routes'!$A$6:$A$1005,0)),"MISSING ID")</x:f>
        <x:v>proposal.legger.hinge_plate</x:v>
      </x:c>
      <x:c r="U373" s="4" t="str">
        <x:v>design.review.proposal_legger_hinge_plate.in.1</x:v>
      </x:c>
      <x:c r="V373" s="4" t="str">
        <x:v>design.review.proposal_legger_hinge_plate.out</x:v>
      </x:c>
    </x:row>
    <x:row r="374" ht="115" customHeight="1">
      <x:c r="A374" s="4" t="str">
        <x:f>IFERROR(INDEX('Material routes'!$E$6:$E$1005,MATCH(U374,'Material routes'!$A$6:$A$1005,0)),"MISSING ID")</x:f>
        <x:v>Steel stock</x:v>
      </x:c>
      <x:c r="B374" s="4" t="str">
        <x:f>IFERROR(INDEX('Material routes'!$F$6:$F$1005,MATCH(U374,'Material routes'!$A$6:$A$1005,0)),"MISSING ID")</x:f>
        <x:v>T2</x:v>
      </x:c>
      <x:c r="C374" s="4" t="str">
        <x:f>IFERROR(INDEX('Material routes'!$H$6:$H$1005,MATCH(U374,'Material routes'!$A$6:$A$1005,0)),"MISSING ID")</x:f>
        <x:v>Processed material</x:v>
      </x:c>
      <x:c r="D374" s="4" t="str">
        <x:f>IFERROR(INDEX('Material routes'!$G$6:$G$1005,MATCH(U374,'Material routes'!$A$6:$A$1005,0)),"MISSING ID")</x:f>
        <x:v>Resources</x:v>
      </x:c>
      <x:c r="E374" s="4" t="str">
        <x:f>IFERROR(INDEX('Material routes'!$C$6:$C$1005,MATCH(U374,'Material routes'!$A$6:$A$1005,0)),"MISSING ID")</x:f>
        <x:v>Ingredient candidate</x:v>
      </x:c>
      <x:c r="F374" s="4" t="str">
        <x:f>IFERROR(INDEX('Material routes'!$E$6:$E$1005,MATCH(V374,'Material routes'!$A$6:$A$1005,0)),"MISSING ID")</x:f>
        <x:v>Sacrificial attachment mount</x:v>
      </x:c>
      <x:c r="G374" s="4" t="str">
        <x:f>IFERROR(INDEX('Material routes'!$F$6:$F$1005,MATCH(V374,'Material routes'!$A$6:$A$1005,0)),"MISSING ID")</x:f>
        <x:v>T3</x:v>
      </x:c>
      <x:c r="H374" s="4" t="str">
        <x:f>IFERROR(INDEX('Material routes'!$H$6:$H$1005,MATCH(V374,'Material routes'!$A$6:$A$1005,0)),"MISSING ID")</x:f>
        <x:v>Crafting component</x:v>
      </x:c>
      <x:c r="I374" s="4" t="str">
        <x:f>IFERROR(INDEX('Material routes'!$G$6:$G$1005,MATCH(V374,'Material routes'!$A$6:$A$1005,0)),"MISSING ID")</x:f>
        <x:v>Crafting components</x:v>
      </x:c>
      <x:c r="J374" s="4" t="str">
        <x:f>IFERROR(INDEX('Material routes'!$B$6:$B$1005,MATCH(U374,'Material routes'!$A$6:$A$1005,0)),"MISSING ID")</x:f>
        <x:v>design.review.proposal_legger_crush_mount</x:v>
      </x:c>
      <x:c r="K374" s="4" t="str">
        <x:f>IFERROR(INDEX('Crafting recipes'!$C$6:$C$1005,MATCH(J374,'Crafting recipes'!$A$6:$A$1005,0)),"MISSING ID")</x:f>
        <x:v>Material refinement</x:v>
      </x:c>
      <x:c r="L374" s="4" t="str">
        <x:f>IFERROR(INDEX('Material routes'!$K$6:$K$1005,MATCH(U374,'Material routes'!$A$6:$A$1005,0)),"MISSING ID")</x:f>
        <x:v>Proposal</x:v>
      </x:c>
      <x:c r="M374" s="4" t="str">
        <x:f>IFERROR(INDEX('Material routes'!$M$6:$M$1005,MATCH(U374,'Material routes'!$A$6:$A$1005,0)),"MISSING ID")</x:f>
        <x:v>Partial proposal</x:v>
      </x:c>
      <x:c r="N374" s="4" t="str">
        <x:f>IF(IFERROR(INDEX('Material routes'!$I$6:$I$1005,MATCH(U374,'Material routes'!$A$6:$A$1005,0)),"MISSING ID")=0,"",IFERROR(INDEX('Material routes'!$I$6:$I$1005,MATCH(U374,'Material routes'!$A$6:$A$1005,0)),"MISSING ID"))</x:f>
      </x:c>
      <x:c r="O374" s="4" t="str">
        <x:f>IFERROR(INDEX('Material routes'!$J$6:$J$1005,MATCH(U374,'Material routes'!$A$6:$A$1005,0)),"MISSING ID")</x:f>
        <x:v>Unspecified</x:v>
      </x:c>
      <x:c r="P374" s="4" t="str">
        <x:f>IF(IFERROR(INDEX('Material routes'!$I$6:$I$1005,MATCH(V374,'Material routes'!$A$6:$A$1005,0)),"MISSING ID")=0,"",IFERROR(INDEX('Material routes'!$I$6:$I$1005,MATCH(V374,'Material routes'!$A$6:$A$1005,0)),"MISSING ID"))</x:f>
      </x:c>
      <x:c r="Q374" s="4" t="str">
        <x:f>IFERROR(INDEX('Material routes'!$J$6:$J$1005,MATCH(V374,'Material routes'!$A$6:$A$1005,0)),"MISSING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routes'!$D$6:$D$1005,MATCH(U374,'Material routes'!$A$6:$A$1005,0)),"MISSING ID")</x:f>
        <x:v>author.metallurgy.steel_stock</x:v>
      </x:c>
      <x:c r="T374" s="4" t="str">
        <x:f>IFERROR(INDEX('Material routes'!$D$6:$D$1005,MATCH(V374,'Material routes'!$A$6:$A$1005,0)),"MISSING ID")</x:f>
        <x:v>proposal.legger.crush_mount</x:v>
      </x:c>
      <x:c r="U374" s="4" t="str">
        <x:v>design.review.proposal_legger_crush_mount.in.1</x:v>
      </x:c>
      <x:c r="V374" s="4" t="str">
        <x:v>design.review.proposal_legger_crush_mount.out</x:v>
      </x:c>
    </x:row>
    <x:row r="375" ht="115" customHeight="1">
      <x:c r="A375" s="4" t="str">
        <x:f>IFERROR(INDEX('Material routes'!$E$6:$E$1005,MATCH(U375,'Material routes'!$A$6:$A$1005,0)),"MISSING ID")</x:f>
        <x:v>Worked iron stock</x:v>
      </x:c>
      <x:c r="B375" s="4" t="str">
        <x:f>IFERROR(INDEX('Material routes'!$F$6:$F$1005,MATCH(U375,'Material routes'!$A$6:$A$1005,0)),"MISSING ID")</x:f>
        <x:v>T2</x:v>
      </x:c>
      <x:c r="C375" s="4" t="str">
        <x:f>IFERROR(INDEX('Material routes'!$H$6:$H$1005,MATCH(U375,'Material routes'!$A$6:$A$1005,0)),"MISSING ID")</x:f>
        <x:v>Processed material</x:v>
      </x:c>
      <x:c r="D375" s="4" t="str">
        <x:f>IFERROR(INDEX('Material routes'!$G$6:$G$1005,MATCH(U375,'Material routes'!$A$6:$A$1005,0)),"MISSING ID")</x:f>
        <x:v>Resources</x:v>
      </x:c>
      <x:c r="E375" s="4" t="str">
        <x:f>IFERROR(INDEX('Material routes'!$C$6:$C$1005,MATCH(U375,'Material routes'!$A$6:$A$1005,0)),"MISSING ID")</x:f>
        <x:v>Ingredient candidate</x:v>
      </x:c>
      <x:c r="F375" s="4" t="str">
        <x:f>IFERROR(INDEX('Material routes'!$E$6:$E$1005,MATCH(V375,'Material routes'!$A$6:$A$1005,0)),"MISSING ID")</x:f>
        <x:v>Iron chassis replacement rib</x:v>
      </x:c>
      <x:c r="G375" s="4" t="str">
        <x:f>IFERROR(INDEX('Material routes'!$F$6:$F$1005,MATCH(V375,'Material routes'!$A$6:$A$1005,0)),"MISSING ID")</x:f>
        <x:v>T3</x:v>
      </x:c>
      <x:c r="H375" s="4" t="str">
        <x:f>IFERROR(INDEX('Material routes'!$H$6:$H$1005,MATCH(V375,'Material routes'!$A$6:$A$1005,0)),"MISSING ID")</x:f>
        <x:v>Crafting component</x:v>
      </x:c>
      <x:c r="I375" s="4" t="str">
        <x:f>IFERROR(INDEX('Material routes'!$G$6:$G$1005,MATCH(V375,'Material routes'!$A$6:$A$1005,0)),"MISSING ID")</x:f>
        <x:v>Crafting components</x:v>
      </x:c>
      <x:c r="J375" s="4" t="str">
        <x:f>IFERROR(INDEX('Material routes'!$B$6:$B$1005,MATCH(U375,'Material routes'!$A$6:$A$1005,0)),"MISSING ID")</x:f>
        <x:v>design.review.proposal_legger_iron_rib</x:v>
      </x:c>
      <x:c r="K375" s="4" t="str">
        <x:f>IFERROR(INDEX('Crafting recipes'!$C$6:$C$1005,MATCH(J375,'Crafting recipes'!$A$6:$A$1005,0)),"MISSING ID")</x:f>
        <x:v>Material refinement</x:v>
      </x:c>
      <x:c r="L375" s="4" t="str">
        <x:f>IFERROR(INDEX('Material routes'!$K$6:$K$1005,MATCH(U375,'Material routes'!$A$6:$A$1005,0)),"MISSING ID")</x:f>
        <x:v>Proposal</x:v>
      </x:c>
      <x:c r="M375" s="4" t="str">
        <x:f>IFERROR(INDEX('Material routes'!$M$6:$M$1005,MATCH(U375,'Material routes'!$A$6:$A$1005,0)),"MISSING ID")</x:f>
        <x:v>Partial proposal</x:v>
      </x:c>
      <x:c r="N375" s="4" t="str">
        <x:f>IF(IFERROR(INDEX('Material routes'!$I$6:$I$1005,MATCH(U375,'Material routes'!$A$6:$A$1005,0)),"MISSING ID")=0,"",IFERROR(INDEX('Material routes'!$I$6:$I$1005,MATCH(U375,'Material routes'!$A$6:$A$1005,0)),"MISSING ID"))</x:f>
      </x:c>
      <x:c r="O375" s="4" t="str">
        <x:f>IFERROR(INDEX('Material routes'!$J$6:$J$1005,MATCH(U375,'Material routes'!$A$6:$A$1005,0)),"MISSING ID")</x:f>
        <x:v>Unspecified</x:v>
      </x:c>
      <x:c r="P375" s="4" t="str">
        <x:f>IF(IFERROR(INDEX('Material routes'!$I$6:$I$1005,MATCH(V375,'Material routes'!$A$6:$A$1005,0)),"MISSING ID")=0,"",IFERROR(INDEX('Material routes'!$I$6:$I$1005,MATCH(V375,'Material routes'!$A$6:$A$1005,0)),"MISSING ID"))</x:f>
      </x:c>
      <x:c r="Q375" s="4" t="str">
        <x:f>IFERROR(INDEX('Material routes'!$J$6:$J$1005,MATCH(V375,'Material routes'!$A$6:$A$1005,0)),"MISSING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routes'!$D$6:$D$1005,MATCH(U375,'Material routes'!$A$6:$A$1005,0)),"MISSING ID")</x:f>
        <x:v>proposal.natural.iron_stock</x:v>
      </x:c>
      <x:c r="T375" s="4" t="str">
        <x:f>IFERROR(INDEX('Material routes'!$D$6:$D$1005,MATCH(V375,'Material routes'!$A$6:$A$1005,0)),"MISSING ID")</x:f>
        <x:v>proposal.legger.iron_rib</x:v>
      </x:c>
      <x:c r="U375" s="4" t="str">
        <x:v>design.review.proposal_legger_iron_rib.in.1</x:v>
      </x:c>
      <x:c r="V375" s="4" t="str">
        <x:v>design.review.proposal_legger_iron_rib.out</x:v>
      </x:c>
    </x:row>
    <x:row r="376" ht="115" customHeight="1">
      <x:c r="A376" s="4" t="str">
        <x:f>IFERROR(INDEX('Material routes'!$E$6:$E$1005,MATCH(U376,'Material routes'!$A$6:$A$1005,0)),"MISSING ID")</x:f>
        <x:v>Worked iron stock</x:v>
      </x:c>
      <x:c r="B376" s="4" t="str">
        <x:f>IFERROR(INDEX('Material routes'!$F$6:$F$1005,MATCH(U376,'Material routes'!$A$6:$A$1005,0)),"MISSING ID")</x:f>
        <x:v>T2</x:v>
      </x:c>
      <x:c r="C376" s="4" t="str">
        <x:f>IFERROR(INDEX('Material routes'!$H$6:$H$1005,MATCH(U376,'Material routes'!$A$6:$A$1005,0)),"MISSING ID")</x:f>
        <x:v>Processed material</x:v>
      </x:c>
      <x:c r="D376" s="4" t="str">
        <x:f>IFERROR(INDEX('Material routes'!$G$6:$G$1005,MATCH(U376,'Material routes'!$A$6:$A$1005,0)),"MISSING ID")</x:f>
        <x:v>Resources</x:v>
      </x:c>
      <x:c r="E376" s="4" t="str">
        <x:f>IFERROR(INDEX('Material routes'!$C$6:$C$1005,MATCH(U376,'Material routes'!$A$6:$A$1005,0)),"MISSING ID")</x:f>
        <x:v>Ingredient candidate</x:v>
      </x:c>
      <x:c r="F376" s="4" t="str">
        <x:f>IFERROR(INDEX('Material routes'!$E$6:$E$1005,MATCH(V376,'Material routes'!$A$6:$A$1005,0)),"MISSING ID")</x:f>
        <x:v>Chassis crossbrace</x:v>
      </x:c>
      <x:c r="G376" s="4" t="str">
        <x:f>IFERROR(INDEX('Material routes'!$F$6:$F$1005,MATCH(V376,'Material routes'!$A$6:$A$1005,0)),"MISSING ID")</x:f>
        <x:v>T3</x:v>
      </x:c>
      <x:c r="H376" s="4" t="str">
        <x:f>IFERROR(INDEX('Material routes'!$H$6:$H$1005,MATCH(V376,'Material routes'!$A$6:$A$1005,0)),"MISSING ID")</x:f>
        <x:v>Crafting component</x:v>
      </x:c>
      <x:c r="I376" s="4" t="str">
        <x:f>IFERROR(INDEX('Material routes'!$G$6:$G$1005,MATCH(V376,'Material routes'!$A$6:$A$1005,0)),"MISSING ID")</x:f>
        <x:v>Crafting components</x:v>
      </x:c>
      <x:c r="J376" s="4" t="str">
        <x:f>IFERROR(INDEX('Material routes'!$B$6:$B$1005,MATCH(U376,'Material routes'!$A$6:$A$1005,0)),"MISSING ID")</x:f>
        <x:v>design.review.proposal_legger_crossbrace</x:v>
      </x:c>
      <x:c r="K376" s="4" t="str">
        <x:f>IFERROR(INDEX('Crafting recipes'!$C$6:$C$1005,MATCH(J376,'Crafting recipes'!$A$6:$A$1005,0)),"MISSING ID")</x:f>
        <x:v>Material refinement</x:v>
      </x:c>
      <x:c r="L376" s="4" t="str">
        <x:f>IFERROR(INDEX('Material routes'!$K$6:$K$1005,MATCH(U376,'Material routes'!$A$6:$A$1005,0)),"MISSING ID")</x:f>
        <x:v>Proposal</x:v>
      </x:c>
      <x:c r="M376" s="4" t="str">
        <x:f>IFERROR(INDEX('Material routes'!$M$6:$M$1005,MATCH(U376,'Material routes'!$A$6:$A$1005,0)),"MISSING ID")</x:f>
        <x:v>Partial proposal</x:v>
      </x:c>
      <x:c r="N376" s="4" t="str">
        <x:f>IF(IFERROR(INDEX('Material routes'!$I$6:$I$1005,MATCH(U376,'Material routes'!$A$6:$A$1005,0)),"MISSING ID")=0,"",IFERROR(INDEX('Material routes'!$I$6:$I$1005,MATCH(U376,'Material routes'!$A$6:$A$1005,0)),"MISSING ID"))</x:f>
      </x:c>
      <x:c r="O376" s="4" t="str">
        <x:f>IFERROR(INDEX('Material routes'!$J$6:$J$1005,MATCH(U376,'Material routes'!$A$6:$A$1005,0)),"MISSING ID")</x:f>
        <x:v>Unspecified</x:v>
      </x:c>
      <x:c r="P376" s="4" t="str">
        <x:f>IF(IFERROR(INDEX('Material routes'!$I$6:$I$1005,MATCH(V376,'Material routes'!$A$6:$A$1005,0)),"MISSING ID")=0,"",IFERROR(INDEX('Material routes'!$I$6:$I$1005,MATCH(V376,'Material routes'!$A$6:$A$1005,0)),"MISSING ID"))</x:f>
      </x:c>
      <x:c r="Q376" s="4" t="str">
        <x:f>IFERROR(INDEX('Material routes'!$J$6:$J$1005,MATCH(V376,'Material routes'!$A$6:$A$1005,0)),"MISSING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routes'!$D$6:$D$1005,MATCH(U376,'Material routes'!$A$6:$A$1005,0)),"MISSING ID")</x:f>
        <x:v>proposal.natural.iron_stock</x:v>
      </x:c>
      <x:c r="T376" s="4" t="str">
        <x:f>IFERROR(INDEX('Material routes'!$D$6:$D$1005,MATCH(V376,'Material routes'!$A$6:$A$1005,0)),"MISSING ID")</x:f>
        <x:v>proposal.legger.crossbrace</x:v>
      </x:c>
      <x:c r="U376" s="4" t="str">
        <x:v>design.review.proposal_legger_crossbrace.in.1</x:v>
      </x:c>
      <x:c r="V376" s="4" t="str">
        <x:v>design.review.proposal_legger_crossbrace.out</x:v>
      </x:c>
    </x:row>
    <x:row r="377" ht="115" customHeight="1">
      <x:c r="A377" s="4" t="str">
        <x:f>IFERROR(INDEX('Material routes'!$E$6:$E$1005,MATCH(U377,'Material routes'!$A$6:$A$1005,0)),"MISSING ID")</x:f>
        <x:v>Worked iron stock</x:v>
      </x:c>
      <x:c r="B377" s="4" t="str">
        <x:f>IFERROR(INDEX('Material routes'!$F$6:$F$1005,MATCH(U377,'Material routes'!$A$6:$A$1005,0)),"MISSING ID")</x:f>
        <x:v>T2</x:v>
      </x:c>
      <x:c r="C377" s="4" t="str">
        <x:f>IFERROR(INDEX('Material routes'!$H$6:$H$1005,MATCH(U377,'Material routes'!$A$6:$A$1005,0)),"MISSING ID")</x:f>
        <x:v>Processed material</x:v>
      </x:c>
      <x:c r="D377" s="4" t="str">
        <x:f>IFERROR(INDEX('Material routes'!$G$6:$G$1005,MATCH(U377,'Material routes'!$A$6:$A$1005,0)),"MISSING ID")</x:f>
        <x:v>Resources</x:v>
      </x:c>
      <x:c r="E377" s="4" t="str">
        <x:f>IFERROR(INDEX('Material routes'!$C$6:$C$1005,MATCH(U377,'Material routes'!$A$6:$A$1005,0)),"MISSING ID")</x:f>
        <x:v>Ingredient candidate</x:v>
      </x:c>
      <x:c r="F377" s="4" t="str">
        <x:f>IFERROR(INDEX('Material routes'!$E$6:$E$1005,MATCH(V377,'Material routes'!$A$6:$A$1005,0)),"MISSING ID")</x:f>
        <x:v>Replaceable foot contact plate</x:v>
      </x:c>
      <x:c r="G377" s="4" t="str">
        <x:f>IFERROR(INDEX('Material routes'!$F$6:$F$1005,MATCH(V377,'Material routes'!$A$6:$A$1005,0)),"MISSING ID")</x:f>
        <x:v>T3</x:v>
      </x:c>
      <x:c r="H377" s="4" t="str">
        <x:f>IFERROR(INDEX('Material routes'!$H$6:$H$1005,MATCH(V377,'Material routes'!$A$6:$A$1005,0)),"MISSING ID")</x:f>
        <x:v>Crafting component</x:v>
      </x:c>
      <x:c r="I377" s="4" t="str">
        <x:f>IFERROR(INDEX('Material routes'!$G$6:$G$1005,MATCH(V377,'Material routes'!$A$6:$A$1005,0)),"MISSING ID")</x:f>
        <x:v>Crafting components</x:v>
      </x:c>
      <x:c r="J377" s="4" t="str">
        <x:f>IFERROR(INDEX('Material routes'!$B$6:$B$1005,MATCH(U377,'Material routes'!$A$6:$A$1005,0)),"MISSING ID")</x:f>
        <x:v>design.review.proposal_legger_foot_plate</x:v>
      </x:c>
      <x:c r="K377" s="4" t="str">
        <x:f>IFERROR(INDEX('Crafting recipes'!$C$6:$C$1005,MATCH(J377,'Crafting recipes'!$A$6:$A$1005,0)),"MISSING ID")</x:f>
        <x:v>Material refinement</x:v>
      </x:c>
      <x:c r="L377" s="4" t="str">
        <x:f>IFERROR(INDEX('Material routes'!$K$6:$K$1005,MATCH(U377,'Material routes'!$A$6:$A$1005,0)),"MISSING ID")</x:f>
        <x:v>Proposal</x:v>
      </x:c>
      <x:c r="M377" s="4" t="str">
        <x:f>IFERROR(INDEX('Material routes'!$M$6:$M$1005,MATCH(U377,'Material routes'!$A$6:$A$1005,0)),"MISSING ID")</x:f>
        <x:v>Partial proposal</x:v>
      </x:c>
      <x:c r="N377" s="4" t="str">
        <x:f>IF(IFERROR(INDEX('Material routes'!$I$6:$I$1005,MATCH(U377,'Material routes'!$A$6:$A$1005,0)),"MISSING ID")=0,"",IFERROR(INDEX('Material routes'!$I$6:$I$1005,MATCH(U377,'Material routes'!$A$6:$A$1005,0)),"MISSING ID"))</x:f>
      </x:c>
      <x:c r="O377" s="4" t="str">
        <x:f>IFERROR(INDEX('Material routes'!$J$6:$J$1005,MATCH(U377,'Material routes'!$A$6:$A$1005,0)),"MISSING ID")</x:f>
        <x:v>Unspecified</x:v>
      </x:c>
      <x:c r="P377" s="4" t="str">
        <x:f>IF(IFERROR(INDEX('Material routes'!$I$6:$I$1005,MATCH(V377,'Material routes'!$A$6:$A$1005,0)),"MISSING ID")=0,"",IFERROR(INDEX('Material routes'!$I$6:$I$1005,MATCH(V377,'Material routes'!$A$6:$A$1005,0)),"MISSING ID"))</x:f>
      </x:c>
      <x:c r="Q377" s="4" t="str">
        <x:f>IFERROR(INDEX('Material routes'!$J$6:$J$1005,MATCH(V377,'Material routes'!$A$6:$A$1005,0)),"MISSING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routes'!$D$6:$D$1005,MATCH(U377,'Material routes'!$A$6:$A$1005,0)),"MISSING ID")</x:f>
        <x:v>proposal.natural.iron_stock</x:v>
      </x:c>
      <x:c r="T377" s="4" t="str">
        <x:f>IFERROR(INDEX('Material routes'!$D$6:$D$1005,MATCH(V377,'Material routes'!$A$6:$A$1005,0)),"MISSING ID")</x:f>
        <x:v>proposal.legger.foot_plate</x:v>
      </x:c>
      <x:c r="U377" s="4" t="str">
        <x:v>design.review.proposal_legger_foot_plate.in.1</x:v>
      </x:c>
      <x:c r="V377" s="4" t="str">
        <x:v>design.review.proposal_legger_foot_plate.out</x:v>
      </x:c>
    </x:row>
    <x:row r="378" ht="115" customHeight="1">
      <x:c r="A378" s="4" t="str">
        <x:f>IFERROR(INDEX('Material routes'!$E$6:$E$1005,MATCH(U378,'Material routes'!$A$6:$A$1005,0)),"MISSING ID")</x:f>
        <x:v>Worked iron stock</x:v>
      </x:c>
      <x:c r="B378" s="4" t="str">
        <x:f>IFERROR(INDEX('Material routes'!$F$6:$F$1005,MATCH(U378,'Material routes'!$A$6:$A$1005,0)),"MISSING ID")</x:f>
        <x:v>T2</x:v>
      </x:c>
      <x:c r="C378" s="4" t="str">
        <x:f>IFERROR(INDEX('Material routes'!$H$6:$H$1005,MATCH(U378,'Material routes'!$A$6:$A$1005,0)),"MISSING ID")</x:f>
        <x:v>Processed material</x:v>
      </x:c>
      <x:c r="D378" s="4" t="str">
        <x:f>IFERROR(INDEX('Material routes'!$G$6:$G$1005,MATCH(U378,'Material routes'!$A$6:$A$1005,0)),"MISSING ID")</x:f>
        <x:v>Resources</x:v>
      </x:c>
      <x:c r="E378" s="4" t="str">
        <x:f>IFERROR(INDEX('Material routes'!$C$6:$C$1005,MATCH(U378,'Material routes'!$A$6:$A$1005,0)),"MISSING ID")</x:f>
        <x:v>Ingredient candidate</x:v>
      </x:c>
      <x:c r="F378" s="4" t="str">
        <x:f>IFERROR(INDEX('Material routes'!$E$6:$E$1005,MATCH(V378,'Material routes'!$A$6:$A$1005,0)),"MISSING ID")</x:f>
        <x:v>Iron chassis fracture patch</x:v>
      </x:c>
      <x:c r="G378" s="4" t="str">
        <x:f>IFERROR(INDEX('Material routes'!$F$6:$F$1005,MATCH(V378,'Material routes'!$A$6:$A$1005,0)),"MISSING ID")</x:f>
        <x:v>T3</x:v>
      </x:c>
      <x:c r="H378" s="4" t="str">
        <x:f>IFERROR(INDEX('Material routes'!$H$6:$H$1005,MATCH(V378,'Material routes'!$A$6:$A$1005,0)),"MISSING ID")</x:f>
        <x:v>Crafting component</x:v>
      </x:c>
      <x:c r="I378" s="4" t="str">
        <x:f>IFERROR(INDEX('Material routes'!$G$6:$G$1005,MATCH(V378,'Material routes'!$A$6:$A$1005,0)),"MISSING ID")</x:f>
        <x:v>Crafting components</x:v>
      </x:c>
      <x:c r="J378" s="4" t="str">
        <x:f>IFERROR(INDEX('Material routes'!$B$6:$B$1005,MATCH(U378,'Material routes'!$A$6:$A$1005,0)),"MISSING ID")</x:f>
        <x:v>design.review.proposal_legger_fracture_patch</x:v>
      </x:c>
      <x:c r="K378" s="4" t="str">
        <x:f>IFERROR(INDEX('Crafting recipes'!$C$6:$C$1005,MATCH(J378,'Crafting recipes'!$A$6:$A$1005,0)),"MISSING ID")</x:f>
        <x:v>Material refinement</x:v>
      </x:c>
      <x:c r="L378" s="4" t="str">
        <x:f>IFERROR(INDEX('Material routes'!$K$6:$K$1005,MATCH(U378,'Material routes'!$A$6:$A$1005,0)),"MISSING ID")</x:f>
        <x:v>Proposal</x:v>
      </x:c>
      <x:c r="M378" s="4" t="str">
        <x:f>IFERROR(INDEX('Material routes'!$M$6:$M$1005,MATCH(U378,'Material routes'!$A$6:$A$1005,0)),"MISSING ID")</x:f>
        <x:v>Partial proposal</x:v>
      </x:c>
      <x:c r="N378" s="4" t="str">
        <x:f>IF(IFERROR(INDEX('Material routes'!$I$6:$I$1005,MATCH(U378,'Material routes'!$A$6:$A$1005,0)),"MISSING ID")=0,"",IFERROR(INDEX('Material routes'!$I$6:$I$1005,MATCH(U378,'Material routes'!$A$6:$A$1005,0)),"MISSING ID"))</x:f>
      </x:c>
      <x:c r="O378" s="4" t="str">
        <x:f>IFERROR(INDEX('Material routes'!$J$6:$J$1005,MATCH(U378,'Material routes'!$A$6:$A$1005,0)),"MISSING ID")</x:f>
        <x:v>Unspecified</x:v>
      </x:c>
      <x:c r="P378" s="4" t="str">
        <x:f>IF(IFERROR(INDEX('Material routes'!$I$6:$I$1005,MATCH(V378,'Material routes'!$A$6:$A$1005,0)),"MISSING ID")=0,"",IFERROR(INDEX('Material routes'!$I$6:$I$1005,MATCH(V378,'Material routes'!$A$6:$A$1005,0)),"MISSING ID"))</x:f>
      </x:c>
      <x:c r="Q378" s="4" t="str">
        <x:f>IFERROR(INDEX('Material routes'!$J$6:$J$1005,MATCH(V378,'Material routes'!$A$6:$A$1005,0)),"MISSING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routes'!$D$6:$D$1005,MATCH(U378,'Material routes'!$A$6:$A$1005,0)),"MISSING ID")</x:f>
        <x:v>proposal.natural.iron_stock</x:v>
      </x:c>
      <x:c r="T378" s="4" t="str">
        <x:f>IFERROR(INDEX('Material routes'!$D$6:$D$1005,MATCH(V378,'Material routes'!$A$6:$A$1005,0)),"MISSING ID")</x:f>
        <x:v>proposal.legger.fracture_patch</x:v>
      </x:c>
      <x:c r="U378" s="4" t="str">
        <x:v>design.review.proposal_legger_fracture_patch.in.1</x:v>
      </x:c>
      <x:c r="V378" s="4" t="str">
        <x:v>design.review.proposal_legger_fracture_patch.out</x:v>
      </x:c>
    </x:row>
    <x:row r="379" ht="115" customHeight="1">
      <x:c r="A379" s="4" t="str">
        <x:f>IFERROR(INDEX('Material routes'!$E$6:$E$1005,MATCH(U379,'Material routes'!$A$6:$A$1005,0)),"MISSING ID")</x:f>
        <x:v>Worked iron stock</x:v>
      </x:c>
      <x:c r="B379" s="4" t="str">
        <x:f>IFERROR(INDEX('Material routes'!$F$6:$F$1005,MATCH(U379,'Material routes'!$A$6:$A$1005,0)),"MISSING ID")</x:f>
        <x:v>T2</x:v>
      </x:c>
      <x:c r="C379" s="4" t="str">
        <x:f>IFERROR(INDEX('Material routes'!$H$6:$H$1005,MATCH(U379,'Material routes'!$A$6:$A$1005,0)),"MISSING ID")</x:f>
        <x:v>Processed material</x:v>
      </x:c>
      <x:c r="D379" s="4" t="str">
        <x:f>IFERROR(INDEX('Material routes'!$G$6:$G$1005,MATCH(U379,'Material routes'!$A$6:$A$1005,0)),"MISSING ID")</x:f>
        <x:v>Resources</x:v>
      </x:c>
      <x:c r="E379" s="4" t="str">
        <x:f>IFERROR(INDEX('Material routes'!$C$6:$C$1005,MATCH(U379,'Material routes'!$A$6:$A$1005,0)),"MISSING ID")</x:f>
        <x:v>Ingredient candidate</x:v>
      </x:c>
      <x:c r="F379" s="4" t="str">
        <x:f>IFERROR(INDEX('Material routes'!$E$6:$E$1005,MATCH(V379,'Material routes'!$A$6:$A$1005,0)),"MISSING ID")</x:f>
        <x:v>Chassis reinforcing ring</x:v>
      </x:c>
      <x:c r="G379" s="4" t="str">
        <x:f>IFERROR(INDEX('Material routes'!$F$6:$F$1005,MATCH(V379,'Material routes'!$A$6:$A$1005,0)),"MISSING ID")</x:f>
        <x:v>T3</x:v>
      </x:c>
      <x:c r="H379" s="4" t="str">
        <x:f>IFERROR(INDEX('Material routes'!$H$6:$H$1005,MATCH(V379,'Material routes'!$A$6:$A$1005,0)),"MISSING ID")</x:f>
        <x:v>Crafting component</x:v>
      </x:c>
      <x:c r="I379" s="4" t="str">
        <x:f>IFERROR(INDEX('Material routes'!$G$6:$G$1005,MATCH(V379,'Material routes'!$A$6:$A$1005,0)),"MISSING ID")</x:f>
        <x:v>Crafting components</x:v>
      </x:c>
      <x:c r="J379" s="4" t="str">
        <x:f>IFERROR(INDEX('Material routes'!$B$6:$B$1005,MATCH(U379,'Material routes'!$A$6:$A$1005,0)),"MISSING ID")</x:f>
        <x:v>design.review.proposal_legger_bulkhead_ring</x:v>
      </x:c>
      <x:c r="K379" s="4" t="str">
        <x:f>IFERROR(INDEX('Crafting recipes'!$C$6:$C$1005,MATCH(J379,'Crafting recipes'!$A$6:$A$1005,0)),"MISSING ID")</x:f>
        <x:v>Material refinement</x:v>
      </x:c>
      <x:c r="L379" s="4" t="str">
        <x:f>IFERROR(INDEX('Material routes'!$K$6:$K$1005,MATCH(U379,'Material routes'!$A$6:$A$1005,0)),"MISSING ID")</x:f>
        <x:v>Proposal</x:v>
      </x:c>
      <x:c r="M379" s="4" t="str">
        <x:f>IFERROR(INDEX('Material routes'!$M$6:$M$1005,MATCH(U379,'Material routes'!$A$6:$A$1005,0)),"MISSING ID")</x:f>
        <x:v>Partial proposal</x:v>
      </x:c>
      <x:c r="N379" s="4" t="str">
        <x:f>IF(IFERROR(INDEX('Material routes'!$I$6:$I$1005,MATCH(U379,'Material routes'!$A$6:$A$1005,0)),"MISSING ID")=0,"",IFERROR(INDEX('Material routes'!$I$6:$I$1005,MATCH(U379,'Material routes'!$A$6:$A$1005,0)),"MISSING ID"))</x:f>
      </x:c>
      <x:c r="O379" s="4" t="str">
        <x:f>IFERROR(INDEX('Material routes'!$J$6:$J$1005,MATCH(U379,'Material routes'!$A$6:$A$1005,0)),"MISSING ID")</x:f>
        <x:v>Unspecified</x:v>
      </x:c>
      <x:c r="P379" s="4" t="str">
        <x:f>IF(IFERROR(INDEX('Material routes'!$I$6:$I$1005,MATCH(V379,'Material routes'!$A$6:$A$1005,0)),"MISSING ID")=0,"",IFERROR(INDEX('Material routes'!$I$6:$I$1005,MATCH(V379,'Material routes'!$A$6:$A$1005,0)),"MISSING ID"))</x:f>
      </x:c>
      <x:c r="Q379" s="4" t="str">
        <x:f>IFERROR(INDEX('Material routes'!$J$6:$J$1005,MATCH(V379,'Material routes'!$A$6:$A$1005,0)),"MISSING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routes'!$D$6:$D$1005,MATCH(U379,'Material routes'!$A$6:$A$1005,0)),"MISSING ID")</x:f>
        <x:v>proposal.natural.iron_stock</x:v>
      </x:c>
      <x:c r="T379" s="4" t="str">
        <x:f>IFERROR(INDEX('Material routes'!$D$6:$D$1005,MATCH(V379,'Material routes'!$A$6:$A$1005,0)),"MISSING ID")</x:f>
        <x:v>proposal.legger.bulkhead_ring</x:v>
      </x:c>
      <x:c r="U379" s="4" t="str">
        <x:v>design.review.proposal_legger_bulkhead_ring.in.1</x:v>
      </x:c>
      <x:c r="V379" s="4" t="str">
        <x:v>design.review.proposal_legger_bulkhead_ring.out</x:v>
      </x:c>
    </x:row>
    <x:row r="380" ht="115" customHeight="1">
      <x:c r="A380" s="4" t="str">
        <x:f>IFERROR(INDEX('Material routes'!$E$6:$E$1005,MATCH(U380,'Material routes'!$A$6:$A$1005,0)),"MISSING ID")</x:f>
        <x:v>Worked iron stock</x:v>
      </x:c>
      <x:c r="B380" s="4" t="str">
        <x:f>IFERROR(INDEX('Material routes'!$F$6:$F$1005,MATCH(U380,'Material routes'!$A$6:$A$1005,0)),"MISSING ID")</x:f>
        <x:v>T2</x:v>
      </x:c>
      <x:c r="C380" s="4" t="str">
        <x:f>IFERROR(INDEX('Material routes'!$H$6:$H$1005,MATCH(U380,'Material routes'!$A$6:$A$1005,0)),"MISSING ID")</x:f>
        <x:v>Processed material</x:v>
      </x:c>
      <x:c r="D380" s="4" t="str">
        <x:f>IFERROR(INDEX('Material routes'!$G$6:$G$1005,MATCH(U380,'Material routes'!$A$6:$A$1005,0)),"MISSING ID")</x:f>
        <x:v>Resources</x:v>
      </x:c>
      <x:c r="E380" s="4" t="str">
        <x:f>IFERROR(INDEX('Material routes'!$C$6:$C$1005,MATCH(U380,'Material routes'!$A$6:$A$1005,0)),"MISSING ID")</x:f>
        <x:v>Ingredient candidate</x:v>
      </x:c>
      <x:c r="F380" s="4" t="str">
        <x:f>IFERROR(INDEX('Material routes'!$E$6:$E$1005,MATCH(V380,'Material routes'!$A$6:$A$1005,0)),"MISSING ID")</x:f>
        <x:v>Legger load-balance linkage</x:v>
      </x:c>
      <x:c r="G380" s="4" t="str">
        <x:f>IFERROR(INDEX('Material routes'!$F$6:$F$1005,MATCH(V380,'Material routes'!$A$6:$A$1005,0)),"MISSING ID")</x:f>
        <x:v>T3</x:v>
      </x:c>
      <x:c r="H380" s="4" t="str">
        <x:f>IFERROR(INDEX('Material routes'!$H$6:$H$1005,MATCH(V380,'Material routes'!$A$6:$A$1005,0)),"MISSING ID")</x:f>
        <x:v>Crafting component</x:v>
      </x:c>
      <x:c r="I380" s="4" t="str">
        <x:f>IFERROR(INDEX('Material routes'!$G$6:$G$1005,MATCH(V380,'Material routes'!$A$6:$A$1005,0)),"MISSING ID")</x:f>
        <x:v>Crafting components</x:v>
      </x:c>
      <x:c r="J380" s="4" t="str">
        <x:f>IFERROR(INDEX('Material routes'!$B$6:$B$1005,MATCH(U380,'Material routes'!$A$6:$A$1005,0)),"MISSING ID")</x:f>
        <x:v>design.review.proposal_legger_balance_link</x:v>
      </x:c>
      <x:c r="K380" s="4" t="str">
        <x:f>IFERROR(INDEX('Crafting recipes'!$C$6:$C$1005,MATCH(J380,'Crafting recipes'!$A$6:$A$1005,0)),"MISSING ID")</x:f>
        <x:v>Material refinement</x:v>
      </x:c>
      <x:c r="L380" s="4" t="str">
        <x:f>IFERROR(INDEX('Material routes'!$K$6:$K$1005,MATCH(U380,'Material routes'!$A$6:$A$1005,0)),"MISSING ID")</x:f>
        <x:v>Proposal</x:v>
      </x:c>
      <x:c r="M380" s="4" t="str">
        <x:f>IFERROR(INDEX('Material routes'!$M$6:$M$1005,MATCH(U380,'Material routes'!$A$6:$A$1005,0)),"MISSING ID")</x:f>
        <x:v>Partial proposal</x:v>
      </x:c>
      <x:c r="N380" s="4" t="str">
        <x:f>IF(IFERROR(INDEX('Material routes'!$I$6:$I$1005,MATCH(U380,'Material routes'!$A$6:$A$1005,0)),"MISSING ID")=0,"",IFERROR(INDEX('Material routes'!$I$6:$I$1005,MATCH(U380,'Material routes'!$A$6:$A$1005,0)),"MISSING ID"))</x:f>
      </x:c>
      <x:c r="O380" s="4" t="str">
        <x:f>IFERROR(INDEX('Material routes'!$J$6:$J$1005,MATCH(U380,'Material routes'!$A$6:$A$1005,0)),"MISSING ID")</x:f>
        <x:v>Unspecified</x:v>
      </x:c>
      <x:c r="P380" s="4" t="str">
        <x:f>IF(IFERROR(INDEX('Material routes'!$I$6:$I$1005,MATCH(V380,'Material routes'!$A$6:$A$1005,0)),"MISSING ID")=0,"",IFERROR(INDEX('Material routes'!$I$6:$I$1005,MATCH(V380,'Material routes'!$A$6:$A$1005,0)),"MISSING ID"))</x:f>
      </x:c>
      <x:c r="Q380" s="4" t="str">
        <x:f>IFERROR(INDEX('Material routes'!$J$6:$J$1005,MATCH(V380,'Material routes'!$A$6:$A$1005,0)),"MISSING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routes'!$D$6:$D$1005,MATCH(U380,'Material routes'!$A$6:$A$1005,0)),"MISSING ID")</x:f>
        <x:v>proposal.natural.iron_stock</x:v>
      </x:c>
      <x:c r="T380" s="4" t="str">
        <x:f>IFERROR(INDEX('Material routes'!$D$6:$D$1005,MATCH(V380,'Material routes'!$A$6:$A$1005,0)),"MISSING ID")</x:f>
        <x:v>proposal.legger.balance_link</x:v>
      </x:c>
      <x:c r="U380" s="4" t="str">
        <x:v>design.review.proposal_legger_balance_link.in.1</x:v>
      </x:c>
      <x:c r="V380" s="4" t="str">
        <x:v>design.review.proposal_legger_balance_link.out</x:v>
      </x:c>
    </x:row>
    <x:row r="381" ht="115" customHeight="1">
      <x:c r="A381" s="4" t="str">
        <x:f>IFERROR(INDEX('Material routes'!$E$6:$E$1005,MATCH(U381,'Material routes'!$A$6:$A$1005,0)),"MISSING ID")</x:f>
        <x:v>Prepared bronze bearing stock</x:v>
      </x:c>
      <x:c r="B381" s="4" t="str">
        <x:f>IFERROR(INDEX('Material routes'!$F$6:$F$1005,MATCH(U381,'Material routes'!$A$6:$A$1005,0)),"MISSING ID")</x:f>
        <x:v>T2</x:v>
      </x:c>
      <x:c r="C381" s="4" t="str">
        <x:f>IFERROR(INDEX('Material routes'!$H$6:$H$1005,MATCH(U381,'Material routes'!$A$6:$A$1005,0)),"MISSING ID")</x:f>
        <x:v>Processed material</x:v>
      </x:c>
      <x:c r="D381" s="4" t="str">
        <x:f>IFERROR(INDEX('Material routes'!$G$6:$G$1005,MATCH(U381,'Material routes'!$A$6:$A$1005,0)),"MISSING ID")</x:f>
        <x:v>Resources</x:v>
      </x:c>
      <x:c r="E381" s="4" t="str">
        <x:f>IFERROR(INDEX('Material routes'!$C$6:$C$1005,MATCH(U381,'Material routes'!$A$6:$A$1005,0)),"MISSING ID")</x:f>
        <x:v>Ingredient candidate</x:v>
      </x:c>
      <x:c r="F381" s="4" t="str">
        <x:f>IFERROR(INDEX('Material routes'!$E$6:$E$1005,MATCH(V381,'Material routes'!$A$6:$A$1005,0)),"MISSING ID")</x:f>
        <x:v>Legger load-balance linkage</x:v>
      </x:c>
      <x:c r="G381" s="4" t="str">
        <x:f>IFERROR(INDEX('Material routes'!$F$6:$F$1005,MATCH(V381,'Material routes'!$A$6:$A$1005,0)),"MISSING ID")</x:f>
        <x:v>T3</x:v>
      </x:c>
      <x:c r="H381" s="4" t="str">
        <x:f>IFERROR(INDEX('Material routes'!$H$6:$H$1005,MATCH(V381,'Material routes'!$A$6:$A$1005,0)),"MISSING ID")</x:f>
        <x:v>Crafting component</x:v>
      </x:c>
      <x:c r="I381" s="4" t="str">
        <x:f>IFERROR(INDEX('Material routes'!$G$6:$G$1005,MATCH(V381,'Material routes'!$A$6:$A$1005,0)),"MISSING ID")</x:f>
        <x:v>Crafting components</x:v>
      </x:c>
      <x:c r="J381" s="4" t="str">
        <x:f>IFERROR(INDEX('Material routes'!$B$6:$B$1005,MATCH(U381,'Material routes'!$A$6:$A$1005,0)),"MISSING ID")</x:f>
        <x:v>design.review.proposal_legger_balance_link</x:v>
      </x:c>
      <x:c r="K381" s="4" t="str">
        <x:f>IFERROR(INDEX('Crafting recipes'!$C$6:$C$1005,MATCH(J381,'Crafting recipes'!$A$6:$A$1005,0)),"MISSING ID")</x:f>
        <x:v>Material refinement</x:v>
      </x:c>
      <x:c r="L381" s="4" t="str">
        <x:f>IFERROR(INDEX('Material routes'!$K$6:$K$1005,MATCH(U381,'Material routes'!$A$6:$A$1005,0)),"MISSING ID")</x:f>
        <x:v>Proposal</x:v>
      </x:c>
      <x:c r="M381" s="4" t="str">
        <x:f>IFERROR(INDEX('Material routes'!$M$6:$M$1005,MATCH(U381,'Material routes'!$A$6:$A$1005,0)),"MISSING ID")</x:f>
        <x:v>Partial proposal</x:v>
      </x:c>
      <x:c r="N381" s="4" t="str">
        <x:f>IF(IFERROR(INDEX('Material routes'!$I$6:$I$1005,MATCH(U381,'Material routes'!$A$6:$A$1005,0)),"MISSING ID")=0,"",IFERROR(INDEX('Material routes'!$I$6:$I$1005,MATCH(U381,'Material routes'!$A$6:$A$1005,0)),"MISSING ID"))</x:f>
      </x:c>
      <x:c r="O381" s="4" t="str">
        <x:f>IFERROR(INDEX('Material routes'!$J$6:$J$1005,MATCH(U381,'Material routes'!$A$6:$A$1005,0)),"MISSING ID")</x:f>
        <x:v>Unspecified</x:v>
      </x:c>
      <x:c r="P381" s="4" t="str">
        <x:f>IF(IFERROR(INDEX('Material routes'!$I$6:$I$1005,MATCH(V381,'Material routes'!$A$6:$A$1005,0)),"MISSING ID")=0,"",IFERROR(INDEX('Material routes'!$I$6:$I$1005,MATCH(V381,'Material routes'!$A$6:$A$1005,0)),"MISSING ID"))</x:f>
      </x:c>
      <x:c r="Q381" s="4" t="str">
        <x:f>IFERROR(INDEX('Material routes'!$J$6:$J$1005,MATCH(V381,'Material routes'!$A$6:$A$1005,0)),"MISSING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routes'!$D$6:$D$1005,MATCH(U381,'Material routes'!$A$6:$A$1005,0)),"MISSING ID")</x:f>
        <x:v>proposal.branch.bearing_bronze</x:v>
      </x:c>
      <x:c r="T381" s="4" t="str">
        <x:f>IFERROR(INDEX('Material routes'!$D$6:$D$1005,MATCH(V381,'Material routes'!$A$6:$A$1005,0)),"MISSING ID")</x:f>
        <x:v>proposal.legger.balance_link</x:v>
      </x:c>
      <x:c r="U381" s="4" t="str">
        <x:v>design.review.proposal_legger_balance_link.in.2</x:v>
      </x:c>
      <x:c r="V381" s="4" t="str">
        <x:v>design.review.proposal_legger_balance_link.out</x:v>
      </x:c>
    </x:row>
    <x:row r="382" ht="115" customHeight="1">
      <x:c r="A382" s="4" t="str">
        <x:f>IFERROR(INDEX('Material routes'!$E$6:$E$1005,MATCH(U382,'Material routes'!$A$6:$A$1005,0)),"MISSING ID")</x:f>
        <x:v>Worked iron stock</x:v>
      </x:c>
      <x:c r="B382" s="4" t="str">
        <x:f>IFERROR(INDEX('Material routes'!$F$6:$F$1005,MATCH(U382,'Material routes'!$A$6:$A$1005,0)),"MISSING ID")</x:f>
        <x:v>T2</x:v>
      </x:c>
      <x:c r="C382" s="4" t="str">
        <x:f>IFERROR(INDEX('Material routes'!$H$6:$H$1005,MATCH(U382,'Material routes'!$A$6:$A$1005,0)),"MISSING ID")</x:f>
        <x:v>Processed material</x:v>
      </x:c>
      <x:c r="D382" s="4" t="str">
        <x:f>IFERROR(INDEX('Material routes'!$G$6:$G$1005,MATCH(U382,'Material routes'!$A$6:$A$1005,0)),"MISSING ID")</x:f>
        <x:v>Resources</x:v>
      </x:c>
      <x:c r="E382" s="4" t="str">
        <x:f>IFERROR(INDEX('Material routes'!$C$6:$C$1005,MATCH(U382,'Material routes'!$A$6:$A$1005,0)),"MISSING ID")</x:f>
        <x:v>Ingredient candidate</x:v>
      </x:c>
      <x:c r="F382" s="4" t="str">
        <x:f>IFERROR(INDEX('Material routes'!$E$6:$E$1005,MATCH(V382,'Material routes'!$A$6:$A$1005,0)),"MISSING ID")</x:f>
        <x:v>Iron joint bushing</x:v>
      </x:c>
      <x:c r="G382" s="4" t="str">
        <x:f>IFERROR(INDEX('Material routes'!$F$6:$F$1005,MATCH(V382,'Material routes'!$A$6:$A$1005,0)),"MISSING ID")</x:f>
        <x:v>T3</x:v>
      </x:c>
      <x:c r="H382" s="4" t="str">
        <x:f>IFERROR(INDEX('Material routes'!$H$6:$H$1005,MATCH(V382,'Material routes'!$A$6:$A$1005,0)),"MISSING ID")</x:f>
        <x:v>Crafting component</x:v>
      </x:c>
      <x:c r="I382" s="4" t="str">
        <x:f>IFERROR(INDEX('Material routes'!$G$6:$G$1005,MATCH(V382,'Material routes'!$A$6:$A$1005,0)),"MISSING ID")</x:f>
        <x:v>Crafting components</x:v>
      </x:c>
      <x:c r="J382" s="4" t="str">
        <x:f>IFERROR(INDEX('Material routes'!$B$6:$B$1005,MATCH(U382,'Material routes'!$A$6:$A$1005,0)),"MISSING ID")</x:f>
        <x:v>design.review.proposal_legger_joint_bush</x:v>
      </x:c>
      <x:c r="K382" s="4" t="str">
        <x:f>IFERROR(INDEX('Crafting recipes'!$C$6:$C$1005,MATCH(J382,'Crafting recipes'!$A$6:$A$1005,0)),"MISSING ID")</x:f>
        <x:v>Material refinement</x:v>
      </x:c>
      <x:c r="L382" s="4" t="str">
        <x:f>IFERROR(INDEX('Material routes'!$K$6:$K$1005,MATCH(U382,'Material routes'!$A$6:$A$1005,0)),"MISSING ID")</x:f>
        <x:v>Proposal</x:v>
      </x:c>
      <x:c r="M382" s="4" t="str">
        <x:f>IFERROR(INDEX('Material routes'!$M$6:$M$1005,MATCH(U382,'Material routes'!$A$6:$A$1005,0)),"MISSING ID")</x:f>
        <x:v>Partial proposal</x:v>
      </x:c>
      <x:c r="N382" s="4" t="str">
        <x:f>IF(IFERROR(INDEX('Material routes'!$I$6:$I$1005,MATCH(U382,'Material routes'!$A$6:$A$1005,0)),"MISSING ID")=0,"",IFERROR(INDEX('Material routes'!$I$6:$I$1005,MATCH(U382,'Material routes'!$A$6:$A$1005,0)),"MISSING ID"))</x:f>
      </x:c>
      <x:c r="O382" s="4" t="str">
        <x:f>IFERROR(INDEX('Material routes'!$J$6:$J$1005,MATCH(U382,'Material routes'!$A$6:$A$1005,0)),"MISSING ID")</x:f>
        <x:v>Unspecified</x:v>
      </x:c>
      <x:c r="P382" s="4" t="str">
        <x:f>IF(IFERROR(INDEX('Material routes'!$I$6:$I$1005,MATCH(V382,'Material routes'!$A$6:$A$1005,0)),"MISSING ID")=0,"",IFERROR(INDEX('Material routes'!$I$6:$I$1005,MATCH(V382,'Material routes'!$A$6:$A$1005,0)),"MISSING ID"))</x:f>
      </x:c>
      <x:c r="Q382" s="4" t="str">
        <x:f>IFERROR(INDEX('Material routes'!$J$6:$J$1005,MATCH(V382,'Material routes'!$A$6:$A$1005,0)),"MISSING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routes'!$D$6:$D$1005,MATCH(U382,'Material routes'!$A$6:$A$1005,0)),"MISSING ID")</x:f>
        <x:v>proposal.natural.iron_stock</x:v>
      </x:c>
      <x:c r="T382" s="4" t="str">
        <x:f>IFERROR(INDEX('Material routes'!$D$6:$D$1005,MATCH(V382,'Material routes'!$A$6:$A$1005,0)),"MISSING ID")</x:f>
        <x:v>proposal.legger.joint_bush</x:v>
      </x:c>
      <x:c r="U382" s="4" t="str">
        <x:v>design.review.proposal_legger_joint_bush.in.1</x:v>
      </x:c>
      <x:c r="V382" s="4" t="str">
        <x:v>design.review.proposal_legger_joint_bush.out</x:v>
      </x:c>
    </x:row>
    <x:row r="383" ht="115" customHeight="1">
      <x:c r="A383" s="4" t="str">
        <x:f>IFERROR(INDEX('Material routes'!$E$6:$E$1005,MATCH(U383,'Material routes'!$A$6:$A$1005,0)),"MISSING ID")</x:f>
        <x:v>Graded abrasive grit</x:v>
      </x:c>
      <x:c r="B383" s="4" t="str">
        <x:f>IFERROR(INDEX('Material routes'!$F$6:$F$1005,MATCH(U383,'Material routes'!$A$6:$A$1005,0)),"MISSING ID")</x:f>
        <x:v>T1</x:v>
      </x:c>
      <x:c r="C383" s="4" t="str">
        <x:f>IFERROR(INDEX('Material routes'!$H$6:$H$1005,MATCH(U383,'Material routes'!$A$6:$A$1005,0)),"MISSING ID")</x:f>
        <x:v>Processed material</x:v>
      </x:c>
      <x:c r="D383" s="4" t="str">
        <x:f>IFERROR(INDEX('Material routes'!$G$6:$G$1005,MATCH(U383,'Material routes'!$A$6:$A$1005,0)),"MISSING ID")</x:f>
        <x:v>Resources</x:v>
      </x:c>
      <x:c r="E383" s="4" t="str">
        <x:f>IFERROR(INDEX('Material routes'!$C$6:$C$1005,MATCH(U383,'Material routes'!$A$6:$A$1005,0)),"MISSING ID")</x:f>
        <x:v>Ingredient candidate</x:v>
      </x:c>
      <x:c r="F383" s="4" t="str">
        <x:f>IFERROR(INDEX('Material routes'!$E$6:$E$1005,MATCH(V383,'Material routes'!$A$6:$A$1005,0)),"MISSING ID")</x:f>
        <x:v>Iron joint bushing</x:v>
      </x:c>
      <x:c r="G383" s="4" t="str">
        <x:f>IFERROR(INDEX('Material routes'!$F$6:$F$1005,MATCH(V383,'Material routes'!$A$6:$A$1005,0)),"MISSING ID")</x:f>
        <x:v>T3</x:v>
      </x:c>
      <x:c r="H383" s="4" t="str">
        <x:f>IFERROR(INDEX('Material routes'!$H$6:$H$1005,MATCH(V383,'Material routes'!$A$6:$A$1005,0)),"MISSING ID")</x:f>
        <x:v>Crafting component</x:v>
      </x:c>
      <x:c r="I383" s="4" t="str">
        <x:f>IFERROR(INDEX('Material routes'!$G$6:$G$1005,MATCH(V383,'Material routes'!$A$6:$A$1005,0)),"MISSING ID")</x:f>
        <x:v>Crafting components</x:v>
      </x:c>
      <x:c r="J383" s="4" t="str">
        <x:f>IFERROR(INDEX('Material routes'!$B$6:$B$1005,MATCH(U383,'Material routes'!$A$6:$A$1005,0)),"MISSING ID")</x:f>
        <x:v>design.review.proposal_legger_joint_bush</x:v>
      </x:c>
      <x:c r="K383" s="4" t="str">
        <x:f>IFERROR(INDEX('Crafting recipes'!$C$6:$C$1005,MATCH(J383,'Crafting recipes'!$A$6:$A$1005,0)),"MISSING ID")</x:f>
        <x:v>Material refinement</x:v>
      </x:c>
      <x:c r="L383" s="4" t="str">
        <x:f>IFERROR(INDEX('Material routes'!$K$6:$K$1005,MATCH(U383,'Material routes'!$A$6:$A$1005,0)),"MISSING ID")</x:f>
        <x:v>Proposal</x:v>
      </x:c>
      <x:c r="M383" s="4" t="str">
        <x:f>IFERROR(INDEX('Material routes'!$M$6:$M$1005,MATCH(U383,'Material routes'!$A$6:$A$1005,0)),"MISSING ID")</x:f>
        <x:v>Partial proposal</x:v>
      </x:c>
      <x:c r="N383" s="4" t="str">
        <x:f>IF(IFERROR(INDEX('Material routes'!$I$6:$I$1005,MATCH(U383,'Material routes'!$A$6:$A$1005,0)),"MISSING ID")=0,"",IFERROR(INDEX('Material routes'!$I$6:$I$1005,MATCH(U383,'Material routes'!$A$6:$A$1005,0)),"MISSING ID"))</x:f>
      </x:c>
      <x:c r="O383" s="4" t="str">
        <x:f>IFERROR(INDEX('Material routes'!$J$6:$J$1005,MATCH(U383,'Material routes'!$A$6:$A$1005,0)),"MISSING ID")</x:f>
        <x:v>Unspecified</x:v>
      </x:c>
      <x:c r="P383" s="4" t="str">
        <x:f>IF(IFERROR(INDEX('Material routes'!$I$6:$I$1005,MATCH(V383,'Material routes'!$A$6:$A$1005,0)),"MISSING ID")=0,"",IFERROR(INDEX('Material routes'!$I$6:$I$1005,MATCH(V383,'Material routes'!$A$6:$A$1005,0)),"MISSING ID"))</x:f>
      </x:c>
      <x:c r="Q383" s="4" t="str">
        <x:f>IFERROR(INDEX('Material routes'!$J$6:$J$1005,MATCH(V383,'Material routes'!$A$6:$A$1005,0)),"MISSING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routes'!$D$6:$D$1005,MATCH(U383,'Material routes'!$A$6:$A$1005,0)),"MISSING ID")</x:f>
        <x:v>proposal.natural.abrasive</x:v>
      </x:c>
      <x:c r="T383" s="4" t="str">
        <x:f>IFERROR(INDEX('Material routes'!$D$6:$D$1005,MATCH(V383,'Material routes'!$A$6:$A$1005,0)),"MISSING ID")</x:f>
        <x:v>proposal.legger.joint_bush</x:v>
      </x:c>
      <x:c r="U383" s="4" t="str">
        <x:v>design.review.proposal_legger_joint_bush.in.2</x:v>
      </x:c>
      <x:c r="V383" s="4" t="str">
        <x:v>design.review.proposal_legger_joint_bush.out</x:v>
      </x:c>
    </x:row>
    <x:row r="384" ht="115" customHeight="1">
      <x:c r="A384" s="4" t="str">
        <x:f>IFERROR(INDEX('Material routes'!$E$6:$E$1005,MATCH(U384,'Material routes'!$A$6:$A$1005,0)),"MISSING ID")</x:f>
        <x:v>Lapped bronze bearing blanks</x:v>
      </x:c>
      <x:c r="B384" s="4" t="str">
        <x:f>IFERROR(INDEX('Material routes'!$F$6:$F$1005,MATCH(U384,'Material routes'!$A$6:$A$1005,0)),"MISSING ID")</x:f>
        <x:v>T3</x:v>
      </x:c>
      <x:c r="C384" s="4" t="str">
        <x:f>IFERROR(INDEX('Material routes'!$H$6:$H$1005,MATCH(U384,'Material routes'!$A$6:$A$1005,0)),"MISSING ID")</x:f>
        <x:v>Crafting component</x:v>
      </x:c>
      <x:c r="D384" s="4" t="str">
        <x:f>IFERROR(INDEX('Material routes'!$G$6:$G$1005,MATCH(U384,'Material routes'!$A$6:$A$1005,0)),"MISSING ID")</x:f>
        <x:v>Crafting components</x:v>
      </x:c>
      <x:c r="E384" s="4" t="str">
        <x:f>IFERROR(INDEX('Material routes'!$C$6:$C$1005,MATCH(U384,'Material routes'!$A$6:$A$1005,0)),"MISSING ID")</x:f>
        <x:v>Ingredient candidate</x:v>
      </x:c>
      <x:c r="F384" s="4" t="str">
        <x:f>IFERROR(INDEX('Material routes'!$E$6:$E$1005,MATCH(V384,'Material routes'!$A$6:$A$1005,0)),"MISSING ID")</x:f>
        <x:v>Replacement bearing assembly</x:v>
      </x:c>
      <x:c r="G384" s="4" t="str">
        <x:f>IFERROR(INDEX('Material routes'!$F$6:$F$1005,MATCH(V384,'Material routes'!$A$6:$A$1005,0)),"MISSING ID")</x:f>
        <x:v>T4</x:v>
      </x:c>
      <x:c r="H384" s="4" t="str">
        <x:f>IFERROR(INDEX('Material routes'!$H$6:$H$1005,MATCH(V384,'Material routes'!$A$6:$A$1005,0)),"MISSING ID")</x:f>
        <x:v>Crafting component</x:v>
      </x:c>
      <x:c r="I384" s="4" t="str">
        <x:f>IFERROR(INDEX('Material routes'!$G$6:$G$1005,MATCH(V384,'Material routes'!$A$6:$A$1005,0)),"MISSING ID")</x:f>
        <x:v>Crafting components</x:v>
      </x:c>
      <x:c r="J384" s="4" t="str">
        <x:f>IFERROR(INDEX('Material routes'!$B$6:$B$1005,MATCH(U384,'Material routes'!$A$6:$A$1005,0)),"MISSING ID")</x:f>
        <x:v>design.review.proposal_legger_bearing</x:v>
      </x:c>
      <x:c r="K384" s="4" t="str">
        <x:f>IFERROR(INDEX('Crafting recipes'!$C$6:$C$1005,MATCH(J384,'Crafting recipes'!$A$6:$A$1005,0)),"MISSING ID")</x:f>
        <x:v>Material refinement</x:v>
      </x:c>
      <x:c r="L384" s="4" t="str">
        <x:f>IFERROR(INDEX('Material routes'!$K$6:$K$1005,MATCH(U384,'Material routes'!$A$6:$A$1005,0)),"MISSING ID")</x:f>
        <x:v>Proposal</x:v>
      </x:c>
      <x:c r="M384" s="4" t="str">
        <x:f>IFERROR(INDEX('Material routes'!$M$6:$M$1005,MATCH(U384,'Material routes'!$A$6:$A$1005,0)),"MISSING ID")</x:f>
        <x:v>Partial proposal</x:v>
      </x:c>
      <x:c r="N384" s="4" t="str">
        <x:f>IF(IFERROR(INDEX('Material routes'!$I$6:$I$1005,MATCH(U384,'Material routes'!$A$6:$A$1005,0)),"MISSING ID")=0,"",IFERROR(INDEX('Material routes'!$I$6:$I$1005,MATCH(U384,'Material routes'!$A$6:$A$1005,0)),"MISSING ID"))</x:f>
      </x:c>
      <x:c r="O384" s="4" t="str">
        <x:f>IFERROR(INDEX('Material routes'!$J$6:$J$1005,MATCH(U384,'Material routes'!$A$6:$A$1005,0)),"MISSING ID")</x:f>
        <x:v>Unspecified</x:v>
      </x:c>
      <x:c r="P384" s="4" t="str">
        <x:f>IF(IFERROR(INDEX('Material routes'!$I$6:$I$1005,MATCH(V384,'Material routes'!$A$6:$A$1005,0)),"MISSING ID")=0,"",IFERROR(INDEX('Material routes'!$I$6:$I$1005,MATCH(V384,'Material routes'!$A$6:$A$1005,0)),"MISSING ID"))</x:f>
      </x:c>
      <x:c r="Q384" s="4" t="str">
        <x:f>IFERROR(INDEX('Material routes'!$J$6:$J$1005,MATCH(V384,'Material routes'!$A$6:$A$1005,0)),"MISSING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routes'!$D$6:$D$1005,MATCH(U384,'Material routes'!$A$6:$A$1005,0)),"MISSING ID")</x:f>
        <x:v>proposal.t3.bearing_blank</x:v>
      </x:c>
      <x:c r="T384" s="4" t="str">
        <x:f>IFERROR(INDEX('Material routes'!$D$6:$D$1005,MATCH(V384,'Material routes'!$A$6:$A$1005,0)),"MISSING ID")</x:f>
        <x:v>proposal.legger.bearing</x:v>
      </x:c>
      <x:c r="U384" s="4" t="str">
        <x:v>design.review.proposal_legger_bearing.in.1</x:v>
      </x:c>
      <x:c r="V384" s="4" t="str">
        <x:v>design.review.proposal_legger_bearing.out</x:v>
      </x:c>
    </x:row>
    <x:row r="385" ht="115" customHeight="1">
      <x:c r="A385" s="4" t="str">
        <x:f>IFERROR(INDEX('Material routes'!$E$6:$E$1005,MATCH(U385,'Material routes'!$A$6:$A$1005,0)),"MISSING ID")</x:f>
        <x:v>Drawn steel tube stock</x:v>
      </x:c>
      <x:c r="B385" s="4" t="str">
        <x:f>IFERROR(INDEX('Material routes'!$F$6:$F$1005,MATCH(U385,'Material routes'!$A$6:$A$1005,0)),"MISSING ID")</x:f>
        <x:v>T3</x:v>
      </x:c>
      <x:c r="C385" s="4" t="str">
        <x:f>IFERROR(INDEX('Material routes'!$H$6:$H$1005,MATCH(U385,'Material routes'!$A$6:$A$1005,0)),"MISSING ID")</x:f>
        <x:v>Processed material</x:v>
      </x:c>
      <x:c r="D385" s="4" t="str">
        <x:f>IFERROR(INDEX('Material routes'!$G$6:$G$1005,MATCH(U385,'Material routes'!$A$6:$A$1005,0)),"MISSING ID")</x:f>
        <x:v>Resources</x:v>
      </x:c>
      <x:c r="E385" s="4" t="str">
        <x:f>IFERROR(INDEX('Material routes'!$C$6:$C$1005,MATCH(U385,'Material routes'!$A$6:$A$1005,0)),"MISSING ID")</x:f>
        <x:v>Ingredient candidate</x:v>
      </x:c>
      <x:c r="F385" s="4" t="str">
        <x:f>IFERROR(INDEX('Material routes'!$E$6:$E$1005,MATCH(V385,'Material routes'!$A$6:$A$1005,0)),"MISSING ID")</x:f>
        <x:v>Replacement bearing assembly</x:v>
      </x:c>
      <x:c r="G385" s="4" t="str">
        <x:f>IFERROR(INDEX('Material routes'!$F$6:$F$1005,MATCH(V385,'Material routes'!$A$6:$A$1005,0)),"MISSING ID")</x:f>
        <x:v>T4</x:v>
      </x:c>
      <x:c r="H385" s="4" t="str">
        <x:f>IFERROR(INDEX('Material routes'!$H$6:$H$1005,MATCH(V385,'Material routes'!$A$6:$A$1005,0)),"MISSING ID")</x:f>
        <x:v>Crafting component</x:v>
      </x:c>
      <x:c r="I385" s="4" t="str">
        <x:f>IFERROR(INDEX('Material routes'!$G$6:$G$1005,MATCH(V385,'Material routes'!$A$6:$A$1005,0)),"MISSING ID")</x:f>
        <x:v>Crafting components</x:v>
      </x:c>
      <x:c r="J385" s="4" t="str">
        <x:f>IFERROR(INDEX('Material routes'!$B$6:$B$1005,MATCH(U385,'Material routes'!$A$6:$A$1005,0)),"MISSING ID")</x:f>
        <x:v>design.review.proposal_legger_bearing</x:v>
      </x:c>
      <x:c r="K385" s="4" t="str">
        <x:f>IFERROR(INDEX('Crafting recipes'!$C$6:$C$1005,MATCH(J385,'Crafting recipes'!$A$6:$A$1005,0)),"MISSING ID")</x:f>
        <x:v>Material refinement</x:v>
      </x:c>
      <x:c r="L385" s="4" t="str">
        <x:f>IFERROR(INDEX('Material routes'!$K$6:$K$1005,MATCH(U385,'Material routes'!$A$6:$A$1005,0)),"MISSING ID")</x:f>
        <x:v>Proposal</x:v>
      </x:c>
      <x:c r="M385" s="4" t="str">
        <x:f>IFERROR(INDEX('Material routes'!$M$6:$M$1005,MATCH(U385,'Material routes'!$A$6:$A$1005,0)),"MISSING ID")</x:f>
        <x:v>Partial proposal</x:v>
      </x:c>
      <x:c r="N385" s="4" t="str">
        <x:f>IF(IFERROR(INDEX('Material routes'!$I$6:$I$1005,MATCH(U385,'Material routes'!$A$6:$A$1005,0)),"MISSING ID")=0,"",IFERROR(INDEX('Material routes'!$I$6:$I$1005,MATCH(U385,'Material routes'!$A$6:$A$1005,0)),"MISSING ID"))</x:f>
      </x:c>
      <x:c r="O385" s="4" t="str">
        <x:f>IFERROR(INDEX('Material routes'!$J$6:$J$1005,MATCH(U385,'Material routes'!$A$6:$A$1005,0)),"MISSING ID")</x:f>
        <x:v>Unspecified</x:v>
      </x:c>
      <x:c r="P385" s="4" t="str">
        <x:f>IF(IFERROR(INDEX('Material routes'!$I$6:$I$1005,MATCH(V385,'Material routes'!$A$6:$A$1005,0)),"MISSING ID")=0,"",IFERROR(INDEX('Material routes'!$I$6:$I$1005,MATCH(V385,'Material routes'!$A$6:$A$1005,0)),"MISSING ID"))</x:f>
      </x:c>
      <x:c r="Q385" s="4" t="str">
        <x:f>IFERROR(INDEX('Material routes'!$J$6:$J$1005,MATCH(V385,'Material routes'!$A$6:$A$1005,0)),"MISSING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routes'!$D$6:$D$1005,MATCH(U385,'Material routes'!$A$6:$A$1005,0)),"MISSING ID")</x:f>
        <x:v>proposal.t3.precision_tube</x:v>
      </x:c>
      <x:c r="T385" s="4" t="str">
        <x:f>IFERROR(INDEX('Material routes'!$D$6:$D$1005,MATCH(V385,'Material routes'!$A$6:$A$1005,0)),"MISSING ID")</x:f>
        <x:v>proposal.legger.bearing</x:v>
      </x:c>
      <x:c r="U385" s="4" t="str">
        <x:v>design.review.proposal_legger_bearing.in.2</x:v>
      </x:c>
      <x:c r="V385" s="4" t="str">
        <x:v>design.review.proposal_legger_bearing.out</x:v>
      </x:c>
    </x:row>
    <x:row r="386" ht="115" customHeight="1">
      <x:c r="A386" s="4" t="str">
        <x:f>IFERROR(INDEX('Material routes'!$E$6:$E$1005,MATCH(U386,'Material routes'!$A$6:$A$1005,0)),"MISSING ID")</x:f>
        <x:v>Conditioned mechanism-service grease</x:v>
      </x:c>
      <x:c r="B386" s="4" t="str">
        <x:f>IFERROR(INDEX('Material routes'!$F$6:$F$1005,MATCH(U386,'Material routes'!$A$6:$A$1005,0)),"MISSING ID")</x:f>
        <x:v>T3</x:v>
      </x:c>
      <x:c r="C386" s="4" t="str">
        <x:f>IFERROR(INDEX('Material routes'!$H$6:$H$1005,MATCH(U386,'Material routes'!$A$6:$A$1005,0)),"MISSING ID")</x:f>
        <x:v>Chemical material</x:v>
      </x:c>
      <x:c r="D386" s="4" t="str">
        <x:f>IFERROR(INDEX('Material routes'!$G$6:$G$1005,MATCH(U386,'Material routes'!$A$6:$A$1005,0)),"MISSING ID")</x:f>
        <x:v>Resources</x:v>
      </x:c>
      <x:c r="E386" s="4" t="str">
        <x:f>IFERROR(INDEX('Material routes'!$C$6:$C$1005,MATCH(U386,'Material routes'!$A$6:$A$1005,0)),"MISSING ID")</x:f>
        <x:v>Ingredient candidate</x:v>
      </x:c>
      <x:c r="F386" s="4" t="str">
        <x:f>IFERROR(INDEX('Material routes'!$E$6:$E$1005,MATCH(V386,'Material routes'!$A$6:$A$1005,0)),"MISSING ID")</x:f>
        <x:v>Replacement bearing assembly</x:v>
      </x:c>
      <x:c r="G386" s="4" t="str">
        <x:f>IFERROR(INDEX('Material routes'!$F$6:$F$1005,MATCH(V386,'Material routes'!$A$6:$A$1005,0)),"MISSING ID")</x:f>
        <x:v>T4</x:v>
      </x:c>
      <x:c r="H386" s="4" t="str">
        <x:f>IFERROR(INDEX('Material routes'!$H$6:$H$1005,MATCH(V386,'Material routes'!$A$6:$A$1005,0)),"MISSING ID")</x:f>
        <x:v>Crafting component</x:v>
      </x:c>
      <x:c r="I386" s="4" t="str">
        <x:f>IFERROR(INDEX('Material routes'!$G$6:$G$1005,MATCH(V386,'Material routes'!$A$6:$A$1005,0)),"MISSING ID")</x:f>
        <x:v>Crafting components</x:v>
      </x:c>
      <x:c r="J386" s="4" t="str">
        <x:f>IFERROR(INDEX('Material routes'!$B$6:$B$1005,MATCH(U386,'Material routes'!$A$6:$A$1005,0)),"MISSING ID")</x:f>
        <x:v>design.review.proposal_legger_bearing</x:v>
      </x:c>
      <x:c r="K386" s="4" t="str">
        <x:f>IFERROR(INDEX('Crafting recipes'!$C$6:$C$1005,MATCH(J386,'Crafting recipes'!$A$6:$A$1005,0)),"MISSING ID")</x:f>
        <x:v>Material refinement</x:v>
      </x:c>
      <x:c r="L386" s="4" t="str">
        <x:f>IFERROR(INDEX('Material routes'!$K$6:$K$1005,MATCH(U386,'Material routes'!$A$6:$A$1005,0)),"MISSING ID")</x:f>
        <x:v>Proposal</x:v>
      </x:c>
      <x:c r="M386" s="4" t="str">
        <x:f>IFERROR(INDEX('Material routes'!$M$6:$M$1005,MATCH(U386,'Material routes'!$A$6:$A$1005,0)),"MISSING ID")</x:f>
        <x:v>Partial proposal</x:v>
      </x:c>
      <x:c r="N386" s="4" t="str">
        <x:f>IF(IFERROR(INDEX('Material routes'!$I$6:$I$1005,MATCH(U386,'Material routes'!$A$6:$A$1005,0)),"MISSING ID")=0,"",IFERROR(INDEX('Material routes'!$I$6:$I$1005,MATCH(U386,'Material routes'!$A$6:$A$1005,0)),"MISSING ID"))</x:f>
      </x:c>
      <x:c r="O386" s="4" t="str">
        <x:f>IFERROR(INDEX('Material routes'!$J$6:$J$1005,MATCH(U386,'Material routes'!$A$6:$A$1005,0)),"MISSING ID")</x:f>
        <x:v>Unspecified</x:v>
      </x:c>
      <x:c r="P386" s="4" t="str">
        <x:f>IF(IFERROR(INDEX('Material routes'!$I$6:$I$1005,MATCH(V386,'Material routes'!$A$6:$A$1005,0)),"MISSING ID")=0,"",IFERROR(INDEX('Material routes'!$I$6:$I$1005,MATCH(V386,'Material routes'!$A$6:$A$1005,0)),"MISSING ID"))</x:f>
      </x:c>
      <x:c r="Q386" s="4" t="str">
        <x:f>IFERROR(INDEX('Material routes'!$J$6:$J$1005,MATCH(V386,'Material routes'!$A$6:$A$1005,0)),"MISSING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routes'!$D$6:$D$1005,MATCH(U386,'Material routes'!$A$6:$A$1005,0)),"MISSING ID")</x:f>
        <x:v>proposal.t3.service_grease</x:v>
      </x:c>
      <x:c r="T386" s="4" t="str">
        <x:f>IFERROR(INDEX('Material routes'!$D$6:$D$1005,MATCH(V386,'Material routes'!$A$6:$A$1005,0)),"MISSING ID")</x:f>
        <x:v>proposal.legger.bearing</x:v>
      </x:c>
      <x:c r="U386" s="4" t="str">
        <x:v>design.review.proposal_legger_bearing.in.3</x:v>
      </x:c>
      <x:c r="V386" s="4" t="str">
        <x:v>design.review.proposal_legger_bearing.out</x:v>
      </x:c>
    </x:row>
    <x:row r="387" ht="115" customHeight="1">
      <x:c r="A387" s="4" t="str">
        <x:f>IFERROR(INDEX('Material routes'!$E$6:$E$1005,MATCH(U387,'Material routes'!$A$6:$A$1005,0)),"MISSING ID")</x:f>
        <x:v>Steel stock</x:v>
      </x:c>
      <x:c r="B387" s="4" t="str">
        <x:f>IFERROR(INDEX('Material routes'!$F$6:$F$1005,MATCH(U387,'Material routes'!$A$6:$A$1005,0)),"MISSING ID")</x:f>
        <x:v>T2</x:v>
      </x:c>
      <x:c r="C387" s="4" t="str">
        <x:f>IFERROR(INDEX('Material routes'!$H$6:$H$1005,MATCH(U387,'Material routes'!$A$6:$A$1005,0)),"MISSING ID")</x:f>
        <x:v>Processed material</x:v>
      </x:c>
      <x:c r="D387" s="4" t="str">
        <x:f>IFERROR(INDEX('Material routes'!$G$6:$G$1005,MATCH(U387,'Material routes'!$A$6:$A$1005,0)),"MISSING ID")</x:f>
        <x:v>Resources</x:v>
      </x:c>
      <x:c r="E387" s="4" t="str">
        <x:f>IFERROR(INDEX('Material routes'!$C$6:$C$1005,MATCH(U387,'Material routes'!$A$6:$A$1005,0)),"MISSING ID")</x:f>
        <x:v>Ingredient candidate</x:v>
      </x:c>
      <x:c r="F387" s="4" t="str">
        <x:f>IFERROR(INDEX('Material routes'!$E$6:$E$1005,MATCH(V387,'Material routes'!$A$6:$A$1005,0)),"MISSING ID")</x:f>
        <x:v>Replacement actuator link</x:v>
      </x:c>
      <x:c r="G387" s="4" t="str">
        <x:f>IFERROR(INDEX('Material routes'!$F$6:$F$1005,MATCH(V387,'Material routes'!$A$6:$A$1005,0)),"MISSING ID")</x:f>
        <x:v>T3</x:v>
      </x:c>
      <x:c r="H387" s="4" t="str">
        <x:f>IFERROR(INDEX('Material routes'!$H$6:$H$1005,MATCH(V387,'Material routes'!$A$6:$A$1005,0)),"MISSING ID")</x:f>
        <x:v>Crafting component</x:v>
      </x:c>
      <x:c r="I387" s="4" t="str">
        <x:f>IFERROR(INDEX('Material routes'!$G$6:$G$1005,MATCH(V387,'Material routes'!$A$6:$A$1005,0)),"MISSING ID")</x:f>
        <x:v>Crafting components</x:v>
      </x:c>
      <x:c r="J387" s="4" t="str">
        <x:f>IFERROR(INDEX('Material routes'!$B$6:$B$1005,MATCH(U387,'Material routes'!$A$6:$A$1005,0)),"MISSING ID")</x:f>
        <x:v>design.review.proposal_legger_actuator_rod</x:v>
      </x:c>
      <x:c r="K387" s="4" t="str">
        <x:f>IFERROR(INDEX('Crafting recipes'!$C$6:$C$1005,MATCH(J387,'Crafting recipes'!$A$6:$A$1005,0)),"MISSING ID")</x:f>
        <x:v>Material refinement</x:v>
      </x:c>
      <x:c r="L387" s="4" t="str">
        <x:f>IFERROR(INDEX('Material routes'!$K$6:$K$1005,MATCH(U387,'Material routes'!$A$6:$A$1005,0)),"MISSING ID")</x:f>
        <x:v>Proposal</x:v>
      </x:c>
      <x:c r="M387" s="4" t="str">
        <x:f>IFERROR(INDEX('Material routes'!$M$6:$M$1005,MATCH(U387,'Material routes'!$A$6:$A$1005,0)),"MISSING ID")</x:f>
        <x:v>Partial proposal</x:v>
      </x:c>
      <x:c r="N387" s="4" t="str">
        <x:f>IF(IFERROR(INDEX('Material routes'!$I$6:$I$1005,MATCH(U387,'Material routes'!$A$6:$A$1005,0)),"MISSING ID")=0,"",IFERROR(INDEX('Material routes'!$I$6:$I$1005,MATCH(U387,'Material routes'!$A$6:$A$1005,0)),"MISSING ID"))</x:f>
      </x:c>
      <x:c r="O387" s="4" t="str">
        <x:f>IFERROR(INDEX('Material routes'!$J$6:$J$1005,MATCH(U387,'Material routes'!$A$6:$A$1005,0)),"MISSING ID")</x:f>
        <x:v>Unspecified</x:v>
      </x:c>
      <x:c r="P387" s="4" t="str">
        <x:f>IF(IFERROR(INDEX('Material routes'!$I$6:$I$1005,MATCH(V387,'Material routes'!$A$6:$A$1005,0)),"MISSING ID")=0,"",IFERROR(INDEX('Material routes'!$I$6:$I$1005,MATCH(V387,'Material routes'!$A$6:$A$1005,0)),"MISSING ID"))</x:f>
      </x:c>
      <x:c r="Q387" s="4" t="str">
        <x:f>IFERROR(INDEX('Material routes'!$J$6:$J$1005,MATCH(V387,'Material routes'!$A$6:$A$1005,0)),"MISSING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routes'!$D$6:$D$1005,MATCH(U387,'Material routes'!$A$6:$A$1005,0)),"MISSING ID")</x:f>
        <x:v>author.metallurgy.steel_stock</x:v>
      </x:c>
      <x:c r="T387" s="4" t="str">
        <x:f>IFERROR(INDEX('Material routes'!$D$6:$D$1005,MATCH(V387,'Material routes'!$A$6:$A$1005,0)),"MISSING ID")</x:f>
        <x:v>proposal.legger.actuator_rod</x:v>
      </x:c>
      <x:c r="U387" s="4" t="str">
        <x:v>design.review.proposal_legger_actuator_rod.in.1</x:v>
      </x:c>
      <x:c r="V387" s="4" t="str">
        <x:v>design.review.proposal_legger_actuator_rod.out</x:v>
      </x:c>
    </x:row>
    <x:row r="388" ht="115" customHeight="1">
      <x:c r="A388" s="4" t="str">
        <x:f>IFERROR(INDEX('Material routes'!$E$6:$E$1005,MATCH(U388,'Material routes'!$A$6:$A$1005,0)),"MISSING ID")</x:f>
        <x:v>Graded abrasive grit</x:v>
      </x:c>
      <x:c r="B388" s="4" t="str">
        <x:f>IFERROR(INDEX('Material routes'!$F$6:$F$1005,MATCH(U388,'Material routes'!$A$6:$A$1005,0)),"MISSING ID")</x:f>
        <x:v>T1</x:v>
      </x:c>
      <x:c r="C388" s="4" t="str">
        <x:f>IFERROR(INDEX('Material routes'!$H$6:$H$1005,MATCH(U388,'Material routes'!$A$6:$A$1005,0)),"MISSING ID")</x:f>
        <x:v>Processed material</x:v>
      </x:c>
      <x:c r="D388" s="4" t="str">
        <x:f>IFERROR(INDEX('Material routes'!$G$6:$G$1005,MATCH(U388,'Material routes'!$A$6:$A$1005,0)),"MISSING ID")</x:f>
        <x:v>Resources</x:v>
      </x:c>
      <x:c r="E388" s="4" t="str">
        <x:f>IFERROR(INDEX('Material routes'!$C$6:$C$1005,MATCH(U388,'Material routes'!$A$6:$A$1005,0)),"MISSING ID")</x:f>
        <x:v>Ingredient candidate</x:v>
      </x:c>
      <x:c r="F388" s="4" t="str">
        <x:f>IFERROR(INDEX('Material routes'!$E$6:$E$1005,MATCH(V388,'Material routes'!$A$6:$A$1005,0)),"MISSING ID")</x:f>
        <x:v>Replacement actuator link</x:v>
      </x:c>
      <x:c r="G388" s="4" t="str">
        <x:f>IFERROR(INDEX('Material routes'!$F$6:$F$1005,MATCH(V388,'Material routes'!$A$6:$A$1005,0)),"MISSING ID")</x:f>
        <x:v>T3</x:v>
      </x:c>
      <x:c r="H388" s="4" t="str">
        <x:f>IFERROR(INDEX('Material routes'!$H$6:$H$1005,MATCH(V388,'Material routes'!$A$6:$A$1005,0)),"MISSING ID")</x:f>
        <x:v>Crafting component</x:v>
      </x:c>
      <x:c r="I388" s="4" t="str">
        <x:f>IFERROR(INDEX('Material routes'!$G$6:$G$1005,MATCH(V388,'Material routes'!$A$6:$A$1005,0)),"MISSING ID")</x:f>
        <x:v>Crafting components</x:v>
      </x:c>
      <x:c r="J388" s="4" t="str">
        <x:f>IFERROR(INDEX('Material routes'!$B$6:$B$1005,MATCH(U388,'Material routes'!$A$6:$A$1005,0)),"MISSING ID")</x:f>
        <x:v>design.review.proposal_legger_actuator_rod</x:v>
      </x:c>
      <x:c r="K388" s="4" t="str">
        <x:f>IFERROR(INDEX('Crafting recipes'!$C$6:$C$1005,MATCH(J388,'Crafting recipes'!$A$6:$A$1005,0)),"MISSING ID")</x:f>
        <x:v>Material refinement</x:v>
      </x:c>
      <x:c r="L388" s="4" t="str">
        <x:f>IFERROR(INDEX('Material routes'!$K$6:$K$1005,MATCH(U388,'Material routes'!$A$6:$A$1005,0)),"MISSING ID")</x:f>
        <x:v>Proposal</x:v>
      </x:c>
      <x:c r="M388" s="4" t="str">
        <x:f>IFERROR(INDEX('Material routes'!$M$6:$M$1005,MATCH(U388,'Material routes'!$A$6:$A$1005,0)),"MISSING ID")</x:f>
        <x:v>Partial proposal</x:v>
      </x:c>
      <x:c r="N388" s="4" t="str">
        <x:f>IF(IFERROR(INDEX('Material routes'!$I$6:$I$1005,MATCH(U388,'Material routes'!$A$6:$A$1005,0)),"MISSING ID")=0,"",IFERROR(INDEX('Material routes'!$I$6:$I$1005,MATCH(U388,'Material routes'!$A$6:$A$1005,0)),"MISSING ID"))</x:f>
      </x:c>
      <x:c r="O388" s="4" t="str">
        <x:f>IFERROR(INDEX('Material routes'!$J$6:$J$1005,MATCH(U388,'Material routes'!$A$6:$A$1005,0)),"MISSING ID")</x:f>
        <x:v>Unspecified</x:v>
      </x:c>
      <x:c r="P388" s="4" t="str">
        <x:f>IF(IFERROR(INDEX('Material routes'!$I$6:$I$1005,MATCH(V388,'Material routes'!$A$6:$A$1005,0)),"MISSING ID")=0,"",IFERROR(INDEX('Material routes'!$I$6:$I$1005,MATCH(V388,'Material routes'!$A$6:$A$1005,0)),"MISSING ID"))</x:f>
      </x:c>
      <x:c r="Q388" s="4" t="str">
        <x:f>IFERROR(INDEX('Material routes'!$J$6:$J$1005,MATCH(V388,'Material routes'!$A$6:$A$1005,0)),"MISSING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routes'!$D$6:$D$1005,MATCH(U388,'Material routes'!$A$6:$A$1005,0)),"MISSING ID")</x:f>
        <x:v>proposal.natural.abrasive</x:v>
      </x:c>
      <x:c r="T388" s="4" t="str">
        <x:f>IFERROR(INDEX('Material routes'!$D$6:$D$1005,MATCH(V388,'Material routes'!$A$6:$A$1005,0)),"MISSING ID")</x:f>
        <x:v>proposal.legger.actuator_rod</x:v>
      </x:c>
      <x:c r="U388" s="4" t="str">
        <x:v>design.review.proposal_legger_actuator_rod.in.2</x:v>
      </x:c>
      <x:c r="V388" s="4" t="str">
        <x:v>design.review.proposal_legger_actuator_rod.out</x:v>
      </x:c>
    </x:row>
    <x:row r="389" ht="115" customHeight="1">
      <x:c r="A389" s="4" t="str">
        <x:f>IFERROR(INDEX('Material routes'!$E$6:$E$1005,MATCH(U389,'Material routes'!$A$6:$A$1005,0)),"MISSING ID")</x:f>
        <x:v>Bonded husk sheet</x:v>
      </x:c>
      <x:c r="B389" s="4" t="str">
        <x:f>IFERROR(INDEX('Material routes'!$F$6:$F$1005,MATCH(U389,'Material routes'!$A$6:$A$1005,0)),"MISSING ID")</x:f>
        <x:v>T2</x:v>
      </x:c>
      <x:c r="C389" s="4" t="str">
        <x:f>IFERROR(INDEX('Material routes'!$H$6:$H$1005,MATCH(U389,'Material routes'!$A$6:$A$1005,0)),"MISSING ID")</x:f>
        <x:v>Processed material</x:v>
      </x:c>
      <x:c r="D389" s="4" t="str">
        <x:f>IFERROR(INDEX('Material routes'!$G$6:$G$1005,MATCH(U389,'Material routes'!$A$6:$A$1005,0)),"MISSING ID")</x:f>
        <x:v>Resources</x:v>
      </x:c>
      <x:c r="E389" s="4" t="str">
        <x:f>IFERROR(INDEX('Material routes'!$C$6:$C$1005,MATCH(U389,'Material routes'!$A$6:$A$1005,0)),"MISSING ID")</x:f>
        <x:v>Ingredient candidate</x:v>
      </x:c>
      <x:c r="F389" s="4" t="str">
        <x:f>IFERROR(INDEX('Material routes'!$E$6:$E$1005,MATCH(V389,'Material routes'!$A$6:$A$1005,0)),"MISSING ID")</x:f>
        <x:v>Joint dust shroud</x:v>
      </x:c>
      <x:c r="G389" s="4" t="str">
        <x:f>IFERROR(INDEX('Material routes'!$F$6:$F$1005,MATCH(V389,'Material routes'!$A$6:$A$1005,0)),"MISSING ID")</x:f>
        <x:v>T3</x:v>
      </x:c>
      <x:c r="H389" s="4" t="str">
        <x:f>IFERROR(INDEX('Material routes'!$H$6:$H$1005,MATCH(V389,'Material routes'!$A$6:$A$1005,0)),"MISSING ID")</x:f>
        <x:v>Crafting component</x:v>
      </x:c>
      <x:c r="I389" s="4" t="str">
        <x:f>IFERROR(INDEX('Material routes'!$G$6:$G$1005,MATCH(V389,'Material routes'!$A$6:$A$1005,0)),"MISSING ID")</x:f>
        <x:v>Crafting components</x:v>
      </x:c>
      <x:c r="J389" s="4" t="str">
        <x:f>IFERROR(INDEX('Material routes'!$B$6:$B$1005,MATCH(U389,'Material routes'!$A$6:$A$1005,0)),"MISSING ID")</x:f>
        <x:v>design.review.proposal_legger_joint_shroud</x:v>
      </x:c>
      <x:c r="K389" s="4" t="str">
        <x:f>IFERROR(INDEX('Crafting recipes'!$C$6:$C$1005,MATCH(J389,'Crafting recipes'!$A$6:$A$1005,0)),"MISSING ID")</x:f>
        <x:v>Material refinement</x:v>
      </x:c>
      <x:c r="L389" s="4" t="str">
        <x:f>IFERROR(INDEX('Material routes'!$K$6:$K$1005,MATCH(U389,'Material routes'!$A$6:$A$1005,0)),"MISSING ID")</x:f>
        <x:v>Proposal</x:v>
      </x:c>
      <x:c r="M389" s="4" t="str">
        <x:f>IFERROR(INDEX('Material routes'!$M$6:$M$1005,MATCH(U389,'Material routes'!$A$6:$A$1005,0)),"MISSING ID")</x:f>
        <x:v>Partial proposal</x:v>
      </x:c>
      <x:c r="N389" s="4" t="str">
        <x:f>IF(IFERROR(INDEX('Material routes'!$I$6:$I$1005,MATCH(U389,'Material routes'!$A$6:$A$1005,0)),"MISSING ID")=0,"",IFERROR(INDEX('Material routes'!$I$6:$I$1005,MATCH(U389,'Material routes'!$A$6:$A$1005,0)),"MISSING ID"))</x:f>
      </x:c>
      <x:c r="O389" s="4" t="str">
        <x:f>IFERROR(INDEX('Material routes'!$J$6:$J$1005,MATCH(U389,'Material routes'!$A$6:$A$1005,0)),"MISSING ID")</x:f>
        <x:v>Unspecified</x:v>
      </x:c>
      <x:c r="P389" s="4" t="str">
        <x:f>IF(IFERROR(INDEX('Material routes'!$I$6:$I$1005,MATCH(V389,'Material routes'!$A$6:$A$1005,0)),"MISSING ID")=0,"",IFERROR(INDEX('Material routes'!$I$6:$I$1005,MATCH(V389,'Material routes'!$A$6:$A$1005,0)),"MISSING ID"))</x:f>
      </x:c>
      <x:c r="Q389" s="4" t="str">
        <x:f>IFERROR(INDEX('Material routes'!$J$6:$J$1005,MATCH(V389,'Material routes'!$A$6:$A$1005,0)),"MISSING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routes'!$D$6:$D$1005,MATCH(U389,'Material routes'!$A$6:$A$1005,0)),"MISSING ID")</x:f>
        <x:v>proposal.branch.husk_sheet</x:v>
      </x:c>
      <x:c r="T389" s="4" t="str">
        <x:f>IFERROR(INDEX('Material routes'!$D$6:$D$1005,MATCH(V389,'Material routes'!$A$6:$A$1005,0)),"MISSING ID")</x:f>
        <x:v>proposal.legger.joint_shroud</x:v>
      </x:c>
      <x:c r="U389" s="4" t="str">
        <x:v>design.review.proposal_legger_joint_shroud.in.1</x:v>
      </x:c>
      <x:c r="V389" s="4" t="str">
        <x:v>design.review.proposal_legger_joint_shroud.out</x:v>
      </x:c>
    </x:row>
    <x:row r="390" ht="115" customHeight="1">
      <x:c r="A390" s="4" t="str">
        <x:f>IFERROR(INDEX('Material routes'!$E$6:$E$1005,MATCH(U390,'Material routes'!$A$6:$A$1005,0)),"MISSING ID")</x:f>
        <x:v>Flexible membrane-bonding compound</x:v>
      </x:c>
      <x:c r="B390" s="4" t="str">
        <x:f>IFERROR(INDEX('Material routes'!$F$6:$F$1005,MATCH(U390,'Material routes'!$A$6:$A$1005,0)),"MISSING ID")</x:f>
        <x:v>T2</x:v>
      </x:c>
      <x:c r="C390" s="4" t="str">
        <x:f>IFERROR(INDEX('Material routes'!$H$6:$H$1005,MATCH(U390,'Material routes'!$A$6:$A$1005,0)),"MISSING ID")</x:f>
        <x:v>Chemical material</x:v>
      </x:c>
      <x:c r="D390" s="4" t="str">
        <x:f>IFERROR(INDEX('Material routes'!$G$6:$G$1005,MATCH(U390,'Material routes'!$A$6:$A$1005,0)),"MISSING ID")</x:f>
        <x:v>Resources</x:v>
      </x:c>
      <x:c r="E390" s="4" t="str">
        <x:f>IFERROR(INDEX('Material routes'!$C$6:$C$1005,MATCH(U390,'Material routes'!$A$6:$A$1005,0)),"MISSING ID")</x:f>
        <x:v>Ingredient candidate</x:v>
      </x:c>
      <x:c r="F390" s="4" t="str">
        <x:f>IFERROR(INDEX('Material routes'!$E$6:$E$1005,MATCH(V390,'Material routes'!$A$6:$A$1005,0)),"MISSING ID")</x:f>
        <x:v>Joint dust shroud</x:v>
      </x:c>
      <x:c r="G390" s="4" t="str">
        <x:f>IFERROR(INDEX('Material routes'!$F$6:$F$1005,MATCH(V390,'Material routes'!$A$6:$A$1005,0)),"MISSING ID")</x:f>
        <x:v>T3</x:v>
      </x:c>
      <x:c r="H390" s="4" t="str">
        <x:f>IFERROR(INDEX('Material routes'!$H$6:$H$1005,MATCH(V390,'Material routes'!$A$6:$A$1005,0)),"MISSING ID")</x:f>
        <x:v>Crafting component</x:v>
      </x:c>
      <x:c r="I390" s="4" t="str">
        <x:f>IFERROR(INDEX('Material routes'!$G$6:$G$1005,MATCH(V390,'Material routes'!$A$6:$A$1005,0)),"MISSING ID")</x:f>
        <x:v>Crafting components</x:v>
      </x:c>
      <x:c r="J390" s="4" t="str">
        <x:f>IFERROR(INDEX('Material routes'!$B$6:$B$1005,MATCH(U390,'Material routes'!$A$6:$A$1005,0)),"MISSING ID")</x:f>
        <x:v>design.review.proposal_legger_joint_shroud</x:v>
      </x:c>
      <x:c r="K390" s="4" t="str">
        <x:f>IFERROR(INDEX('Crafting recipes'!$C$6:$C$1005,MATCH(J390,'Crafting recipes'!$A$6:$A$1005,0)),"MISSING ID")</x:f>
        <x:v>Material refinement</x:v>
      </x:c>
      <x:c r="L390" s="4" t="str">
        <x:f>IFERROR(INDEX('Material routes'!$K$6:$K$1005,MATCH(U390,'Material routes'!$A$6:$A$1005,0)),"MISSING ID")</x:f>
        <x:v>Proposal</x:v>
      </x:c>
      <x:c r="M390" s="4" t="str">
        <x:f>IFERROR(INDEX('Material routes'!$M$6:$M$1005,MATCH(U390,'Material routes'!$A$6:$A$1005,0)),"MISSING ID")</x:f>
        <x:v>Partial proposal</x:v>
      </x:c>
      <x:c r="N390" s="4" t="str">
        <x:f>IF(IFERROR(INDEX('Material routes'!$I$6:$I$1005,MATCH(U390,'Material routes'!$A$6:$A$1005,0)),"MISSING ID")=0,"",IFERROR(INDEX('Material routes'!$I$6:$I$1005,MATCH(U390,'Material routes'!$A$6:$A$1005,0)),"MISSING ID"))</x:f>
      </x:c>
      <x:c r="O390" s="4" t="str">
        <x:f>IFERROR(INDEX('Material routes'!$J$6:$J$1005,MATCH(U390,'Material routes'!$A$6:$A$1005,0)),"MISSING ID")</x:f>
        <x:v>Unspecified</x:v>
      </x:c>
      <x:c r="P390" s="4" t="str">
        <x:f>IF(IFERROR(INDEX('Material routes'!$I$6:$I$1005,MATCH(V390,'Material routes'!$A$6:$A$1005,0)),"MISSING ID")=0,"",IFERROR(INDEX('Material routes'!$I$6:$I$1005,MATCH(V390,'Material routes'!$A$6:$A$1005,0)),"MISSING ID"))</x:f>
      </x:c>
      <x:c r="Q390" s="4" t="str">
        <x:f>IFERROR(INDEX('Material routes'!$J$6:$J$1005,MATCH(V390,'Material routes'!$A$6:$A$1005,0)),"MISSING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routes'!$D$6:$D$1005,MATCH(U390,'Material routes'!$A$6:$A$1005,0)),"MISSING ID")</x:f>
        <x:v>proposal.branch.flex_bond</x:v>
      </x:c>
      <x:c r="T390" s="4" t="str">
        <x:f>IFERROR(INDEX('Material routes'!$D$6:$D$1005,MATCH(V390,'Material routes'!$A$6:$A$1005,0)),"MISSING ID")</x:f>
        <x:v>proposal.legger.joint_shroud</x:v>
      </x:c>
      <x:c r="U390" s="4" t="str">
        <x:v>design.review.proposal_legger_joint_shroud.in.2</x:v>
      </x:c>
      <x:c r="V390" s="4" t="str">
        <x:v>design.review.proposal_legger_joint_shroud.out</x:v>
      </x:c>
    </x:row>
    <x:row r="391" ht="115" customHeight="1">
      <x:c r="A391" s="4" t="str">
        <x:f>IFERROR(INDEX('Material routes'!$E$6:$E$1005,MATCH(U391,'Material routes'!$A$6:$A$1005,0)),"MISSING ID")</x:f>
        <x:v>Steel stock</x:v>
      </x:c>
      <x:c r="B391" s="4" t="str">
        <x:f>IFERROR(INDEX('Material routes'!$F$6:$F$1005,MATCH(U391,'Material routes'!$A$6:$A$1005,0)),"MISSING ID")</x:f>
        <x:v>T2</x:v>
      </x:c>
      <x:c r="C391" s="4" t="str">
        <x:f>IFERROR(INDEX('Material routes'!$H$6:$H$1005,MATCH(U391,'Material routes'!$A$6:$A$1005,0)),"MISSING ID")</x:f>
        <x:v>Processed material</x:v>
      </x:c>
      <x:c r="D391" s="4" t="str">
        <x:f>IFERROR(INDEX('Material routes'!$G$6:$G$1005,MATCH(U391,'Material routes'!$A$6:$A$1005,0)),"MISSING ID")</x:f>
        <x:v>Resources</x:v>
      </x:c>
      <x:c r="E391" s="4" t="str">
        <x:f>IFERROR(INDEX('Material routes'!$C$6:$C$1005,MATCH(U391,'Material routes'!$A$6:$A$1005,0)),"MISSING ID")</x:f>
        <x:v>Ingredient candidate</x:v>
      </x:c>
      <x:c r="F391" s="4" t="str">
        <x:f>IFERROR(INDEX('Material routes'!$E$6:$E$1005,MATCH(V391,'Material routes'!$A$6:$A$1005,0)),"MISSING ID")</x:f>
        <x:v>Fitted joint lubricant cup</x:v>
      </x:c>
      <x:c r="G391" s="4" t="str">
        <x:f>IFERROR(INDEX('Material routes'!$F$6:$F$1005,MATCH(V391,'Material routes'!$A$6:$A$1005,0)),"MISSING ID")</x:f>
        <x:v>T3</x:v>
      </x:c>
      <x:c r="H391" s="4" t="str">
        <x:f>IFERROR(INDEX('Material routes'!$H$6:$H$1005,MATCH(V391,'Material routes'!$A$6:$A$1005,0)),"MISSING ID")</x:f>
        <x:v>Container part</x:v>
      </x:c>
      <x:c r="I391" s="4" t="str">
        <x:f>IFERROR(INDEX('Material routes'!$G$6:$G$1005,MATCH(V391,'Material routes'!$A$6:$A$1005,0)),"MISSING ID")</x:f>
        <x:v>Crafting components</x:v>
      </x:c>
      <x:c r="J391" s="4" t="str">
        <x:f>IFERROR(INDEX('Material routes'!$B$6:$B$1005,MATCH(U391,'Material routes'!$A$6:$A$1005,0)),"MISSING ID")</x:f>
        <x:v>design.review.proposal_legger_grease_cup</x:v>
      </x:c>
      <x:c r="K391" s="4" t="str">
        <x:f>IFERROR(INDEX('Crafting recipes'!$C$6:$C$1005,MATCH(J391,'Crafting recipes'!$A$6:$A$1005,0)),"MISSING ID")</x:f>
        <x:v>Material refinement</x:v>
      </x:c>
      <x:c r="L391" s="4" t="str">
        <x:f>IFERROR(INDEX('Material routes'!$K$6:$K$1005,MATCH(U391,'Material routes'!$A$6:$A$1005,0)),"MISSING ID")</x:f>
        <x:v>Proposal</x:v>
      </x:c>
      <x:c r="M391" s="4" t="str">
        <x:f>IFERROR(INDEX('Material routes'!$M$6:$M$1005,MATCH(U391,'Material routes'!$A$6:$A$1005,0)),"MISSING ID")</x:f>
        <x:v>Partial proposal</x:v>
      </x:c>
      <x:c r="N391" s="4" t="str">
        <x:f>IF(IFERROR(INDEX('Material routes'!$I$6:$I$1005,MATCH(U391,'Material routes'!$A$6:$A$1005,0)),"MISSING ID")=0,"",IFERROR(INDEX('Material routes'!$I$6:$I$1005,MATCH(U391,'Material routes'!$A$6:$A$1005,0)),"MISSING ID"))</x:f>
      </x:c>
      <x:c r="O391" s="4" t="str">
        <x:f>IFERROR(INDEX('Material routes'!$J$6:$J$1005,MATCH(U391,'Material routes'!$A$6:$A$1005,0)),"MISSING ID")</x:f>
        <x:v>Unspecified</x:v>
      </x:c>
      <x:c r="P391" s="4" t="str">
        <x:f>IF(IFERROR(INDEX('Material routes'!$I$6:$I$1005,MATCH(V391,'Material routes'!$A$6:$A$1005,0)),"MISSING ID")=0,"",IFERROR(INDEX('Material routes'!$I$6:$I$1005,MATCH(V391,'Material routes'!$A$6:$A$1005,0)),"MISSING ID"))</x:f>
      </x:c>
      <x:c r="Q391" s="4" t="str">
        <x:f>IFERROR(INDEX('Material routes'!$J$6:$J$1005,MATCH(V391,'Material routes'!$A$6:$A$1005,0)),"MISSING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routes'!$D$6:$D$1005,MATCH(U391,'Material routes'!$A$6:$A$1005,0)),"MISSING ID")</x:f>
        <x:v>author.metallurgy.steel_stock</x:v>
      </x:c>
      <x:c r="T391" s="4" t="str">
        <x:f>IFERROR(INDEX('Material routes'!$D$6:$D$1005,MATCH(V391,'Material routes'!$A$6:$A$1005,0)),"MISSING ID")</x:f>
        <x:v>proposal.legger.grease_cup</x:v>
      </x:c>
      <x:c r="U391" s="4" t="str">
        <x:v>design.review.proposal_legger_grease_cup.in.1</x:v>
      </x:c>
      <x:c r="V391" s="4" t="str">
        <x:v>design.review.proposal_legger_grease_cup.out</x:v>
      </x:c>
    </x:row>
    <x:row r="392" ht="115" customHeight="1">
      <x:c r="A392" s="4" t="str">
        <x:f>IFERROR(INDEX('Material routes'!$E$6:$E$1005,MATCH(U392,'Material routes'!$A$6:$A$1005,0)),"MISSING ID")</x:f>
        <x:v>Prepared bronze bearing stock</x:v>
      </x:c>
      <x:c r="B392" s="4" t="str">
        <x:f>IFERROR(INDEX('Material routes'!$F$6:$F$1005,MATCH(U392,'Material routes'!$A$6:$A$1005,0)),"MISSING ID")</x:f>
        <x:v>T2</x:v>
      </x:c>
      <x:c r="C392" s="4" t="str">
        <x:f>IFERROR(INDEX('Material routes'!$H$6:$H$1005,MATCH(U392,'Material routes'!$A$6:$A$1005,0)),"MISSING ID")</x:f>
        <x:v>Processed material</x:v>
      </x:c>
      <x:c r="D392" s="4" t="str">
        <x:f>IFERROR(INDEX('Material routes'!$G$6:$G$1005,MATCH(U392,'Material routes'!$A$6:$A$1005,0)),"MISSING ID")</x:f>
        <x:v>Resources</x:v>
      </x:c>
      <x:c r="E392" s="4" t="str">
        <x:f>IFERROR(INDEX('Material routes'!$C$6:$C$1005,MATCH(U392,'Material routes'!$A$6:$A$1005,0)),"MISSING ID")</x:f>
        <x:v>Ingredient candidate</x:v>
      </x:c>
      <x:c r="F392" s="4" t="str">
        <x:f>IFERROR(INDEX('Material routes'!$E$6:$E$1005,MATCH(V392,'Material routes'!$A$6:$A$1005,0)),"MISSING ID")</x:f>
        <x:v>Fitted joint lubricant cup</x:v>
      </x:c>
      <x:c r="G392" s="4" t="str">
        <x:f>IFERROR(INDEX('Material routes'!$F$6:$F$1005,MATCH(V392,'Material routes'!$A$6:$A$1005,0)),"MISSING ID")</x:f>
        <x:v>T3</x:v>
      </x:c>
      <x:c r="H392" s="4" t="str">
        <x:f>IFERROR(INDEX('Material routes'!$H$6:$H$1005,MATCH(V392,'Material routes'!$A$6:$A$1005,0)),"MISSING ID")</x:f>
        <x:v>Container part</x:v>
      </x:c>
      <x:c r="I392" s="4" t="str">
        <x:f>IFERROR(INDEX('Material routes'!$G$6:$G$1005,MATCH(V392,'Material routes'!$A$6:$A$1005,0)),"MISSING ID")</x:f>
        <x:v>Crafting components</x:v>
      </x:c>
      <x:c r="J392" s="4" t="str">
        <x:f>IFERROR(INDEX('Material routes'!$B$6:$B$1005,MATCH(U392,'Material routes'!$A$6:$A$1005,0)),"MISSING ID")</x:f>
        <x:v>design.review.proposal_legger_grease_cup</x:v>
      </x:c>
      <x:c r="K392" s="4" t="str">
        <x:f>IFERROR(INDEX('Crafting recipes'!$C$6:$C$1005,MATCH(J392,'Crafting recipes'!$A$6:$A$1005,0)),"MISSING ID")</x:f>
        <x:v>Material refinement</x:v>
      </x:c>
      <x:c r="L392" s="4" t="str">
        <x:f>IFERROR(INDEX('Material routes'!$K$6:$K$1005,MATCH(U392,'Material routes'!$A$6:$A$1005,0)),"MISSING ID")</x:f>
        <x:v>Proposal</x:v>
      </x:c>
      <x:c r="M392" s="4" t="str">
        <x:f>IFERROR(INDEX('Material routes'!$M$6:$M$1005,MATCH(U392,'Material routes'!$A$6:$A$1005,0)),"MISSING ID")</x:f>
        <x:v>Partial proposal</x:v>
      </x:c>
      <x:c r="N392" s="4" t="str">
        <x:f>IF(IFERROR(INDEX('Material routes'!$I$6:$I$1005,MATCH(U392,'Material routes'!$A$6:$A$1005,0)),"MISSING ID")=0,"",IFERROR(INDEX('Material routes'!$I$6:$I$1005,MATCH(U392,'Material routes'!$A$6:$A$1005,0)),"MISSING ID"))</x:f>
      </x:c>
      <x:c r="O392" s="4" t="str">
        <x:f>IFERROR(INDEX('Material routes'!$J$6:$J$1005,MATCH(U392,'Material routes'!$A$6:$A$1005,0)),"MISSING ID")</x:f>
        <x:v>Unspecified</x:v>
      </x:c>
      <x:c r="P392" s="4" t="str">
        <x:f>IF(IFERROR(INDEX('Material routes'!$I$6:$I$1005,MATCH(V392,'Material routes'!$A$6:$A$1005,0)),"MISSING ID")=0,"",IFERROR(INDEX('Material routes'!$I$6:$I$1005,MATCH(V392,'Material routes'!$A$6:$A$1005,0)),"MISSING ID"))</x:f>
      </x:c>
      <x:c r="Q392" s="4" t="str">
        <x:f>IFERROR(INDEX('Material routes'!$J$6:$J$1005,MATCH(V392,'Material routes'!$A$6:$A$1005,0)),"MISSING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routes'!$D$6:$D$1005,MATCH(U392,'Material routes'!$A$6:$A$1005,0)),"MISSING ID")</x:f>
        <x:v>proposal.branch.bearing_bronze</x:v>
      </x:c>
      <x:c r="T392" s="4" t="str">
        <x:f>IFERROR(INDEX('Material routes'!$D$6:$D$1005,MATCH(V392,'Material routes'!$A$6:$A$1005,0)),"MISSING ID")</x:f>
        <x:v>proposal.legger.grease_cup</x:v>
      </x:c>
      <x:c r="U392" s="4" t="str">
        <x:v>design.review.proposal_legger_grease_cup.in.2</x:v>
      </x:c>
      <x:c r="V392" s="4" t="str">
        <x:v>design.review.proposal_legger_grease_cup.out</x:v>
      </x:c>
    </x:row>
    <x:row r="393" ht="115" customHeight="1">
      <x:c r="A393" s="4" t="str">
        <x:f>IFERROR(INDEX('Material routes'!$E$6:$E$1005,MATCH(U393,'Material routes'!$A$6:$A$1005,0)),"MISSING ID")</x:f>
        <x:v>Husk-reinforced packing stock</x:v>
      </x:c>
      <x:c r="B393" s="4" t="str">
        <x:f>IFERROR(INDEX('Material routes'!$F$6:$F$1005,MATCH(U393,'Material routes'!$A$6:$A$1005,0)),"MISSING ID")</x:f>
        <x:v>T3</x:v>
      </x:c>
      <x:c r="C393" s="4" t="str">
        <x:f>IFERROR(INDEX('Material routes'!$H$6:$H$1005,MATCH(U393,'Material routes'!$A$6:$A$1005,0)),"MISSING ID")</x:f>
        <x:v>Processed material</x:v>
      </x:c>
      <x:c r="D393" s="4" t="str">
        <x:f>IFERROR(INDEX('Material routes'!$G$6:$G$1005,MATCH(U393,'Material routes'!$A$6:$A$1005,0)),"MISSING ID")</x:f>
        <x:v>Resources</x:v>
      </x:c>
      <x:c r="E393" s="4" t="str">
        <x:f>IFERROR(INDEX('Material routes'!$C$6:$C$1005,MATCH(U393,'Material routes'!$A$6:$A$1005,0)),"MISSING ID")</x:f>
        <x:v>Ingredient candidate</x:v>
      </x:c>
      <x:c r="F393" s="4" t="str">
        <x:f>IFERROR(INDEX('Material routes'!$E$6:$E$1005,MATCH(V393,'Material routes'!$A$6:$A$1005,0)),"MISSING ID")</x:f>
        <x:v>Replaceable joint-seal cartridge</x:v>
      </x:c>
      <x:c r="G393" s="4" t="str">
        <x:f>IFERROR(INDEX('Material routes'!$F$6:$F$1005,MATCH(V393,'Material routes'!$A$6:$A$1005,0)),"MISSING ID")</x:f>
        <x:v>T4</x:v>
      </x:c>
      <x:c r="H393" s="4" t="str">
        <x:f>IFERROR(INDEX('Material routes'!$H$6:$H$1005,MATCH(V393,'Material routes'!$A$6:$A$1005,0)),"MISSING ID")</x:f>
        <x:v>Crafting component</x:v>
      </x:c>
      <x:c r="I393" s="4" t="str">
        <x:f>IFERROR(INDEX('Material routes'!$G$6:$G$1005,MATCH(V393,'Material routes'!$A$6:$A$1005,0)),"MISSING ID")</x:f>
        <x:v>Crafting components</x:v>
      </x:c>
      <x:c r="J393" s="4" t="str">
        <x:f>IFERROR(INDEX('Material routes'!$B$6:$B$1005,MATCH(U393,'Material routes'!$A$6:$A$1005,0)),"MISSING ID")</x:f>
        <x:v>design.review.proposal_legger_seal_cartridge</x:v>
      </x:c>
      <x:c r="K393" s="4" t="str">
        <x:f>IFERROR(INDEX('Crafting recipes'!$C$6:$C$1005,MATCH(J393,'Crafting recipes'!$A$6:$A$1005,0)),"MISSING ID")</x:f>
        <x:v>Material refinement</x:v>
      </x:c>
      <x:c r="L393" s="4" t="str">
        <x:f>IFERROR(INDEX('Material routes'!$K$6:$K$1005,MATCH(U393,'Material routes'!$A$6:$A$1005,0)),"MISSING ID")</x:f>
        <x:v>Proposal</x:v>
      </x:c>
      <x:c r="M393" s="4" t="str">
        <x:f>IFERROR(INDEX('Material routes'!$M$6:$M$1005,MATCH(U393,'Material routes'!$A$6:$A$1005,0)),"MISSING ID")</x:f>
        <x:v>Partial proposal</x:v>
      </x:c>
      <x:c r="N393" s="4" t="str">
        <x:f>IF(IFERROR(INDEX('Material routes'!$I$6:$I$1005,MATCH(U393,'Material routes'!$A$6:$A$1005,0)),"MISSING ID")=0,"",IFERROR(INDEX('Material routes'!$I$6:$I$1005,MATCH(U393,'Material routes'!$A$6:$A$1005,0)),"MISSING ID"))</x:f>
      </x:c>
      <x:c r="O393" s="4" t="str">
        <x:f>IFERROR(INDEX('Material routes'!$J$6:$J$1005,MATCH(U393,'Material routes'!$A$6:$A$1005,0)),"MISSING ID")</x:f>
        <x:v>Unspecified</x:v>
      </x:c>
      <x:c r="P393" s="4" t="str">
        <x:f>IF(IFERROR(INDEX('Material routes'!$I$6:$I$1005,MATCH(V393,'Material routes'!$A$6:$A$1005,0)),"MISSING ID")=0,"",IFERROR(INDEX('Material routes'!$I$6:$I$1005,MATCH(V393,'Material routes'!$A$6:$A$1005,0)),"MISSING ID"))</x:f>
      </x:c>
      <x:c r="Q393" s="4" t="str">
        <x:f>IFERROR(INDEX('Material routes'!$J$6:$J$1005,MATCH(V393,'Material routes'!$A$6:$A$1005,0)),"MISSING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routes'!$D$6:$D$1005,MATCH(U393,'Material routes'!$A$6:$A$1005,0)),"MISSING ID")</x:f>
        <x:v>proposal.t3.packing_stock</x:v>
      </x:c>
      <x:c r="T393" s="4" t="str">
        <x:f>IFERROR(INDEX('Material routes'!$D$6:$D$1005,MATCH(V393,'Material routes'!$A$6:$A$1005,0)),"MISSING ID")</x:f>
        <x:v>proposal.legger.seal_cartridge</x:v>
      </x:c>
      <x:c r="U393" s="4" t="str">
        <x:v>design.review.proposal_legger_seal_cartridge.in.1</x:v>
      </x:c>
      <x:c r="V393" s="4" t="str">
        <x:v>design.review.proposal_legger_seal_cartridge.out</x:v>
      </x:c>
    </x:row>
    <x:row r="394" ht="115" customHeight="1">
      <x:c r="A394" s="4" t="str">
        <x:f>IFERROR(INDEX('Material routes'!$E$6:$E$1005,MATCH(U394,'Material routes'!$A$6:$A$1005,0)),"MISSING ID")</x:f>
        <x:v>Reinforced sealing sheet</x:v>
      </x:c>
      <x:c r="B394" s="4" t="str">
        <x:f>IFERROR(INDEX('Material routes'!$F$6:$F$1005,MATCH(U394,'Material routes'!$A$6:$A$1005,0)),"MISSING ID")</x:f>
        <x:v>T3</x:v>
      </x:c>
      <x:c r="C394" s="4" t="str">
        <x:f>IFERROR(INDEX('Material routes'!$H$6:$H$1005,MATCH(U394,'Material routes'!$A$6:$A$1005,0)),"MISSING ID")</x:f>
        <x:v>Processed material</x:v>
      </x:c>
      <x:c r="D394" s="4" t="str">
        <x:f>IFERROR(INDEX('Material routes'!$G$6:$G$1005,MATCH(U394,'Material routes'!$A$6:$A$1005,0)),"MISSING ID")</x:f>
        <x:v>Resources</x:v>
      </x:c>
      <x:c r="E394" s="4" t="str">
        <x:f>IFERROR(INDEX('Material routes'!$C$6:$C$1005,MATCH(U394,'Material routes'!$A$6:$A$1005,0)),"MISSING ID")</x:f>
        <x:v>Ingredient candidate</x:v>
      </x:c>
      <x:c r="F394" s="4" t="str">
        <x:f>IFERROR(INDEX('Material routes'!$E$6:$E$1005,MATCH(V394,'Material routes'!$A$6:$A$1005,0)),"MISSING ID")</x:f>
        <x:v>Replaceable joint-seal cartridge</x:v>
      </x:c>
      <x:c r="G394" s="4" t="str">
        <x:f>IFERROR(INDEX('Material routes'!$F$6:$F$1005,MATCH(V394,'Material routes'!$A$6:$A$1005,0)),"MISSING ID")</x:f>
        <x:v>T4</x:v>
      </x:c>
      <x:c r="H394" s="4" t="str">
        <x:f>IFERROR(INDEX('Material routes'!$H$6:$H$1005,MATCH(V394,'Material routes'!$A$6:$A$1005,0)),"MISSING ID")</x:f>
        <x:v>Crafting component</x:v>
      </x:c>
      <x:c r="I394" s="4" t="str">
        <x:f>IFERROR(INDEX('Material routes'!$G$6:$G$1005,MATCH(V394,'Material routes'!$A$6:$A$1005,0)),"MISSING ID")</x:f>
        <x:v>Crafting components</x:v>
      </x:c>
      <x:c r="J394" s="4" t="str">
        <x:f>IFERROR(INDEX('Material routes'!$B$6:$B$1005,MATCH(U394,'Material routes'!$A$6:$A$1005,0)),"MISSING ID")</x:f>
        <x:v>design.review.proposal_legger_seal_cartridge</x:v>
      </x:c>
      <x:c r="K394" s="4" t="str">
        <x:f>IFERROR(INDEX('Crafting recipes'!$C$6:$C$1005,MATCH(J394,'Crafting recipes'!$A$6:$A$1005,0)),"MISSING ID")</x:f>
        <x:v>Material refinement</x:v>
      </x:c>
      <x:c r="L394" s="4" t="str">
        <x:f>IFERROR(INDEX('Material routes'!$K$6:$K$1005,MATCH(U394,'Material routes'!$A$6:$A$1005,0)),"MISSING ID")</x:f>
        <x:v>Proposal</x:v>
      </x:c>
      <x:c r="M394" s="4" t="str">
        <x:f>IFERROR(INDEX('Material routes'!$M$6:$M$1005,MATCH(U394,'Material routes'!$A$6:$A$1005,0)),"MISSING ID")</x:f>
        <x:v>Partial proposal</x:v>
      </x:c>
      <x:c r="N394" s="4" t="str">
        <x:f>IF(IFERROR(INDEX('Material routes'!$I$6:$I$1005,MATCH(U394,'Material routes'!$A$6:$A$1005,0)),"MISSING ID")=0,"",IFERROR(INDEX('Material routes'!$I$6:$I$1005,MATCH(U394,'Material routes'!$A$6:$A$1005,0)),"MISSING ID"))</x:f>
      </x:c>
      <x:c r="O394" s="4" t="str">
        <x:f>IFERROR(INDEX('Material routes'!$J$6:$J$1005,MATCH(U394,'Material routes'!$A$6:$A$1005,0)),"MISSING ID")</x:f>
        <x:v>Unspecified</x:v>
      </x:c>
      <x:c r="P394" s="4" t="str">
        <x:f>IF(IFERROR(INDEX('Material routes'!$I$6:$I$1005,MATCH(V394,'Material routes'!$A$6:$A$1005,0)),"MISSING ID")=0,"",IFERROR(INDEX('Material routes'!$I$6:$I$1005,MATCH(V394,'Material routes'!$A$6:$A$1005,0)),"MISSING ID"))</x:f>
      </x:c>
      <x:c r="Q394" s="4" t="str">
        <x:f>IFERROR(INDEX('Material routes'!$J$6:$J$1005,MATCH(V394,'Material routes'!$A$6:$A$1005,0)),"MISSING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routes'!$D$6:$D$1005,MATCH(U394,'Material routes'!$A$6:$A$1005,0)),"MISSING ID")</x:f>
        <x:v>proposal.branch.sealing_sheet</x:v>
      </x:c>
      <x:c r="T394" s="4" t="str">
        <x:f>IFERROR(INDEX('Material routes'!$D$6:$D$1005,MATCH(V394,'Material routes'!$A$6:$A$1005,0)),"MISSING ID")</x:f>
        <x:v>proposal.legger.seal_cartridge</x:v>
      </x:c>
      <x:c r="U394" s="4" t="str">
        <x:v>design.review.proposal_legger_seal_cartridge.in.2</x:v>
      </x:c>
      <x:c r="V394" s="4" t="str">
        <x:v>design.review.proposal_legger_seal_cartridge.out</x:v>
      </x:c>
    </x:row>
    <x:row r="395" ht="115" customHeight="1">
      <x:c r="A395" s="4" t="str">
        <x:f>IFERROR(INDEX('Material routes'!$E$6:$E$1005,MATCH(U395,'Material routes'!$A$6:$A$1005,0)),"MISSING ID")</x:f>
        <x:v>Steel stock</x:v>
      </x:c>
      <x:c r="B395" s="4" t="str">
        <x:f>IFERROR(INDEX('Material routes'!$F$6:$F$1005,MATCH(U395,'Material routes'!$A$6:$A$1005,0)),"MISSING ID")</x:f>
        <x:v>T2</x:v>
      </x:c>
      <x:c r="C395" s="4" t="str">
        <x:f>IFERROR(INDEX('Material routes'!$H$6:$H$1005,MATCH(U395,'Material routes'!$A$6:$A$1005,0)),"MISSING ID")</x:f>
        <x:v>Processed material</x:v>
      </x:c>
      <x:c r="D395" s="4" t="str">
        <x:f>IFERROR(INDEX('Material routes'!$G$6:$G$1005,MATCH(U395,'Material routes'!$A$6:$A$1005,0)),"MISSING ID")</x:f>
        <x:v>Resources</x:v>
      </x:c>
      <x:c r="E395" s="4" t="str">
        <x:f>IFERROR(INDEX('Material routes'!$C$6:$C$1005,MATCH(U395,'Material routes'!$A$6:$A$1005,0)),"MISSING ID")</x:f>
        <x:v>Ingredient candidate</x:v>
      </x:c>
      <x:c r="F395" s="4" t="str">
        <x:f>IFERROR(INDEX('Material routes'!$E$6:$E$1005,MATCH(V395,'Material routes'!$A$6:$A$1005,0)),"MISSING ID")</x:f>
        <x:v>Replaceable joint-seal cartridge</x:v>
      </x:c>
      <x:c r="G395" s="4" t="str">
        <x:f>IFERROR(INDEX('Material routes'!$F$6:$F$1005,MATCH(V395,'Material routes'!$A$6:$A$1005,0)),"MISSING ID")</x:f>
        <x:v>T4</x:v>
      </x:c>
      <x:c r="H395" s="4" t="str">
        <x:f>IFERROR(INDEX('Material routes'!$H$6:$H$1005,MATCH(V395,'Material routes'!$A$6:$A$1005,0)),"MISSING ID")</x:f>
        <x:v>Crafting component</x:v>
      </x:c>
      <x:c r="I395" s="4" t="str">
        <x:f>IFERROR(INDEX('Material routes'!$G$6:$G$1005,MATCH(V395,'Material routes'!$A$6:$A$1005,0)),"MISSING ID")</x:f>
        <x:v>Crafting components</x:v>
      </x:c>
      <x:c r="J395" s="4" t="str">
        <x:f>IFERROR(INDEX('Material routes'!$B$6:$B$1005,MATCH(U395,'Material routes'!$A$6:$A$1005,0)),"MISSING ID")</x:f>
        <x:v>design.review.proposal_legger_seal_cartridge</x:v>
      </x:c>
      <x:c r="K395" s="4" t="str">
        <x:f>IFERROR(INDEX('Crafting recipes'!$C$6:$C$1005,MATCH(J395,'Crafting recipes'!$A$6:$A$1005,0)),"MISSING ID")</x:f>
        <x:v>Material refinement</x:v>
      </x:c>
      <x:c r="L395" s="4" t="str">
        <x:f>IFERROR(INDEX('Material routes'!$K$6:$K$1005,MATCH(U395,'Material routes'!$A$6:$A$1005,0)),"MISSING ID")</x:f>
        <x:v>Proposal</x:v>
      </x:c>
      <x:c r="M395" s="4" t="str">
        <x:f>IFERROR(INDEX('Material routes'!$M$6:$M$1005,MATCH(U395,'Material routes'!$A$6:$A$1005,0)),"MISSING ID")</x:f>
        <x:v>Partial proposal</x:v>
      </x:c>
      <x:c r="N395" s="4" t="str">
        <x:f>IF(IFERROR(INDEX('Material routes'!$I$6:$I$1005,MATCH(U395,'Material routes'!$A$6:$A$1005,0)),"MISSING ID")=0,"",IFERROR(INDEX('Material routes'!$I$6:$I$1005,MATCH(U395,'Material routes'!$A$6:$A$1005,0)),"MISSING ID"))</x:f>
      </x:c>
      <x:c r="O395" s="4" t="str">
        <x:f>IFERROR(INDEX('Material routes'!$J$6:$J$1005,MATCH(U395,'Material routes'!$A$6:$A$1005,0)),"MISSING ID")</x:f>
        <x:v>Unspecified</x:v>
      </x:c>
      <x:c r="P395" s="4" t="str">
        <x:f>IF(IFERROR(INDEX('Material routes'!$I$6:$I$1005,MATCH(V395,'Material routes'!$A$6:$A$1005,0)),"MISSING ID")=0,"",IFERROR(INDEX('Material routes'!$I$6:$I$1005,MATCH(V395,'Material routes'!$A$6:$A$1005,0)),"MISSING ID"))</x:f>
      </x:c>
      <x:c r="Q395" s="4" t="str">
        <x:f>IFERROR(INDEX('Material routes'!$J$6:$J$1005,MATCH(V395,'Material routes'!$A$6:$A$1005,0)),"MISSING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routes'!$D$6:$D$1005,MATCH(U395,'Material routes'!$A$6:$A$1005,0)),"MISSING ID")</x:f>
        <x:v>author.metallurgy.steel_stock</x:v>
      </x:c>
      <x:c r="T395" s="4" t="str">
        <x:f>IFERROR(INDEX('Material routes'!$D$6:$D$1005,MATCH(V395,'Material routes'!$A$6:$A$1005,0)),"MISSING ID")</x:f>
        <x:v>proposal.legger.seal_cartridge</x:v>
      </x:c>
      <x:c r="U395" s="4" t="str">
        <x:v>design.review.proposal_legger_seal_cartridge.in.3</x:v>
      </x:c>
      <x:c r="V395" s="4" t="str">
        <x:v>design.review.proposal_legger_seal_cartridge.out</x:v>
      </x:c>
    </x:row>
    <x:row r="396" ht="115" customHeight="1">
      <x:c r="A396" s="4" t="str">
        <x:f>IFERROR(INDEX('Material routes'!$E$6:$E$1005,MATCH(U396,'Material routes'!$A$6:$A$1005,0)),"MISSING ID")</x:f>
        <x:v>Spring-grade steel stock</x:v>
      </x:c>
      <x:c r="B396" s="4" t="str">
        <x:f>IFERROR(INDEX('Material routes'!$F$6:$F$1005,MATCH(U396,'Material routes'!$A$6:$A$1005,0)),"MISSING ID")</x:f>
        <x:v>T3</x:v>
      </x:c>
      <x:c r="C396" s="4" t="str">
        <x:f>IFERROR(INDEX('Material routes'!$H$6:$H$1005,MATCH(U396,'Material routes'!$A$6:$A$1005,0)),"MISSING ID")</x:f>
        <x:v>Processed material</x:v>
      </x:c>
      <x:c r="D396" s="4" t="str">
        <x:f>IFERROR(INDEX('Material routes'!$G$6:$G$1005,MATCH(U396,'Material routes'!$A$6:$A$1005,0)),"MISSING ID")</x:f>
        <x:v>Resources</x:v>
      </x:c>
      <x:c r="E396" s="4" t="str">
        <x:f>IFERROR(INDEX('Material routes'!$C$6:$C$1005,MATCH(U396,'Material routes'!$A$6:$A$1005,0)),"MISSING ID")</x:f>
        <x:v>Ingredient candidate</x:v>
      </x:c>
      <x:c r="F396" s="4" t="str">
        <x:f>IFERROR(INDEX('Material routes'!$E$6:$E$1005,MATCH(V396,'Material routes'!$A$6:$A$1005,0)),"MISSING ID")</x:f>
        <x:v>Cargo quick-release latch</x:v>
      </x:c>
      <x:c r="G396" s="4" t="str">
        <x:f>IFERROR(INDEX('Material routes'!$F$6:$F$1005,MATCH(V396,'Material routes'!$A$6:$A$1005,0)),"MISSING ID")</x:f>
        <x:v>T4</x:v>
      </x:c>
      <x:c r="H396" s="4" t="str">
        <x:f>IFERROR(INDEX('Material routes'!$H$6:$H$1005,MATCH(V396,'Material routes'!$A$6:$A$1005,0)),"MISSING ID")</x:f>
        <x:v>Crafting component</x:v>
      </x:c>
      <x:c r="I396" s="4" t="str">
        <x:f>IFERROR(INDEX('Material routes'!$G$6:$G$1005,MATCH(V396,'Material routes'!$A$6:$A$1005,0)),"MISSING ID")</x:f>
        <x:v>Crafting components</x:v>
      </x:c>
      <x:c r="J396" s="4" t="str">
        <x:f>IFERROR(INDEX('Material routes'!$B$6:$B$1005,MATCH(U396,'Material routes'!$A$6:$A$1005,0)),"MISSING ID")</x:f>
        <x:v>design.review.proposal_legger_release_latch</x:v>
      </x:c>
      <x:c r="K396" s="4" t="str">
        <x:f>IFERROR(INDEX('Crafting recipes'!$C$6:$C$1005,MATCH(J396,'Crafting recipes'!$A$6:$A$1005,0)),"MISSING ID")</x:f>
        <x:v>Material refinement</x:v>
      </x:c>
      <x:c r="L396" s="4" t="str">
        <x:f>IFERROR(INDEX('Material routes'!$K$6:$K$1005,MATCH(U396,'Material routes'!$A$6:$A$1005,0)),"MISSING ID")</x:f>
        <x:v>Proposal</x:v>
      </x:c>
      <x:c r="M396" s="4" t="str">
        <x:f>IFERROR(INDEX('Material routes'!$M$6:$M$1005,MATCH(U396,'Material routes'!$A$6:$A$1005,0)),"MISSING ID")</x:f>
        <x:v>Partial proposal</x:v>
      </x:c>
      <x:c r="N396" s="4" t="str">
        <x:f>IF(IFERROR(INDEX('Material routes'!$I$6:$I$1005,MATCH(U396,'Material routes'!$A$6:$A$1005,0)),"MISSING ID")=0,"",IFERROR(INDEX('Material routes'!$I$6:$I$1005,MATCH(U396,'Material routes'!$A$6:$A$1005,0)),"MISSING ID"))</x:f>
      </x:c>
      <x:c r="O396" s="4" t="str">
        <x:f>IFERROR(INDEX('Material routes'!$J$6:$J$1005,MATCH(U396,'Material routes'!$A$6:$A$1005,0)),"MISSING ID")</x:f>
        <x:v>Unspecified</x:v>
      </x:c>
      <x:c r="P396" s="4" t="str">
        <x:f>IF(IFERROR(INDEX('Material routes'!$I$6:$I$1005,MATCH(V396,'Material routes'!$A$6:$A$1005,0)),"MISSING ID")=0,"",IFERROR(INDEX('Material routes'!$I$6:$I$1005,MATCH(V396,'Material routes'!$A$6:$A$1005,0)),"MISSING ID"))</x:f>
      </x:c>
      <x:c r="Q396" s="4" t="str">
        <x:f>IFERROR(INDEX('Material routes'!$J$6:$J$1005,MATCH(V396,'Material routes'!$A$6:$A$1005,0)),"MISSING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routes'!$D$6:$D$1005,MATCH(U396,'Material routes'!$A$6:$A$1005,0)),"MISSING ID")</x:f>
        <x:v>proposal.branch.spring_steel</x:v>
      </x:c>
      <x:c r="T396" s="4" t="str">
        <x:f>IFERROR(INDEX('Material routes'!$D$6:$D$1005,MATCH(V396,'Material routes'!$A$6:$A$1005,0)),"MISSING ID")</x:f>
        <x:v>proposal.legger.release_latch</x:v>
      </x:c>
      <x:c r="U396" s="4" t="str">
        <x:v>design.review.proposal_legger_release_latch.in.1</x:v>
      </x:c>
      <x:c r="V396" s="4" t="str">
        <x:v>design.review.proposal_legger_release_latch.out</x:v>
      </x:c>
    </x:row>
    <x:row r="397" ht="115" customHeight="1">
      <x:c r="A397" s="4" t="str">
        <x:f>IFERROR(INDEX('Material routes'!$E$6:$E$1005,MATCH(U397,'Material routes'!$A$6:$A$1005,0)),"MISSING ID")</x:f>
        <x:v>Steel stock</x:v>
      </x:c>
      <x:c r="B397" s="4" t="str">
        <x:f>IFERROR(INDEX('Material routes'!$F$6:$F$1005,MATCH(U397,'Material routes'!$A$6:$A$1005,0)),"MISSING ID")</x:f>
        <x:v>T2</x:v>
      </x:c>
      <x:c r="C397" s="4" t="str">
        <x:f>IFERROR(INDEX('Material routes'!$H$6:$H$1005,MATCH(U397,'Material routes'!$A$6:$A$1005,0)),"MISSING ID")</x:f>
        <x:v>Processed material</x:v>
      </x:c>
      <x:c r="D397" s="4" t="str">
        <x:f>IFERROR(INDEX('Material routes'!$G$6:$G$1005,MATCH(U397,'Material routes'!$A$6:$A$1005,0)),"MISSING ID")</x:f>
        <x:v>Resources</x:v>
      </x:c>
      <x:c r="E397" s="4" t="str">
        <x:f>IFERROR(INDEX('Material routes'!$C$6:$C$1005,MATCH(U397,'Material routes'!$A$6:$A$1005,0)),"MISSING ID")</x:f>
        <x:v>Ingredient candidate</x:v>
      </x:c>
      <x:c r="F397" s="4" t="str">
        <x:f>IFERROR(INDEX('Material routes'!$E$6:$E$1005,MATCH(V397,'Material routes'!$A$6:$A$1005,0)),"MISSING ID")</x:f>
        <x:v>Cargo quick-release latch</x:v>
      </x:c>
      <x:c r="G397" s="4" t="str">
        <x:f>IFERROR(INDEX('Material routes'!$F$6:$F$1005,MATCH(V397,'Material routes'!$A$6:$A$1005,0)),"MISSING ID")</x:f>
        <x:v>T4</x:v>
      </x:c>
      <x:c r="H397" s="4" t="str">
        <x:f>IFERROR(INDEX('Material routes'!$H$6:$H$1005,MATCH(V397,'Material routes'!$A$6:$A$1005,0)),"MISSING ID")</x:f>
        <x:v>Crafting component</x:v>
      </x:c>
      <x:c r="I397" s="4" t="str">
        <x:f>IFERROR(INDEX('Material routes'!$G$6:$G$1005,MATCH(V397,'Material routes'!$A$6:$A$1005,0)),"MISSING ID")</x:f>
        <x:v>Crafting components</x:v>
      </x:c>
      <x:c r="J397" s="4" t="str">
        <x:f>IFERROR(INDEX('Material routes'!$B$6:$B$1005,MATCH(U397,'Material routes'!$A$6:$A$1005,0)),"MISSING ID")</x:f>
        <x:v>design.review.proposal_legger_release_latch</x:v>
      </x:c>
      <x:c r="K397" s="4" t="str">
        <x:f>IFERROR(INDEX('Crafting recipes'!$C$6:$C$1005,MATCH(J397,'Crafting recipes'!$A$6:$A$1005,0)),"MISSING ID")</x:f>
        <x:v>Material refinement</x:v>
      </x:c>
      <x:c r="L397" s="4" t="str">
        <x:f>IFERROR(INDEX('Material routes'!$K$6:$K$1005,MATCH(U397,'Material routes'!$A$6:$A$1005,0)),"MISSING ID")</x:f>
        <x:v>Proposal</x:v>
      </x:c>
      <x:c r="M397" s="4" t="str">
        <x:f>IFERROR(INDEX('Material routes'!$M$6:$M$1005,MATCH(U397,'Material routes'!$A$6:$A$1005,0)),"MISSING ID")</x:f>
        <x:v>Partial proposal</x:v>
      </x:c>
      <x:c r="N397" s="4" t="str">
        <x:f>IF(IFERROR(INDEX('Material routes'!$I$6:$I$1005,MATCH(U397,'Material routes'!$A$6:$A$1005,0)),"MISSING ID")=0,"",IFERROR(INDEX('Material routes'!$I$6:$I$1005,MATCH(U397,'Material routes'!$A$6:$A$1005,0)),"MISSING ID"))</x:f>
      </x:c>
      <x:c r="O397" s="4" t="str">
        <x:f>IFERROR(INDEX('Material routes'!$J$6:$J$1005,MATCH(U397,'Material routes'!$A$6:$A$1005,0)),"MISSING ID")</x:f>
        <x:v>Unspecified</x:v>
      </x:c>
      <x:c r="P397" s="4" t="str">
        <x:f>IF(IFERROR(INDEX('Material routes'!$I$6:$I$1005,MATCH(V397,'Material routes'!$A$6:$A$1005,0)),"MISSING ID")=0,"",IFERROR(INDEX('Material routes'!$I$6:$I$1005,MATCH(V397,'Material routes'!$A$6:$A$1005,0)),"MISSING ID"))</x:f>
      </x:c>
      <x:c r="Q397" s="4" t="str">
        <x:f>IFERROR(INDEX('Material routes'!$J$6:$J$1005,MATCH(V397,'Material routes'!$A$6:$A$1005,0)),"MISSING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routes'!$D$6:$D$1005,MATCH(U397,'Material routes'!$A$6:$A$1005,0)),"MISSING ID")</x:f>
        <x:v>author.metallurgy.steel_stock</x:v>
      </x:c>
      <x:c r="T397" s="4" t="str">
        <x:f>IFERROR(INDEX('Material routes'!$D$6:$D$1005,MATCH(V397,'Material routes'!$A$6:$A$1005,0)),"MISSING ID")</x:f>
        <x:v>proposal.legger.release_latch</x:v>
      </x:c>
      <x:c r="U397" s="4" t="str">
        <x:v>design.review.proposal_legger_release_latch.in.2</x:v>
      </x:c>
      <x:c r="V397" s="4" t="str">
        <x:v>design.review.proposal_legger_release_latch.out</x:v>
      </x:c>
    </x:row>
    <x:row r="398" ht="115" customHeight="1">
      <x:c r="A398" s="4" t="str">
        <x:f>IFERROR(INDEX('Material routes'!$E$6:$E$1005,MATCH(U398,'Material routes'!$A$6:$A$1005,0)),"MISSING ID")</x:f>
        <x:v>Prepared bronze bearing stock</x:v>
      </x:c>
      <x:c r="B398" s="4" t="str">
        <x:f>IFERROR(INDEX('Material routes'!$F$6:$F$1005,MATCH(U398,'Material routes'!$A$6:$A$1005,0)),"MISSING ID")</x:f>
        <x:v>T2</x:v>
      </x:c>
      <x:c r="C398" s="4" t="str">
        <x:f>IFERROR(INDEX('Material routes'!$H$6:$H$1005,MATCH(U398,'Material routes'!$A$6:$A$1005,0)),"MISSING ID")</x:f>
        <x:v>Processed material</x:v>
      </x:c>
      <x:c r="D398" s="4" t="str">
        <x:f>IFERROR(INDEX('Material routes'!$G$6:$G$1005,MATCH(U398,'Material routes'!$A$6:$A$1005,0)),"MISSING ID")</x:f>
        <x:v>Resources</x:v>
      </x:c>
      <x:c r="E398" s="4" t="str">
        <x:f>IFERROR(INDEX('Material routes'!$C$6:$C$1005,MATCH(U398,'Material routes'!$A$6:$A$1005,0)),"MISSING ID")</x:f>
        <x:v>Ingredient candidate</x:v>
      </x:c>
      <x:c r="F398" s="4" t="str">
        <x:f>IFERROR(INDEX('Material routes'!$E$6:$E$1005,MATCH(V398,'Material routes'!$A$6:$A$1005,0)),"MISSING ID")</x:f>
        <x:v>Cargo quick-release latch</x:v>
      </x:c>
      <x:c r="G398" s="4" t="str">
        <x:f>IFERROR(INDEX('Material routes'!$F$6:$F$1005,MATCH(V398,'Material routes'!$A$6:$A$1005,0)),"MISSING ID")</x:f>
        <x:v>T4</x:v>
      </x:c>
      <x:c r="H398" s="4" t="str">
        <x:f>IFERROR(INDEX('Material routes'!$H$6:$H$1005,MATCH(V398,'Material routes'!$A$6:$A$1005,0)),"MISSING ID")</x:f>
        <x:v>Crafting component</x:v>
      </x:c>
      <x:c r="I398" s="4" t="str">
        <x:f>IFERROR(INDEX('Material routes'!$G$6:$G$1005,MATCH(V398,'Material routes'!$A$6:$A$1005,0)),"MISSING ID")</x:f>
        <x:v>Crafting components</x:v>
      </x:c>
      <x:c r="J398" s="4" t="str">
        <x:f>IFERROR(INDEX('Material routes'!$B$6:$B$1005,MATCH(U398,'Material routes'!$A$6:$A$1005,0)),"MISSING ID")</x:f>
        <x:v>design.review.proposal_legger_release_latch</x:v>
      </x:c>
      <x:c r="K398" s="4" t="str">
        <x:f>IFERROR(INDEX('Crafting recipes'!$C$6:$C$1005,MATCH(J398,'Crafting recipes'!$A$6:$A$1005,0)),"MISSING ID")</x:f>
        <x:v>Material refinement</x:v>
      </x:c>
      <x:c r="L398" s="4" t="str">
        <x:f>IFERROR(INDEX('Material routes'!$K$6:$K$1005,MATCH(U398,'Material routes'!$A$6:$A$1005,0)),"MISSING ID")</x:f>
        <x:v>Proposal</x:v>
      </x:c>
      <x:c r="M398" s="4" t="str">
        <x:f>IFERROR(INDEX('Material routes'!$M$6:$M$1005,MATCH(U398,'Material routes'!$A$6:$A$1005,0)),"MISSING ID")</x:f>
        <x:v>Partial proposal</x:v>
      </x:c>
      <x:c r="N398" s="4" t="str">
        <x:f>IF(IFERROR(INDEX('Material routes'!$I$6:$I$1005,MATCH(U398,'Material routes'!$A$6:$A$1005,0)),"MISSING ID")=0,"",IFERROR(INDEX('Material routes'!$I$6:$I$1005,MATCH(U398,'Material routes'!$A$6:$A$1005,0)),"MISSING ID"))</x:f>
      </x:c>
      <x:c r="O398" s="4" t="str">
        <x:f>IFERROR(INDEX('Material routes'!$J$6:$J$1005,MATCH(U398,'Material routes'!$A$6:$A$1005,0)),"MISSING ID")</x:f>
        <x:v>Unspecified</x:v>
      </x:c>
      <x:c r="P398" s="4" t="str">
        <x:f>IF(IFERROR(INDEX('Material routes'!$I$6:$I$1005,MATCH(V398,'Material routes'!$A$6:$A$1005,0)),"MISSING ID")=0,"",IFERROR(INDEX('Material routes'!$I$6:$I$1005,MATCH(V398,'Material routes'!$A$6:$A$1005,0)),"MISSING ID"))</x:f>
      </x:c>
      <x:c r="Q398" s="4" t="str">
        <x:f>IFERROR(INDEX('Material routes'!$J$6:$J$1005,MATCH(V398,'Material routes'!$A$6:$A$1005,0)),"MISSING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routes'!$D$6:$D$1005,MATCH(U398,'Material routes'!$A$6:$A$1005,0)),"MISSING ID")</x:f>
        <x:v>proposal.branch.bearing_bronze</x:v>
      </x:c>
      <x:c r="T398" s="4" t="str">
        <x:f>IFERROR(INDEX('Material routes'!$D$6:$D$1005,MATCH(V398,'Material routes'!$A$6:$A$1005,0)),"MISSING ID")</x:f>
        <x:v>proposal.legger.release_latch</x:v>
      </x:c>
      <x:c r="U398" s="4" t="str">
        <x:v>design.review.proposal_legger_release_latch.in.3</x:v>
      </x:c>
      <x:c r="V398" s="4" t="str">
        <x:v>design.review.proposal_legger_release_latch.out</x:v>
      </x:c>
    </x:row>
    <x:row r="399" ht="115" customHeight="1">
      <x:c r="A399" s="4" t="str">
        <x:f>IFERROR(INDEX('Material routes'!$E$6:$E$1005,MATCH(U399,'Material routes'!$A$6:$A$1005,0)),"MISSING ID")</x:f>
        <x:v>Steel stock</x:v>
      </x:c>
      <x:c r="B399" s="4" t="str">
        <x:f>IFERROR(INDEX('Material routes'!$F$6:$F$1005,MATCH(U399,'Material routes'!$A$6:$A$1005,0)),"MISSING ID")</x:f>
        <x:v>T2</x:v>
      </x:c>
      <x:c r="C399" s="4" t="str">
        <x:f>IFERROR(INDEX('Material routes'!$H$6:$H$1005,MATCH(U399,'Material routes'!$A$6:$A$1005,0)),"MISSING ID")</x:f>
        <x:v>Processed material</x:v>
      </x:c>
      <x:c r="D399" s="4" t="str">
        <x:f>IFERROR(INDEX('Material routes'!$G$6:$G$1005,MATCH(U399,'Material routes'!$A$6:$A$1005,0)),"MISSING ID")</x:f>
        <x:v>Resources</x:v>
      </x:c>
      <x:c r="E399" s="4" t="str">
        <x:f>IFERROR(INDEX('Material routes'!$C$6:$C$1005,MATCH(U399,'Material routes'!$A$6:$A$1005,0)),"MISSING ID")</x:f>
        <x:v>Ingredient candidate</x:v>
      </x:c>
      <x:c r="F399" s="4" t="str">
        <x:f>IFERROR(INDEX('Material routes'!$E$6:$E$1005,MATCH(V399,'Material routes'!$A$6:$A$1005,0)),"MISSING ID")</x:f>
        <x:v>Legger inspection hatch</x:v>
      </x:c>
      <x:c r="G399" s="4" t="str">
        <x:f>IFERROR(INDEX('Material routes'!$F$6:$F$1005,MATCH(V399,'Material routes'!$A$6:$A$1005,0)),"MISSING ID")</x:f>
        <x:v>T3</x:v>
      </x:c>
      <x:c r="H399" s="4" t="str">
        <x:f>IFERROR(INDEX('Material routes'!$H$6:$H$1005,MATCH(V399,'Material routes'!$A$6:$A$1005,0)),"MISSING ID")</x:f>
        <x:v>Crafting component</x:v>
      </x:c>
      <x:c r="I399" s="4" t="str">
        <x:f>IFERROR(INDEX('Material routes'!$G$6:$G$1005,MATCH(V399,'Material routes'!$A$6:$A$1005,0)),"MISSING ID")</x:f>
        <x:v>Crafting components</x:v>
      </x:c>
      <x:c r="J399" s="4" t="str">
        <x:f>IFERROR(INDEX('Material routes'!$B$6:$B$1005,MATCH(U399,'Material routes'!$A$6:$A$1005,0)),"MISSING ID")</x:f>
        <x:v>design.review.proposal_legger_inspection_hatch</x:v>
      </x:c>
      <x:c r="K399" s="4" t="str">
        <x:f>IFERROR(INDEX('Crafting recipes'!$C$6:$C$1005,MATCH(J399,'Crafting recipes'!$A$6:$A$1005,0)),"MISSING ID")</x:f>
        <x:v>Material refinement</x:v>
      </x:c>
      <x:c r="L399" s="4" t="str">
        <x:f>IFERROR(INDEX('Material routes'!$K$6:$K$1005,MATCH(U399,'Material routes'!$A$6:$A$1005,0)),"MISSING ID")</x:f>
        <x:v>Proposal</x:v>
      </x:c>
      <x:c r="M399" s="4" t="str">
        <x:f>IFERROR(INDEX('Material routes'!$M$6:$M$1005,MATCH(U399,'Material routes'!$A$6:$A$1005,0)),"MISSING ID")</x:f>
        <x:v>Partial proposal</x:v>
      </x:c>
      <x:c r="N399" s="4" t="str">
        <x:f>IF(IFERROR(INDEX('Material routes'!$I$6:$I$1005,MATCH(U399,'Material routes'!$A$6:$A$1005,0)),"MISSING ID")=0,"",IFERROR(INDEX('Material routes'!$I$6:$I$1005,MATCH(U399,'Material routes'!$A$6:$A$1005,0)),"MISSING ID"))</x:f>
      </x:c>
      <x:c r="O399" s="4" t="str">
        <x:f>IFERROR(INDEX('Material routes'!$J$6:$J$1005,MATCH(U399,'Material routes'!$A$6:$A$1005,0)),"MISSING ID")</x:f>
        <x:v>Unspecified</x:v>
      </x:c>
      <x:c r="P399" s="4" t="str">
        <x:f>IF(IFERROR(INDEX('Material routes'!$I$6:$I$1005,MATCH(V399,'Material routes'!$A$6:$A$1005,0)),"MISSING ID")=0,"",IFERROR(INDEX('Material routes'!$I$6:$I$1005,MATCH(V399,'Material routes'!$A$6:$A$1005,0)),"MISSING ID"))</x:f>
      </x:c>
      <x:c r="Q399" s="4" t="str">
        <x:f>IFERROR(INDEX('Material routes'!$J$6:$J$1005,MATCH(V399,'Material routes'!$A$6:$A$1005,0)),"MISSING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routes'!$D$6:$D$1005,MATCH(U399,'Material routes'!$A$6:$A$1005,0)),"MISSING ID")</x:f>
        <x:v>author.metallurgy.steel_stock</x:v>
      </x:c>
      <x:c r="T399" s="4" t="str">
        <x:f>IFERROR(INDEX('Material routes'!$D$6:$D$1005,MATCH(V399,'Material routes'!$A$6:$A$1005,0)),"MISSING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routes'!$E$6:$E$1005,MATCH(U400,'Material routes'!$A$6:$A$1005,0)),"MISSING ID")</x:f>
        <x:v>Prepared bronze bearing stock</x:v>
      </x:c>
      <x:c r="B400" s="4" t="str">
        <x:f>IFERROR(INDEX('Material routes'!$F$6:$F$1005,MATCH(U400,'Material routes'!$A$6:$A$1005,0)),"MISSING ID")</x:f>
        <x:v>T2</x:v>
      </x:c>
      <x:c r="C400" s="4" t="str">
        <x:f>IFERROR(INDEX('Material routes'!$H$6:$H$1005,MATCH(U400,'Material routes'!$A$6:$A$1005,0)),"MISSING ID")</x:f>
        <x:v>Processed material</x:v>
      </x:c>
      <x:c r="D400" s="4" t="str">
        <x:f>IFERROR(INDEX('Material routes'!$G$6:$G$1005,MATCH(U400,'Material routes'!$A$6:$A$1005,0)),"MISSING ID")</x:f>
        <x:v>Resources</x:v>
      </x:c>
      <x:c r="E400" s="4" t="str">
        <x:f>IFERROR(INDEX('Material routes'!$C$6:$C$1005,MATCH(U400,'Material routes'!$A$6:$A$1005,0)),"MISSING ID")</x:f>
        <x:v>Ingredient candidate</x:v>
      </x:c>
      <x:c r="F400" s="4" t="str">
        <x:f>IFERROR(INDEX('Material routes'!$E$6:$E$1005,MATCH(V400,'Material routes'!$A$6:$A$1005,0)),"MISSING ID")</x:f>
        <x:v>Legger inspection hatch</x:v>
      </x:c>
      <x:c r="G400" s="4" t="str">
        <x:f>IFERROR(INDEX('Material routes'!$F$6:$F$1005,MATCH(V400,'Material routes'!$A$6:$A$1005,0)),"MISSING ID")</x:f>
        <x:v>T3</x:v>
      </x:c>
      <x:c r="H400" s="4" t="str">
        <x:f>IFERROR(INDEX('Material routes'!$H$6:$H$1005,MATCH(V400,'Material routes'!$A$6:$A$1005,0)),"MISSING ID")</x:f>
        <x:v>Crafting component</x:v>
      </x:c>
      <x:c r="I400" s="4" t="str">
        <x:f>IFERROR(INDEX('Material routes'!$G$6:$G$1005,MATCH(V400,'Material routes'!$A$6:$A$1005,0)),"MISSING ID")</x:f>
        <x:v>Crafting components</x:v>
      </x:c>
      <x:c r="J400" s="4" t="str">
        <x:f>IFERROR(INDEX('Material routes'!$B$6:$B$1005,MATCH(U400,'Material routes'!$A$6:$A$1005,0)),"MISSING ID")</x:f>
        <x:v>design.review.proposal_legger_inspection_hatch</x:v>
      </x:c>
      <x:c r="K400" s="4" t="str">
        <x:f>IFERROR(INDEX('Crafting recipes'!$C$6:$C$1005,MATCH(J400,'Crafting recipes'!$A$6:$A$1005,0)),"MISSING ID")</x:f>
        <x:v>Material refinement</x:v>
      </x:c>
      <x:c r="L400" s="4" t="str">
        <x:f>IFERROR(INDEX('Material routes'!$K$6:$K$1005,MATCH(U400,'Material routes'!$A$6:$A$1005,0)),"MISSING ID")</x:f>
        <x:v>Proposal</x:v>
      </x:c>
      <x:c r="M400" s="4" t="str">
        <x:f>IFERROR(INDEX('Material routes'!$M$6:$M$1005,MATCH(U400,'Material routes'!$A$6:$A$1005,0)),"MISSING ID")</x:f>
        <x:v>Partial proposal</x:v>
      </x:c>
      <x:c r="N400" s="4" t="str">
        <x:f>IF(IFERROR(INDEX('Material routes'!$I$6:$I$1005,MATCH(U400,'Material routes'!$A$6:$A$1005,0)),"MISSING ID")=0,"",IFERROR(INDEX('Material routes'!$I$6:$I$1005,MATCH(U400,'Material routes'!$A$6:$A$1005,0)),"MISSING ID"))</x:f>
      </x:c>
      <x:c r="O400" s="4" t="str">
        <x:f>IFERROR(INDEX('Material routes'!$J$6:$J$1005,MATCH(U400,'Material routes'!$A$6:$A$1005,0)),"MISSING ID")</x:f>
        <x:v>Unspecified</x:v>
      </x:c>
      <x:c r="P400" s="4" t="str">
        <x:f>IF(IFERROR(INDEX('Material routes'!$I$6:$I$1005,MATCH(V400,'Material routes'!$A$6:$A$1005,0)),"MISSING ID")=0,"",IFERROR(INDEX('Material routes'!$I$6:$I$1005,MATCH(V400,'Material routes'!$A$6:$A$1005,0)),"MISSING ID"))</x:f>
      </x:c>
      <x:c r="Q400" s="4" t="str">
        <x:f>IFERROR(INDEX('Material routes'!$J$6:$J$1005,MATCH(V400,'Material routes'!$A$6:$A$1005,0)),"MISSING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routes'!$D$6:$D$1005,MATCH(U400,'Material routes'!$A$6:$A$1005,0)),"MISSING ID")</x:f>
        <x:v>proposal.branch.bearing_bronze</x:v>
      </x:c>
      <x:c r="T400" s="4" t="str">
        <x:f>IFERROR(INDEX('Material routes'!$D$6:$D$1005,MATCH(V400,'Material routes'!$A$6:$A$1005,0)),"MISSING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routes'!$E$6:$E$1005,MATCH(U401,'Material routes'!$A$6:$A$1005,0)),"MISSING ID")</x:f>
        <x:v>Filled faunal seal compound</x:v>
      </x:c>
      <x:c r="B401" s="4" t="str">
        <x:f>IFERROR(INDEX('Material routes'!$F$6:$F$1005,MATCH(U401,'Material routes'!$A$6:$A$1005,0)),"MISSING ID")</x:f>
        <x:v>T2</x:v>
      </x:c>
      <x:c r="C401" s="4" t="str">
        <x:f>IFERROR(INDEX('Material routes'!$H$6:$H$1005,MATCH(U401,'Material routes'!$A$6:$A$1005,0)),"MISSING ID")</x:f>
        <x:v>Chemical material</x:v>
      </x:c>
      <x:c r="D401" s="4" t="str">
        <x:f>IFERROR(INDEX('Material routes'!$G$6:$G$1005,MATCH(U401,'Material routes'!$A$6:$A$1005,0)),"MISSING ID")</x:f>
        <x:v>Resources</x:v>
      </x:c>
      <x:c r="E401" s="4" t="str">
        <x:f>IFERROR(INDEX('Material routes'!$C$6:$C$1005,MATCH(U401,'Material routes'!$A$6:$A$1005,0)),"MISSING ID")</x:f>
        <x:v>Ingredient candidate</x:v>
      </x:c>
      <x:c r="F401" s="4" t="str">
        <x:f>IFERROR(INDEX('Material routes'!$E$6:$E$1005,MATCH(V401,'Material routes'!$A$6:$A$1005,0)),"MISSING ID")</x:f>
        <x:v>Legger inspection hatch</x:v>
      </x:c>
      <x:c r="G401" s="4" t="str">
        <x:f>IFERROR(INDEX('Material routes'!$F$6:$F$1005,MATCH(V401,'Material routes'!$A$6:$A$1005,0)),"MISSING ID")</x:f>
        <x:v>T3</x:v>
      </x:c>
      <x:c r="H401" s="4" t="str">
        <x:f>IFERROR(INDEX('Material routes'!$H$6:$H$1005,MATCH(V401,'Material routes'!$A$6:$A$1005,0)),"MISSING ID")</x:f>
        <x:v>Crafting component</x:v>
      </x:c>
      <x:c r="I401" s="4" t="str">
        <x:f>IFERROR(INDEX('Material routes'!$G$6:$G$1005,MATCH(V401,'Material routes'!$A$6:$A$1005,0)),"MISSING ID")</x:f>
        <x:v>Crafting components</x:v>
      </x:c>
      <x:c r="J401" s="4" t="str">
        <x:f>IFERROR(INDEX('Material routes'!$B$6:$B$1005,MATCH(U401,'Material routes'!$A$6:$A$1005,0)),"MISSING ID")</x:f>
        <x:v>design.review.proposal_legger_inspection_hatch</x:v>
      </x:c>
      <x:c r="K401" s="4" t="str">
        <x:f>IFERROR(INDEX('Crafting recipes'!$C$6:$C$1005,MATCH(J401,'Crafting recipes'!$A$6:$A$1005,0)),"MISSING ID")</x:f>
        <x:v>Material refinement</x:v>
      </x:c>
      <x:c r="L401" s="4" t="str">
        <x:f>IFERROR(INDEX('Material routes'!$K$6:$K$1005,MATCH(U401,'Material routes'!$A$6:$A$1005,0)),"MISSING ID")</x:f>
        <x:v>Proposal</x:v>
      </x:c>
      <x:c r="M401" s="4" t="str">
        <x:f>IFERROR(INDEX('Material routes'!$M$6:$M$1005,MATCH(U401,'Material routes'!$A$6:$A$1005,0)),"MISSING ID")</x:f>
        <x:v>Partial proposal</x:v>
      </x:c>
      <x:c r="N401" s="4" t="str">
        <x:f>IF(IFERROR(INDEX('Material routes'!$I$6:$I$1005,MATCH(U401,'Material routes'!$A$6:$A$1005,0)),"MISSING ID")=0,"",IFERROR(INDEX('Material routes'!$I$6:$I$1005,MATCH(U401,'Material routes'!$A$6:$A$1005,0)),"MISSING ID"))</x:f>
      </x:c>
      <x:c r="O401" s="4" t="str">
        <x:f>IFERROR(INDEX('Material routes'!$J$6:$J$1005,MATCH(U401,'Material routes'!$A$6:$A$1005,0)),"MISSING ID")</x:f>
        <x:v>Unspecified</x:v>
      </x:c>
      <x:c r="P401" s="4" t="str">
        <x:f>IF(IFERROR(INDEX('Material routes'!$I$6:$I$1005,MATCH(V401,'Material routes'!$A$6:$A$1005,0)),"MISSING ID")=0,"",IFERROR(INDEX('Material routes'!$I$6:$I$1005,MATCH(V401,'Material routes'!$A$6:$A$1005,0)),"MISSING ID"))</x:f>
      </x:c>
      <x:c r="Q401" s="4" t="str">
        <x:f>IFERROR(INDEX('Material routes'!$J$6:$J$1005,MATCH(V401,'Material routes'!$A$6:$A$1005,0)),"MISSING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routes'!$D$6:$D$1005,MATCH(U401,'Material routes'!$A$6:$A$1005,0)),"MISSING ID")</x:f>
        <x:v>proposal.branch.filled_seal</x:v>
      </x:c>
      <x:c r="T401" s="4" t="str">
        <x:f>IFERROR(INDEX('Material routes'!$D$6:$D$1005,MATCH(V401,'Material routes'!$A$6:$A$1005,0)),"MISSING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routes'!$E$6:$E$1005,MATCH(U402,'Material routes'!$A$6:$A$1005,0)),"MISSING ID")</x:f>
        <x:v>Steel stock</x:v>
      </x:c>
      <x:c r="B402" s="4" t="str">
        <x:f>IFERROR(INDEX('Material routes'!$F$6:$F$1005,MATCH(U402,'Material routes'!$A$6:$A$1005,0)),"MISSING ID")</x:f>
        <x:v>T2</x:v>
      </x:c>
      <x:c r="C402" s="4" t="str">
        <x:f>IFERROR(INDEX('Material routes'!$H$6:$H$1005,MATCH(U402,'Material routes'!$A$6:$A$1005,0)),"MISSING ID")</x:f>
        <x:v>Processed material</x:v>
      </x:c>
      <x:c r="D402" s="4" t="str">
        <x:f>IFERROR(INDEX('Material routes'!$G$6:$G$1005,MATCH(U402,'Material routes'!$A$6:$A$1005,0)),"MISSING ID")</x:f>
        <x:v>Resources</x:v>
      </x:c>
      <x:c r="E402" s="4" t="str">
        <x:f>IFERROR(INDEX('Material routes'!$C$6:$C$1005,MATCH(U402,'Material routes'!$A$6:$A$1005,0)),"MISSING ID")</x:f>
        <x:v>Ingredient candidate</x:v>
      </x:c>
      <x:c r="F402" s="4" t="str">
        <x:f>IFERROR(INDEX('Material routes'!$E$6:$E$1005,MATCH(V402,'Material routes'!$A$6:$A$1005,0)),"MISSING ID")</x:f>
        <x:v>Chassis alignment-shim set</x:v>
      </x:c>
      <x:c r="G402" s="4" t="str">
        <x:f>IFERROR(INDEX('Material routes'!$F$6:$F$1005,MATCH(V402,'Material routes'!$A$6:$A$1005,0)),"MISSING ID")</x:f>
        <x:v>T3</x:v>
      </x:c>
      <x:c r="H402" s="4" t="str">
        <x:f>IFERROR(INDEX('Material routes'!$H$6:$H$1005,MATCH(V402,'Material routes'!$A$6:$A$1005,0)),"MISSING ID")</x:f>
        <x:v>Crafting component</x:v>
      </x:c>
      <x:c r="I402" s="4" t="str">
        <x:f>IFERROR(INDEX('Material routes'!$G$6:$G$1005,MATCH(V402,'Material routes'!$A$6:$A$1005,0)),"MISSING ID")</x:f>
        <x:v>Crafting components</x:v>
      </x:c>
      <x:c r="J402" s="4" t="str">
        <x:f>IFERROR(INDEX('Material routes'!$B$6:$B$1005,MATCH(U402,'Material routes'!$A$6:$A$1005,0)),"MISSING ID")</x:f>
        <x:v>design.review.proposal_legger_alignment_shims</x:v>
      </x:c>
      <x:c r="K402" s="4" t="str">
        <x:f>IFERROR(INDEX('Crafting recipes'!$C$6:$C$1005,MATCH(J402,'Crafting recipes'!$A$6:$A$1005,0)),"MISSING ID")</x:f>
        <x:v>Material refinement</x:v>
      </x:c>
      <x:c r="L402" s="4" t="str">
        <x:f>IFERROR(INDEX('Material routes'!$K$6:$K$1005,MATCH(U402,'Material routes'!$A$6:$A$1005,0)),"MISSING ID")</x:f>
        <x:v>Proposal</x:v>
      </x:c>
      <x:c r="M402" s="4" t="str">
        <x:f>IFERROR(INDEX('Material routes'!$M$6:$M$1005,MATCH(U402,'Material routes'!$A$6:$A$1005,0)),"MISSING ID")</x:f>
        <x:v>Partial proposal</x:v>
      </x:c>
      <x:c r="N402" s="4" t="str">
        <x:f>IF(IFERROR(INDEX('Material routes'!$I$6:$I$1005,MATCH(U402,'Material routes'!$A$6:$A$1005,0)),"MISSING ID")=0,"",IFERROR(INDEX('Material routes'!$I$6:$I$1005,MATCH(U402,'Material routes'!$A$6:$A$1005,0)),"MISSING ID"))</x:f>
      </x:c>
      <x:c r="O402" s="4" t="str">
        <x:f>IFERROR(INDEX('Material routes'!$J$6:$J$1005,MATCH(U402,'Material routes'!$A$6:$A$1005,0)),"MISSING ID")</x:f>
        <x:v>Unspecified</x:v>
      </x:c>
      <x:c r="P402" s="4" t="str">
        <x:f>IF(IFERROR(INDEX('Material routes'!$I$6:$I$1005,MATCH(V402,'Material routes'!$A$6:$A$1005,0)),"MISSING ID")=0,"",IFERROR(INDEX('Material routes'!$I$6:$I$1005,MATCH(V402,'Material routes'!$A$6:$A$1005,0)),"MISSING ID"))</x:f>
      </x:c>
      <x:c r="Q402" s="4" t="str">
        <x:f>IFERROR(INDEX('Material routes'!$J$6:$J$1005,MATCH(V402,'Material routes'!$A$6:$A$1005,0)),"MISSING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routes'!$D$6:$D$1005,MATCH(U402,'Material routes'!$A$6:$A$1005,0)),"MISSING ID")</x:f>
        <x:v>author.metallurgy.steel_stock</x:v>
      </x:c>
      <x:c r="T402" s="4" t="str">
        <x:f>IFERROR(INDEX('Material routes'!$D$6:$D$1005,MATCH(V402,'Material routes'!$A$6:$A$1005,0)),"MISSING ID")</x:f>
        <x:v>proposal.legger.alignment_shims</x:v>
      </x:c>
      <x:c r="U402" s="4" t="str">
        <x:v>design.review.proposal_legger_alignment_shims.in.1</x:v>
      </x:c>
      <x:c r="V402" s="4" t="str">
        <x:v>design.review.proposal_legger_alignment_shims.out</x:v>
      </x:c>
    </x:row>
    <x:row r="403" ht="115" customHeight="1">
      <x:c r="A403" s="4" t="str">
        <x:f>IFERROR(INDEX('Material routes'!$E$6:$E$1005,MATCH(U403,'Material routes'!$A$6:$A$1005,0)),"MISSING ID")</x:f>
        <x:v>Graded abrasive grit</x:v>
      </x:c>
      <x:c r="B403" s="4" t="str">
        <x:f>IFERROR(INDEX('Material routes'!$F$6:$F$1005,MATCH(U403,'Material routes'!$A$6:$A$1005,0)),"MISSING ID")</x:f>
        <x:v>T1</x:v>
      </x:c>
      <x:c r="C403" s="4" t="str">
        <x:f>IFERROR(INDEX('Material routes'!$H$6:$H$1005,MATCH(U403,'Material routes'!$A$6:$A$1005,0)),"MISSING ID")</x:f>
        <x:v>Processed material</x:v>
      </x:c>
      <x:c r="D403" s="4" t="str">
        <x:f>IFERROR(INDEX('Material routes'!$G$6:$G$1005,MATCH(U403,'Material routes'!$A$6:$A$1005,0)),"MISSING ID")</x:f>
        <x:v>Resources</x:v>
      </x:c>
      <x:c r="E403" s="4" t="str">
        <x:f>IFERROR(INDEX('Material routes'!$C$6:$C$1005,MATCH(U403,'Material routes'!$A$6:$A$1005,0)),"MISSING ID")</x:f>
        <x:v>Ingredient candidate</x:v>
      </x:c>
      <x:c r="F403" s="4" t="str">
        <x:f>IFERROR(INDEX('Material routes'!$E$6:$E$1005,MATCH(V403,'Material routes'!$A$6:$A$1005,0)),"MISSING ID")</x:f>
        <x:v>Chassis alignment-shim set</x:v>
      </x:c>
      <x:c r="G403" s="4" t="str">
        <x:f>IFERROR(INDEX('Material routes'!$F$6:$F$1005,MATCH(V403,'Material routes'!$A$6:$A$1005,0)),"MISSING ID")</x:f>
        <x:v>T3</x:v>
      </x:c>
      <x:c r="H403" s="4" t="str">
        <x:f>IFERROR(INDEX('Material routes'!$H$6:$H$1005,MATCH(V403,'Material routes'!$A$6:$A$1005,0)),"MISSING ID")</x:f>
        <x:v>Crafting component</x:v>
      </x:c>
      <x:c r="I403" s="4" t="str">
        <x:f>IFERROR(INDEX('Material routes'!$G$6:$G$1005,MATCH(V403,'Material routes'!$A$6:$A$1005,0)),"MISSING ID")</x:f>
        <x:v>Crafting components</x:v>
      </x:c>
      <x:c r="J403" s="4" t="str">
        <x:f>IFERROR(INDEX('Material routes'!$B$6:$B$1005,MATCH(U403,'Material routes'!$A$6:$A$1005,0)),"MISSING ID")</x:f>
        <x:v>design.review.proposal_legger_alignment_shims</x:v>
      </x:c>
      <x:c r="K403" s="4" t="str">
        <x:f>IFERROR(INDEX('Crafting recipes'!$C$6:$C$1005,MATCH(J403,'Crafting recipes'!$A$6:$A$1005,0)),"MISSING ID")</x:f>
        <x:v>Material refinement</x:v>
      </x:c>
      <x:c r="L403" s="4" t="str">
        <x:f>IFERROR(INDEX('Material routes'!$K$6:$K$1005,MATCH(U403,'Material routes'!$A$6:$A$1005,0)),"MISSING ID")</x:f>
        <x:v>Proposal</x:v>
      </x:c>
      <x:c r="M403" s="4" t="str">
        <x:f>IFERROR(INDEX('Material routes'!$M$6:$M$1005,MATCH(U403,'Material routes'!$A$6:$A$1005,0)),"MISSING ID")</x:f>
        <x:v>Partial proposal</x:v>
      </x:c>
      <x:c r="N403" s="4" t="str">
        <x:f>IF(IFERROR(INDEX('Material routes'!$I$6:$I$1005,MATCH(U403,'Material routes'!$A$6:$A$1005,0)),"MISSING ID")=0,"",IFERROR(INDEX('Material routes'!$I$6:$I$1005,MATCH(U403,'Material routes'!$A$6:$A$1005,0)),"MISSING ID"))</x:f>
      </x:c>
      <x:c r="O403" s="4" t="str">
        <x:f>IFERROR(INDEX('Material routes'!$J$6:$J$1005,MATCH(U403,'Material routes'!$A$6:$A$1005,0)),"MISSING ID")</x:f>
        <x:v>Unspecified</x:v>
      </x:c>
      <x:c r="P403" s="4" t="str">
        <x:f>IF(IFERROR(INDEX('Material routes'!$I$6:$I$1005,MATCH(V403,'Material routes'!$A$6:$A$1005,0)),"MISSING ID")=0,"",IFERROR(INDEX('Material routes'!$I$6:$I$1005,MATCH(V403,'Material routes'!$A$6:$A$1005,0)),"MISSING ID"))</x:f>
      </x:c>
      <x:c r="Q403" s="4" t="str">
        <x:f>IFERROR(INDEX('Material routes'!$J$6:$J$1005,MATCH(V403,'Material routes'!$A$6:$A$1005,0)),"MISSING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routes'!$D$6:$D$1005,MATCH(U403,'Material routes'!$A$6:$A$1005,0)),"MISSING ID")</x:f>
        <x:v>proposal.natural.abrasive</x:v>
      </x:c>
      <x:c r="T403" s="4" t="str">
        <x:f>IFERROR(INDEX('Material routes'!$D$6:$D$1005,MATCH(V403,'Material routes'!$A$6:$A$1005,0)),"MISSING ID")</x:f>
        <x:v>proposal.legger.alignment_shims</x:v>
      </x:c>
      <x:c r="U403" s="4" t="str">
        <x:v>design.review.proposal_legger_alignment_shims.in.2</x:v>
      </x:c>
      <x:c r="V403" s="4" t="str">
        <x:v>design.review.proposal_legger_alignment_shims.out</x:v>
      </x:c>
    </x:row>
    <x:row r="404" ht="115" customHeight="1">
      <x:c r="A404" s="4" t="str">
        <x:f>IFERROR(INDEX('Material routes'!$E$6:$E$1005,MATCH(U404,'Material routes'!$A$6:$A$1005,0)),"MISSING ID")</x:f>
        <x:v>Steel stock</x:v>
      </x:c>
      <x:c r="B404" s="4" t="str">
        <x:f>IFERROR(INDEX('Material routes'!$F$6:$F$1005,MATCH(U404,'Material routes'!$A$6:$A$1005,0)),"MISSING ID")</x:f>
        <x:v>T2</x:v>
      </x:c>
      <x:c r="C404" s="4" t="str">
        <x:f>IFERROR(INDEX('Material routes'!$H$6:$H$1005,MATCH(U404,'Material routes'!$A$6:$A$1005,0)),"MISSING ID")</x:f>
        <x:v>Processed material</x:v>
      </x:c>
      <x:c r="D404" s="4" t="str">
        <x:f>IFERROR(INDEX('Material routes'!$G$6:$G$1005,MATCH(U404,'Material routes'!$A$6:$A$1005,0)),"MISSING ID")</x:f>
        <x:v>Resources</x:v>
      </x:c>
      <x:c r="E404" s="4" t="str">
        <x:f>IFERROR(INDEX('Material routes'!$C$6:$C$1005,MATCH(U404,'Material routes'!$A$6:$A$1005,0)),"MISSING ID")</x:f>
        <x:v>Ingredient candidate</x:v>
      </x:c>
      <x:c r="F404" s="4" t="str">
        <x:f>IFERROR(INDEX('Material routes'!$E$6:$E$1005,MATCH(V404,'Material routes'!$A$6:$A$1005,0)),"MISSING ID")</x:f>
        <x:v>Replaceable joint pin</x:v>
      </x:c>
      <x:c r="G404" s="4" t="str">
        <x:f>IFERROR(INDEX('Material routes'!$F$6:$F$1005,MATCH(V404,'Material routes'!$A$6:$A$1005,0)),"MISSING ID")</x:f>
        <x:v>T3</x:v>
      </x:c>
      <x:c r="H404" s="4" t="str">
        <x:f>IFERROR(INDEX('Material routes'!$H$6:$H$1005,MATCH(V404,'Material routes'!$A$6:$A$1005,0)),"MISSING ID")</x:f>
        <x:v>Crafting component</x:v>
      </x:c>
      <x:c r="I404" s="4" t="str">
        <x:f>IFERROR(INDEX('Material routes'!$G$6:$G$1005,MATCH(V404,'Material routes'!$A$6:$A$1005,0)),"MISSING ID")</x:f>
        <x:v>Crafting components</x:v>
      </x:c>
      <x:c r="J404" s="4" t="str">
        <x:f>IFERROR(INDEX('Material routes'!$B$6:$B$1005,MATCH(U404,'Material routes'!$A$6:$A$1005,0)),"MISSING ID")</x:f>
        <x:v>design.review.proposal_legger_joint_pin</x:v>
      </x:c>
      <x:c r="K404" s="4" t="str">
        <x:f>IFERROR(INDEX('Crafting recipes'!$C$6:$C$1005,MATCH(J404,'Crafting recipes'!$A$6:$A$1005,0)),"MISSING ID")</x:f>
        <x:v>Material refinement</x:v>
      </x:c>
      <x:c r="L404" s="4" t="str">
        <x:f>IFERROR(INDEX('Material routes'!$K$6:$K$1005,MATCH(U404,'Material routes'!$A$6:$A$1005,0)),"MISSING ID")</x:f>
        <x:v>Proposal</x:v>
      </x:c>
      <x:c r="M404" s="4" t="str">
        <x:f>IFERROR(INDEX('Material routes'!$M$6:$M$1005,MATCH(U404,'Material routes'!$A$6:$A$1005,0)),"MISSING ID")</x:f>
        <x:v>Partial proposal</x:v>
      </x:c>
      <x:c r="N404" s="4" t="str">
        <x:f>IF(IFERROR(INDEX('Material routes'!$I$6:$I$1005,MATCH(U404,'Material routes'!$A$6:$A$1005,0)),"MISSING ID")=0,"",IFERROR(INDEX('Material routes'!$I$6:$I$1005,MATCH(U404,'Material routes'!$A$6:$A$1005,0)),"MISSING ID"))</x:f>
      </x:c>
      <x:c r="O404" s="4" t="str">
        <x:f>IFERROR(INDEX('Material routes'!$J$6:$J$1005,MATCH(U404,'Material routes'!$A$6:$A$1005,0)),"MISSING ID")</x:f>
        <x:v>Unspecified</x:v>
      </x:c>
      <x:c r="P404" s="4" t="str">
        <x:f>IF(IFERROR(INDEX('Material routes'!$I$6:$I$1005,MATCH(V404,'Material routes'!$A$6:$A$1005,0)),"MISSING ID")=0,"",IFERROR(INDEX('Material routes'!$I$6:$I$1005,MATCH(V404,'Material routes'!$A$6:$A$1005,0)),"MISSING ID"))</x:f>
      </x:c>
      <x:c r="Q404" s="4" t="str">
        <x:f>IFERROR(INDEX('Material routes'!$J$6:$J$1005,MATCH(V404,'Material routes'!$A$6:$A$1005,0)),"MISSING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routes'!$D$6:$D$1005,MATCH(U404,'Material routes'!$A$6:$A$1005,0)),"MISSING ID")</x:f>
        <x:v>author.metallurgy.steel_stock</x:v>
      </x:c>
      <x:c r="T404" s="4" t="str">
        <x:f>IFERROR(INDEX('Material routes'!$D$6:$D$1005,MATCH(V404,'Material routes'!$A$6:$A$1005,0)),"MISSING ID")</x:f>
        <x:v>proposal.legger.joint_pin</x:v>
      </x:c>
      <x:c r="U404" s="4" t="str">
        <x:v>design.review.proposal_legger_joint_pin.in.1</x:v>
      </x:c>
      <x:c r="V404" s="4" t="str">
        <x:v>design.review.proposal_legger_joint_pin.out</x:v>
      </x:c>
    </x:row>
    <x:row r="405" ht="115" customHeight="1">
      <x:c r="A405" s="4" t="str">
        <x:f>IFERROR(INDEX('Material routes'!$E$6:$E$1005,MATCH(U405,'Material routes'!$A$6:$A$1005,0)),"MISSING ID")</x:f>
        <x:v>Graded abrasive grit</x:v>
      </x:c>
      <x:c r="B405" s="4" t="str">
        <x:f>IFERROR(INDEX('Material routes'!$F$6:$F$1005,MATCH(U405,'Material routes'!$A$6:$A$1005,0)),"MISSING ID")</x:f>
        <x:v>T1</x:v>
      </x:c>
      <x:c r="C405" s="4" t="str">
        <x:f>IFERROR(INDEX('Material routes'!$H$6:$H$1005,MATCH(U405,'Material routes'!$A$6:$A$1005,0)),"MISSING ID")</x:f>
        <x:v>Processed material</x:v>
      </x:c>
      <x:c r="D405" s="4" t="str">
        <x:f>IFERROR(INDEX('Material routes'!$G$6:$G$1005,MATCH(U405,'Material routes'!$A$6:$A$1005,0)),"MISSING ID")</x:f>
        <x:v>Resources</x:v>
      </x:c>
      <x:c r="E405" s="4" t="str">
        <x:f>IFERROR(INDEX('Material routes'!$C$6:$C$1005,MATCH(U405,'Material routes'!$A$6:$A$1005,0)),"MISSING ID")</x:f>
        <x:v>Ingredient candidate</x:v>
      </x:c>
      <x:c r="F405" s="4" t="str">
        <x:f>IFERROR(INDEX('Material routes'!$E$6:$E$1005,MATCH(V405,'Material routes'!$A$6:$A$1005,0)),"MISSING ID")</x:f>
        <x:v>Replaceable joint pin</x:v>
      </x:c>
      <x:c r="G405" s="4" t="str">
        <x:f>IFERROR(INDEX('Material routes'!$F$6:$F$1005,MATCH(V405,'Material routes'!$A$6:$A$1005,0)),"MISSING ID")</x:f>
        <x:v>T3</x:v>
      </x:c>
      <x:c r="H405" s="4" t="str">
        <x:f>IFERROR(INDEX('Material routes'!$H$6:$H$1005,MATCH(V405,'Material routes'!$A$6:$A$1005,0)),"MISSING ID")</x:f>
        <x:v>Crafting component</x:v>
      </x:c>
      <x:c r="I405" s="4" t="str">
        <x:f>IFERROR(INDEX('Material routes'!$G$6:$G$1005,MATCH(V405,'Material routes'!$A$6:$A$1005,0)),"MISSING ID")</x:f>
        <x:v>Crafting components</x:v>
      </x:c>
      <x:c r="J405" s="4" t="str">
        <x:f>IFERROR(INDEX('Material routes'!$B$6:$B$1005,MATCH(U405,'Material routes'!$A$6:$A$1005,0)),"MISSING ID")</x:f>
        <x:v>design.review.proposal_legger_joint_pin</x:v>
      </x:c>
      <x:c r="K405" s="4" t="str">
        <x:f>IFERROR(INDEX('Crafting recipes'!$C$6:$C$1005,MATCH(J405,'Crafting recipes'!$A$6:$A$1005,0)),"MISSING ID")</x:f>
        <x:v>Material refinement</x:v>
      </x:c>
      <x:c r="L405" s="4" t="str">
        <x:f>IFERROR(INDEX('Material routes'!$K$6:$K$1005,MATCH(U405,'Material routes'!$A$6:$A$1005,0)),"MISSING ID")</x:f>
        <x:v>Proposal</x:v>
      </x:c>
      <x:c r="M405" s="4" t="str">
        <x:f>IFERROR(INDEX('Material routes'!$M$6:$M$1005,MATCH(U405,'Material routes'!$A$6:$A$1005,0)),"MISSING ID")</x:f>
        <x:v>Partial proposal</x:v>
      </x:c>
      <x:c r="N405" s="4" t="str">
        <x:f>IF(IFERROR(INDEX('Material routes'!$I$6:$I$1005,MATCH(U405,'Material routes'!$A$6:$A$1005,0)),"MISSING ID")=0,"",IFERROR(INDEX('Material routes'!$I$6:$I$1005,MATCH(U405,'Material routes'!$A$6:$A$1005,0)),"MISSING ID"))</x:f>
      </x:c>
      <x:c r="O405" s="4" t="str">
        <x:f>IFERROR(INDEX('Material routes'!$J$6:$J$1005,MATCH(U405,'Material routes'!$A$6:$A$1005,0)),"MISSING ID")</x:f>
        <x:v>Unspecified</x:v>
      </x:c>
      <x:c r="P405" s="4" t="str">
        <x:f>IF(IFERROR(INDEX('Material routes'!$I$6:$I$1005,MATCH(V405,'Material routes'!$A$6:$A$1005,0)),"MISSING ID")=0,"",IFERROR(INDEX('Material routes'!$I$6:$I$1005,MATCH(V405,'Material routes'!$A$6:$A$1005,0)),"MISSING ID"))</x:f>
      </x:c>
      <x:c r="Q405" s="4" t="str">
        <x:f>IFERROR(INDEX('Material routes'!$J$6:$J$1005,MATCH(V405,'Material routes'!$A$6:$A$1005,0)),"MISSING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routes'!$D$6:$D$1005,MATCH(U405,'Material routes'!$A$6:$A$1005,0)),"MISSING ID")</x:f>
        <x:v>proposal.natural.abrasive</x:v>
      </x:c>
      <x:c r="T405" s="4" t="str">
        <x:f>IFERROR(INDEX('Material routes'!$D$6:$D$1005,MATCH(V405,'Material routes'!$A$6:$A$1005,0)),"MISSING ID")</x:f>
        <x:v>proposal.legger.joint_pin</x:v>
      </x:c>
      <x:c r="U405" s="4" t="str">
        <x:v>design.review.proposal_legger_joint_pin.in.2</x:v>
      </x:c>
      <x:c r="V405" s="4" t="str">
        <x:v>design.review.proposal_legger_joint_pin.out</x:v>
      </x:c>
    </x:row>
    <x:row r="406" ht="115" customHeight="1">
      <x:c r="A406" s="4" t="str">
        <x:f>IFERROR(INDEX('Material routes'!$E$6:$E$1005,MATCH(U406,'Material routes'!$A$6:$A$1005,0)),"MISSING ID")</x:f>
        <x:v>Prepared bronze bearing stock</x:v>
      </x:c>
      <x:c r="B406" s="4" t="str">
        <x:f>IFERROR(INDEX('Material routes'!$F$6:$F$1005,MATCH(U406,'Material routes'!$A$6:$A$1005,0)),"MISSING ID")</x:f>
        <x:v>T2</x:v>
      </x:c>
      <x:c r="C406" s="4" t="str">
        <x:f>IFERROR(INDEX('Material routes'!$H$6:$H$1005,MATCH(U406,'Material routes'!$A$6:$A$1005,0)),"MISSING ID")</x:f>
        <x:v>Processed material</x:v>
      </x:c>
      <x:c r="D406" s="4" t="str">
        <x:f>IFERROR(INDEX('Material routes'!$G$6:$G$1005,MATCH(U406,'Material routes'!$A$6:$A$1005,0)),"MISSING ID")</x:f>
        <x:v>Resources</x:v>
      </x:c>
      <x:c r="E406" s="4" t="str">
        <x:f>IFERROR(INDEX('Material routes'!$C$6:$C$1005,MATCH(U406,'Material routes'!$A$6:$A$1005,0)),"MISSING ID")</x:f>
        <x:v>Ingredient candidate</x:v>
      </x:c>
      <x:c r="F406" s="4" t="str">
        <x:f>IFERROR(INDEX('Material routes'!$E$6:$E$1005,MATCH(V406,'Material routes'!$A$6:$A$1005,0)),"MISSING ID")</x:f>
        <x:v>Joint thrust washer</x:v>
      </x:c>
      <x:c r="G406" s="4" t="str">
        <x:f>IFERROR(INDEX('Material routes'!$F$6:$F$1005,MATCH(V406,'Material routes'!$A$6:$A$1005,0)),"MISSING ID")</x:f>
        <x:v>T3</x:v>
      </x:c>
      <x:c r="H406" s="4" t="str">
        <x:f>IFERROR(INDEX('Material routes'!$H$6:$H$1005,MATCH(V406,'Material routes'!$A$6:$A$1005,0)),"MISSING ID")</x:f>
        <x:v>Crafting component</x:v>
      </x:c>
      <x:c r="I406" s="4" t="str">
        <x:f>IFERROR(INDEX('Material routes'!$G$6:$G$1005,MATCH(V406,'Material routes'!$A$6:$A$1005,0)),"MISSING ID")</x:f>
        <x:v>Crafting components</x:v>
      </x:c>
      <x:c r="J406" s="4" t="str">
        <x:f>IFERROR(INDEX('Material routes'!$B$6:$B$1005,MATCH(U406,'Material routes'!$A$6:$A$1005,0)),"MISSING ID")</x:f>
        <x:v>design.review.proposal_legger_thrust_washer</x:v>
      </x:c>
      <x:c r="K406" s="4" t="str">
        <x:f>IFERROR(INDEX('Crafting recipes'!$C$6:$C$1005,MATCH(J406,'Crafting recipes'!$A$6:$A$1005,0)),"MISSING ID")</x:f>
        <x:v>Material refinement</x:v>
      </x:c>
      <x:c r="L406" s="4" t="str">
        <x:f>IFERROR(INDEX('Material routes'!$K$6:$K$1005,MATCH(U406,'Material routes'!$A$6:$A$1005,0)),"MISSING ID")</x:f>
        <x:v>Proposal</x:v>
      </x:c>
      <x:c r="M406" s="4" t="str">
        <x:f>IFERROR(INDEX('Material routes'!$M$6:$M$1005,MATCH(U406,'Material routes'!$A$6:$A$1005,0)),"MISSING ID")</x:f>
        <x:v>Partial proposal</x:v>
      </x:c>
      <x:c r="N406" s="4" t="str">
        <x:f>IF(IFERROR(INDEX('Material routes'!$I$6:$I$1005,MATCH(U406,'Material routes'!$A$6:$A$1005,0)),"MISSING ID")=0,"",IFERROR(INDEX('Material routes'!$I$6:$I$1005,MATCH(U406,'Material routes'!$A$6:$A$1005,0)),"MISSING ID"))</x:f>
      </x:c>
      <x:c r="O406" s="4" t="str">
        <x:f>IFERROR(INDEX('Material routes'!$J$6:$J$1005,MATCH(U406,'Material routes'!$A$6:$A$1005,0)),"MISSING ID")</x:f>
        <x:v>Unspecified</x:v>
      </x:c>
      <x:c r="P406" s="4" t="str">
        <x:f>IF(IFERROR(INDEX('Material routes'!$I$6:$I$1005,MATCH(V406,'Material routes'!$A$6:$A$1005,0)),"MISSING ID")=0,"",IFERROR(INDEX('Material routes'!$I$6:$I$1005,MATCH(V406,'Material routes'!$A$6:$A$1005,0)),"MISSING ID"))</x:f>
      </x:c>
      <x:c r="Q406" s="4" t="str">
        <x:f>IFERROR(INDEX('Material routes'!$J$6:$J$1005,MATCH(V406,'Material routes'!$A$6:$A$1005,0)),"MISSING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routes'!$D$6:$D$1005,MATCH(U406,'Material routes'!$A$6:$A$1005,0)),"MISSING ID")</x:f>
        <x:v>proposal.branch.bearing_bronze</x:v>
      </x:c>
      <x:c r="T406" s="4" t="str">
        <x:f>IFERROR(INDEX('Material routes'!$D$6:$D$1005,MATCH(V406,'Material routes'!$A$6:$A$1005,0)),"MISSING ID")</x:f>
        <x:v>proposal.legger.thrust_washer</x:v>
      </x:c>
      <x:c r="U406" s="4" t="str">
        <x:v>design.review.proposal_legger_thrust_washer.in.1</x:v>
      </x:c>
      <x:c r="V406" s="4" t="str">
        <x:v>design.review.proposal_legger_thrust_washer.out</x:v>
      </x:c>
    </x:row>
    <x:row r="407" ht="115" customHeight="1">
      <x:c r="A407" s="4" t="str">
        <x:f>IFERROR(INDEX('Material routes'!$E$6:$E$1005,MATCH(U407,'Material routes'!$A$6:$A$1005,0)),"MISSING ID")</x:f>
        <x:v>Graded abrasive grit</x:v>
      </x:c>
      <x:c r="B407" s="4" t="str">
        <x:f>IFERROR(INDEX('Material routes'!$F$6:$F$1005,MATCH(U407,'Material routes'!$A$6:$A$1005,0)),"MISSING ID")</x:f>
        <x:v>T1</x:v>
      </x:c>
      <x:c r="C407" s="4" t="str">
        <x:f>IFERROR(INDEX('Material routes'!$H$6:$H$1005,MATCH(U407,'Material routes'!$A$6:$A$1005,0)),"MISSING ID")</x:f>
        <x:v>Processed material</x:v>
      </x:c>
      <x:c r="D407" s="4" t="str">
        <x:f>IFERROR(INDEX('Material routes'!$G$6:$G$1005,MATCH(U407,'Material routes'!$A$6:$A$1005,0)),"MISSING ID")</x:f>
        <x:v>Resources</x:v>
      </x:c>
      <x:c r="E407" s="4" t="str">
        <x:f>IFERROR(INDEX('Material routes'!$C$6:$C$1005,MATCH(U407,'Material routes'!$A$6:$A$1005,0)),"MISSING ID")</x:f>
        <x:v>Ingredient candidate</x:v>
      </x:c>
      <x:c r="F407" s="4" t="str">
        <x:f>IFERROR(INDEX('Material routes'!$E$6:$E$1005,MATCH(V407,'Material routes'!$A$6:$A$1005,0)),"MISSING ID")</x:f>
        <x:v>Joint thrust washer</x:v>
      </x:c>
      <x:c r="G407" s="4" t="str">
        <x:f>IFERROR(INDEX('Material routes'!$F$6:$F$1005,MATCH(V407,'Material routes'!$A$6:$A$1005,0)),"MISSING ID")</x:f>
        <x:v>T3</x:v>
      </x:c>
      <x:c r="H407" s="4" t="str">
        <x:f>IFERROR(INDEX('Material routes'!$H$6:$H$1005,MATCH(V407,'Material routes'!$A$6:$A$1005,0)),"MISSING ID")</x:f>
        <x:v>Crafting component</x:v>
      </x:c>
      <x:c r="I407" s="4" t="str">
        <x:f>IFERROR(INDEX('Material routes'!$G$6:$G$1005,MATCH(V407,'Material routes'!$A$6:$A$1005,0)),"MISSING ID")</x:f>
        <x:v>Crafting components</x:v>
      </x:c>
      <x:c r="J407" s="4" t="str">
        <x:f>IFERROR(INDEX('Material routes'!$B$6:$B$1005,MATCH(U407,'Material routes'!$A$6:$A$1005,0)),"MISSING ID")</x:f>
        <x:v>design.review.proposal_legger_thrust_washer</x:v>
      </x:c>
      <x:c r="K407" s="4" t="str">
        <x:f>IFERROR(INDEX('Crafting recipes'!$C$6:$C$1005,MATCH(J407,'Crafting recipes'!$A$6:$A$1005,0)),"MISSING ID")</x:f>
        <x:v>Material refinement</x:v>
      </x:c>
      <x:c r="L407" s="4" t="str">
        <x:f>IFERROR(INDEX('Material routes'!$K$6:$K$1005,MATCH(U407,'Material routes'!$A$6:$A$1005,0)),"MISSING ID")</x:f>
        <x:v>Proposal</x:v>
      </x:c>
      <x:c r="M407" s="4" t="str">
        <x:f>IFERROR(INDEX('Material routes'!$M$6:$M$1005,MATCH(U407,'Material routes'!$A$6:$A$1005,0)),"MISSING ID")</x:f>
        <x:v>Partial proposal</x:v>
      </x:c>
      <x:c r="N407" s="4" t="str">
        <x:f>IF(IFERROR(INDEX('Material routes'!$I$6:$I$1005,MATCH(U407,'Material routes'!$A$6:$A$1005,0)),"MISSING ID")=0,"",IFERROR(INDEX('Material routes'!$I$6:$I$1005,MATCH(U407,'Material routes'!$A$6:$A$1005,0)),"MISSING ID"))</x:f>
      </x:c>
      <x:c r="O407" s="4" t="str">
        <x:f>IFERROR(INDEX('Material routes'!$J$6:$J$1005,MATCH(U407,'Material routes'!$A$6:$A$1005,0)),"MISSING ID")</x:f>
        <x:v>Unspecified</x:v>
      </x:c>
      <x:c r="P407" s="4" t="str">
        <x:f>IF(IFERROR(INDEX('Material routes'!$I$6:$I$1005,MATCH(V407,'Material routes'!$A$6:$A$1005,0)),"MISSING ID")=0,"",IFERROR(INDEX('Material routes'!$I$6:$I$1005,MATCH(V407,'Material routes'!$A$6:$A$1005,0)),"MISSING ID"))</x:f>
      </x:c>
      <x:c r="Q407" s="4" t="str">
        <x:f>IFERROR(INDEX('Material routes'!$J$6:$J$1005,MATCH(V407,'Material routes'!$A$6:$A$1005,0)),"MISSING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routes'!$D$6:$D$1005,MATCH(U407,'Material routes'!$A$6:$A$1005,0)),"MISSING ID")</x:f>
        <x:v>proposal.natural.abrasive</x:v>
      </x:c>
      <x:c r="T407" s="4" t="str">
        <x:f>IFERROR(INDEX('Material routes'!$D$6:$D$1005,MATCH(V407,'Material routes'!$A$6:$A$1005,0)),"MISSING ID")</x:f>
        <x:v>proposal.legger.thrust_washer</x:v>
      </x:c>
      <x:c r="U407" s="4" t="str">
        <x:v>design.review.proposal_legger_thrust_washer.in.2</x:v>
      </x:c>
      <x:c r="V407" s="4" t="str">
        <x:v>design.review.proposal_legger_thrust_washer.out</x:v>
      </x:c>
    </x:row>
    <x:row r="408" ht="115" customHeight="1">
      <x:c r="A408" s="4" t="str">
        <x:f>IFERROR(INDEX('Material routes'!$E$6:$E$1005,MATCH(U408,'Material routes'!$A$6:$A$1005,0)),"MISSING ID")</x:f>
        <x:v>Heat-treated steel gear blanks</x:v>
      </x:c>
      <x:c r="B408" s="4" t="str">
        <x:f>IFERROR(INDEX('Material routes'!$F$6:$F$1005,MATCH(U408,'Material routes'!$A$6:$A$1005,0)),"MISSING ID")</x:f>
        <x:v>T3</x:v>
      </x:c>
      <x:c r="C408" s="4" t="str">
        <x:f>IFERROR(INDEX('Material routes'!$H$6:$H$1005,MATCH(U408,'Material routes'!$A$6:$A$1005,0)),"MISSING ID")</x:f>
        <x:v>Crafting component</x:v>
      </x:c>
      <x:c r="D408" s="4" t="str">
        <x:f>IFERROR(INDEX('Material routes'!$G$6:$G$1005,MATCH(U408,'Material routes'!$A$6:$A$1005,0)),"MISSING ID")</x:f>
        <x:v>Crafting components</x:v>
      </x:c>
      <x:c r="E408" s="4" t="str">
        <x:f>IFERROR(INDEX('Material routes'!$C$6:$C$1005,MATCH(U408,'Material routes'!$A$6:$A$1005,0)),"MISSING ID")</x:f>
        <x:v>Ingredient candidate</x:v>
      </x:c>
      <x:c r="F408" s="4" t="str">
        <x:f>IFERROR(INDEX('Material routes'!$E$6:$E$1005,MATCH(V408,'Material routes'!$A$6:$A$1005,0)),"MISSING ID")</x:f>
        <x:v>Replacement gear cluster</x:v>
      </x:c>
      <x:c r="G408" s="4" t="str">
        <x:f>IFERROR(INDEX('Material routes'!$F$6:$F$1005,MATCH(V408,'Material routes'!$A$6:$A$1005,0)),"MISSING ID")</x:f>
        <x:v>T4</x:v>
      </x:c>
      <x:c r="H408" s="4" t="str">
        <x:f>IFERROR(INDEX('Material routes'!$H$6:$H$1005,MATCH(V408,'Material routes'!$A$6:$A$1005,0)),"MISSING ID")</x:f>
        <x:v>Crafting component</x:v>
      </x:c>
      <x:c r="I408" s="4" t="str">
        <x:f>IFERROR(INDEX('Material routes'!$G$6:$G$1005,MATCH(V408,'Material routes'!$A$6:$A$1005,0)),"MISSING ID")</x:f>
        <x:v>Crafting components</x:v>
      </x:c>
      <x:c r="J408" s="4" t="str">
        <x:f>IFERROR(INDEX('Material routes'!$B$6:$B$1005,MATCH(U408,'Material routes'!$A$6:$A$1005,0)),"MISSING ID")</x:f>
        <x:v>design.review.proposal_legger_gear_cluster</x:v>
      </x:c>
      <x:c r="K408" s="4" t="str">
        <x:f>IFERROR(INDEX('Crafting recipes'!$C$6:$C$1005,MATCH(J408,'Crafting recipes'!$A$6:$A$1005,0)),"MISSING ID")</x:f>
        <x:v>Material refinement</x:v>
      </x:c>
      <x:c r="L408" s="4" t="str">
        <x:f>IFERROR(INDEX('Material routes'!$K$6:$K$1005,MATCH(U408,'Material routes'!$A$6:$A$1005,0)),"MISSING ID")</x:f>
        <x:v>Proposal</x:v>
      </x:c>
      <x:c r="M408" s="4" t="str">
        <x:f>IFERROR(INDEX('Material routes'!$M$6:$M$1005,MATCH(U408,'Material routes'!$A$6:$A$1005,0)),"MISSING ID")</x:f>
        <x:v>Partial proposal</x:v>
      </x:c>
      <x:c r="N408" s="4" t="str">
        <x:f>IF(IFERROR(INDEX('Material routes'!$I$6:$I$1005,MATCH(U408,'Material routes'!$A$6:$A$1005,0)),"MISSING ID")=0,"",IFERROR(INDEX('Material routes'!$I$6:$I$1005,MATCH(U408,'Material routes'!$A$6:$A$1005,0)),"MISSING ID"))</x:f>
      </x:c>
      <x:c r="O408" s="4" t="str">
        <x:f>IFERROR(INDEX('Material routes'!$J$6:$J$1005,MATCH(U408,'Material routes'!$A$6:$A$1005,0)),"MISSING ID")</x:f>
        <x:v>Unspecified</x:v>
      </x:c>
      <x:c r="P408" s="4" t="str">
        <x:f>IF(IFERROR(INDEX('Material routes'!$I$6:$I$1005,MATCH(V408,'Material routes'!$A$6:$A$1005,0)),"MISSING ID")=0,"",IFERROR(INDEX('Material routes'!$I$6:$I$1005,MATCH(V408,'Material routes'!$A$6:$A$1005,0)),"MISSING ID"))</x:f>
      </x:c>
      <x:c r="Q408" s="4" t="str">
        <x:f>IFERROR(INDEX('Material routes'!$J$6:$J$1005,MATCH(V408,'Material routes'!$A$6:$A$1005,0)),"MISSING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routes'!$D$6:$D$1005,MATCH(U408,'Material routes'!$A$6:$A$1005,0)),"MISSING ID")</x:f>
        <x:v>proposal.t3.gear_blank</x:v>
      </x:c>
      <x:c r="T408" s="4" t="str">
        <x:f>IFERROR(INDEX('Material routes'!$D$6:$D$1005,MATCH(V408,'Material routes'!$A$6:$A$1005,0)),"MISSING ID")</x:f>
        <x:v>proposal.legger.gear_cluster</x:v>
      </x:c>
      <x:c r="U408" s="4" t="str">
        <x:v>design.review.proposal_legger_gear_cluster.in.1</x:v>
      </x:c>
      <x:c r="V408" s="4" t="str">
        <x:v>design.review.proposal_legger_gear_cluster.out</x:v>
      </x:c>
    </x:row>
    <x:row r="409" ht="115" customHeight="1">
      <x:c r="A409" s="4" t="str">
        <x:f>IFERROR(INDEX('Material routes'!$E$6:$E$1005,MATCH(U409,'Material routes'!$A$6:$A$1005,0)),"MISSING ID")</x:f>
        <x:v>Steel stock</x:v>
      </x:c>
      <x:c r="B409" s="4" t="str">
        <x:f>IFERROR(INDEX('Material routes'!$F$6:$F$1005,MATCH(U409,'Material routes'!$A$6:$A$1005,0)),"MISSING ID")</x:f>
        <x:v>T2</x:v>
      </x:c>
      <x:c r="C409" s="4" t="str">
        <x:f>IFERROR(INDEX('Material routes'!$H$6:$H$1005,MATCH(U409,'Material routes'!$A$6:$A$1005,0)),"MISSING ID")</x:f>
        <x:v>Processed material</x:v>
      </x:c>
      <x:c r="D409" s="4" t="str">
        <x:f>IFERROR(INDEX('Material routes'!$G$6:$G$1005,MATCH(U409,'Material routes'!$A$6:$A$1005,0)),"MISSING ID")</x:f>
        <x:v>Resources</x:v>
      </x:c>
      <x:c r="E409" s="4" t="str">
        <x:f>IFERROR(INDEX('Material routes'!$C$6:$C$1005,MATCH(U409,'Material routes'!$A$6:$A$1005,0)),"MISSING ID")</x:f>
        <x:v>Ingredient candidate</x:v>
      </x:c>
      <x:c r="F409" s="4" t="str">
        <x:f>IFERROR(INDEX('Material routes'!$E$6:$E$1005,MATCH(V409,'Material routes'!$A$6:$A$1005,0)),"MISSING ID")</x:f>
        <x:v>Replacement gear cluster</x:v>
      </x:c>
      <x:c r="G409" s="4" t="str">
        <x:f>IFERROR(INDEX('Material routes'!$F$6:$F$1005,MATCH(V409,'Material routes'!$A$6:$A$1005,0)),"MISSING ID")</x:f>
        <x:v>T4</x:v>
      </x:c>
      <x:c r="H409" s="4" t="str">
        <x:f>IFERROR(INDEX('Material routes'!$H$6:$H$1005,MATCH(V409,'Material routes'!$A$6:$A$1005,0)),"MISSING ID")</x:f>
        <x:v>Crafting component</x:v>
      </x:c>
      <x:c r="I409" s="4" t="str">
        <x:f>IFERROR(INDEX('Material routes'!$G$6:$G$1005,MATCH(V409,'Material routes'!$A$6:$A$1005,0)),"MISSING ID")</x:f>
        <x:v>Crafting components</x:v>
      </x:c>
      <x:c r="J409" s="4" t="str">
        <x:f>IFERROR(INDEX('Material routes'!$B$6:$B$1005,MATCH(U409,'Material routes'!$A$6:$A$1005,0)),"MISSING ID")</x:f>
        <x:v>design.review.proposal_legger_gear_cluster</x:v>
      </x:c>
      <x:c r="K409" s="4" t="str">
        <x:f>IFERROR(INDEX('Crafting recipes'!$C$6:$C$1005,MATCH(J409,'Crafting recipes'!$A$6:$A$1005,0)),"MISSING ID")</x:f>
        <x:v>Material refinement</x:v>
      </x:c>
      <x:c r="L409" s="4" t="str">
        <x:f>IFERROR(INDEX('Material routes'!$K$6:$K$1005,MATCH(U409,'Material routes'!$A$6:$A$1005,0)),"MISSING ID")</x:f>
        <x:v>Proposal</x:v>
      </x:c>
      <x:c r="M409" s="4" t="str">
        <x:f>IFERROR(INDEX('Material routes'!$M$6:$M$1005,MATCH(U409,'Material routes'!$A$6:$A$1005,0)),"MISSING ID")</x:f>
        <x:v>Partial proposal</x:v>
      </x:c>
      <x:c r="N409" s="4" t="str">
        <x:f>IF(IFERROR(INDEX('Material routes'!$I$6:$I$1005,MATCH(U409,'Material routes'!$A$6:$A$1005,0)),"MISSING ID")=0,"",IFERROR(INDEX('Material routes'!$I$6:$I$1005,MATCH(U409,'Material routes'!$A$6:$A$1005,0)),"MISSING ID"))</x:f>
      </x:c>
      <x:c r="O409" s="4" t="str">
        <x:f>IFERROR(INDEX('Material routes'!$J$6:$J$1005,MATCH(U409,'Material routes'!$A$6:$A$1005,0)),"MISSING ID")</x:f>
        <x:v>Unspecified</x:v>
      </x:c>
      <x:c r="P409" s="4" t="str">
        <x:f>IF(IFERROR(INDEX('Material routes'!$I$6:$I$1005,MATCH(V409,'Material routes'!$A$6:$A$1005,0)),"MISSING ID")=0,"",IFERROR(INDEX('Material routes'!$I$6:$I$1005,MATCH(V409,'Material routes'!$A$6:$A$1005,0)),"MISSING ID"))</x:f>
      </x:c>
      <x:c r="Q409" s="4" t="str">
        <x:f>IFERROR(INDEX('Material routes'!$J$6:$J$1005,MATCH(V409,'Material routes'!$A$6:$A$1005,0)),"MISSING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routes'!$D$6:$D$1005,MATCH(U409,'Material routes'!$A$6:$A$1005,0)),"MISSING ID")</x:f>
        <x:v>author.metallurgy.steel_stock</x:v>
      </x:c>
      <x:c r="T409" s="4" t="str">
        <x:f>IFERROR(INDEX('Material routes'!$D$6:$D$1005,MATCH(V409,'Material routes'!$A$6:$A$1005,0)),"MISSING ID")</x:f>
        <x:v>proposal.legger.gear_cluster</x:v>
      </x:c>
      <x:c r="U409" s="4" t="str">
        <x:v>design.review.proposal_legger_gear_cluster.in.2</x:v>
      </x:c>
      <x:c r="V409" s="4" t="str">
        <x:v>design.review.proposal_legger_gear_cluster.out</x:v>
      </x:c>
    </x:row>
    <x:row r="410" ht="115" customHeight="1">
      <x:c r="A410" s="4" t="str">
        <x:f>IFERROR(INDEX('Material routes'!$E$6:$E$1005,MATCH(U410,'Material routes'!$A$6:$A$1005,0)),"MISSING ID")</x:f>
        <x:v>Prepared bronze bearing stock</x:v>
      </x:c>
      <x:c r="B410" s="4" t="str">
        <x:f>IFERROR(INDEX('Material routes'!$F$6:$F$1005,MATCH(U410,'Material routes'!$A$6:$A$1005,0)),"MISSING ID")</x:f>
        <x:v>T2</x:v>
      </x:c>
      <x:c r="C410" s="4" t="str">
        <x:f>IFERROR(INDEX('Material routes'!$H$6:$H$1005,MATCH(U410,'Material routes'!$A$6:$A$1005,0)),"MISSING ID")</x:f>
        <x:v>Processed material</x:v>
      </x:c>
      <x:c r="D410" s="4" t="str">
        <x:f>IFERROR(INDEX('Material routes'!$G$6:$G$1005,MATCH(U410,'Material routes'!$A$6:$A$1005,0)),"MISSING ID")</x:f>
        <x:v>Resources</x:v>
      </x:c>
      <x:c r="E410" s="4" t="str">
        <x:f>IFERROR(INDEX('Material routes'!$C$6:$C$1005,MATCH(U410,'Material routes'!$A$6:$A$1005,0)),"MISSING ID")</x:f>
        <x:v>Ingredient candidate</x:v>
      </x:c>
      <x:c r="F410" s="4" t="str">
        <x:f>IFERROR(INDEX('Material routes'!$E$6:$E$1005,MATCH(V410,'Material routes'!$A$6:$A$1005,0)),"MISSING ID")</x:f>
        <x:v>Replacement gear cluster</x:v>
      </x:c>
      <x:c r="G410" s="4" t="str">
        <x:f>IFERROR(INDEX('Material routes'!$F$6:$F$1005,MATCH(V410,'Material routes'!$A$6:$A$1005,0)),"MISSING ID")</x:f>
        <x:v>T4</x:v>
      </x:c>
      <x:c r="H410" s="4" t="str">
        <x:f>IFERROR(INDEX('Material routes'!$H$6:$H$1005,MATCH(V410,'Material routes'!$A$6:$A$1005,0)),"MISSING ID")</x:f>
        <x:v>Crafting component</x:v>
      </x:c>
      <x:c r="I410" s="4" t="str">
        <x:f>IFERROR(INDEX('Material routes'!$G$6:$G$1005,MATCH(V410,'Material routes'!$A$6:$A$1005,0)),"MISSING ID")</x:f>
        <x:v>Crafting components</x:v>
      </x:c>
      <x:c r="J410" s="4" t="str">
        <x:f>IFERROR(INDEX('Material routes'!$B$6:$B$1005,MATCH(U410,'Material routes'!$A$6:$A$1005,0)),"MISSING ID")</x:f>
        <x:v>design.review.proposal_legger_gear_cluster</x:v>
      </x:c>
      <x:c r="K410" s="4" t="str">
        <x:f>IFERROR(INDEX('Crafting recipes'!$C$6:$C$1005,MATCH(J410,'Crafting recipes'!$A$6:$A$1005,0)),"MISSING ID")</x:f>
        <x:v>Material refinement</x:v>
      </x:c>
      <x:c r="L410" s="4" t="str">
        <x:f>IFERROR(INDEX('Material routes'!$K$6:$K$1005,MATCH(U410,'Material routes'!$A$6:$A$1005,0)),"MISSING ID")</x:f>
        <x:v>Proposal</x:v>
      </x:c>
      <x:c r="M410" s="4" t="str">
        <x:f>IFERROR(INDEX('Material routes'!$M$6:$M$1005,MATCH(U410,'Material routes'!$A$6:$A$1005,0)),"MISSING ID")</x:f>
        <x:v>Partial proposal</x:v>
      </x:c>
      <x:c r="N410" s="4" t="str">
        <x:f>IF(IFERROR(INDEX('Material routes'!$I$6:$I$1005,MATCH(U410,'Material routes'!$A$6:$A$1005,0)),"MISSING ID")=0,"",IFERROR(INDEX('Material routes'!$I$6:$I$1005,MATCH(U410,'Material routes'!$A$6:$A$1005,0)),"MISSING ID"))</x:f>
      </x:c>
      <x:c r="O410" s="4" t="str">
        <x:f>IFERROR(INDEX('Material routes'!$J$6:$J$1005,MATCH(U410,'Material routes'!$A$6:$A$1005,0)),"MISSING ID")</x:f>
        <x:v>Unspecified</x:v>
      </x:c>
      <x:c r="P410" s="4" t="str">
        <x:f>IF(IFERROR(INDEX('Material routes'!$I$6:$I$1005,MATCH(V410,'Material routes'!$A$6:$A$1005,0)),"MISSING ID")=0,"",IFERROR(INDEX('Material routes'!$I$6:$I$1005,MATCH(V410,'Material routes'!$A$6:$A$1005,0)),"MISSING ID"))</x:f>
      </x:c>
      <x:c r="Q410" s="4" t="str">
        <x:f>IFERROR(INDEX('Material routes'!$J$6:$J$1005,MATCH(V410,'Material routes'!$A$6:$A$1005,0)),"MISSING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routes'!$D$6:$D$1005,MATCH(U410,'Material routes'!$A$6:$A$1005,0)),"MISSING ID")</x:f>
        <x:v>proposal.branch.bearing_bronze</x:v>
      </x:c>
      <x:c r="T410" s="4" t="str">
        <x:f>IFERROR(INDEX('Material routes'!$D$6:$D$1005,MATCH(V410,'Material routes'!$A$6:$A$1005,0)),"MISSING ID")</x:f>
        <x:v>proposal.legger.gear_cluster</x:v>
      </x:c>
      <x:c r="U410" s="4" t="str">
        <x:v>design.review.proposal_legger_gear_cluster.in.3</x:v>
      </x:c>
      <x:c r="V410" s="4" t="str">
        <x:v>design.review.proposal_legger_gear_cluster.out</x:v>
      </x:c>
    </x:row>
    <x:row r="411" ht="115" customHeight="1">
      <x:c r="A411" s="4" t="str">
        <x:f>IFERROR(INDEX('Material routes'!$E$6:$E$1005,MATCH(U411,'Material routes'!$A$6:$A$1005,0)),"MISSING ID")</x:f>
        <x:v>Steel stock</x:v>
      </x:c>
      <x:c r="B411" s="4" t="str">
        <x:f>IFERROR(INDEX('Material routes'!$F$6:$F$1005,MATCH(U411,'Material routes'!$A$6:$A$1005,0)),"MISSING ID")</x:f>
        <x:v>T2</x:v>
      </x:c>
      <x:c r="C411" s="4" t="str">
        <x:f>IFERROR(INDEX('Material routes'!$H$6:$H$1005,MATCH(U411,'Material routes'!$A$6:$A$1005,0)),"MISSING ID")</x:f>
        <x:v>Processed material</x:v>
      </x:c>
      <x:c r="D411" s="4" t="str">
        <x:f>IFERROR(INDEX('Material routes'!$G$6:$G$1005,MATCH(U411,'Material routes'!$A$6:$A$1005,0)),"MISSING ID")</x:f>
        <x:v>Resources</x:v>
      </x:c>
      <x:c r="E411" s="4" t="str">
        <x:f>IFERROR(INDEX('Material routes'!$C$6:$C$1005,MATCH(U411,'Material routes'!$A$6:$A$1005,0)),"MISSING ID")</x:f>
        <x:v>Ingredient candidate</x:v>
      </x:c>
      <x:c r="F411" s="4" t="str">
        <x:f>IFERROR(INDEX('Material routes'!$E$6:$E$1005,MATCH(V411,'Material routes'!$A$6:$A$1005,0)),"MISSING ID")</x:f>
        <x:v>Replacement linkage-end joint</x:v>
      </x:c>
      <x:c r="G411" s="4" t="str">
        <x:f>IFERROR(INDEX('Material routes'!$F$6:$F$1005,MATCH(V411,'Material routes'!$A$6:$A$1005,0)),"MISSING ID")</x:f>
        <x:v>T3</x:v>
      </x:c>
      <x:c r="H411" s="4" t="str">
        <x:f>IFERROR(INDEX('Material routes'!$H$6:$H$1005,MATCH(V411,'Material routes'!$A$6:$A$1005,0)),"MISSING ID")</x:f>
        <x:v>Crafting component</x:v>
      </x:c>
      <x:c r="I411" s="4" t="str">
        <x:f>IFERROR(INDEX('Material routes'!$G$6:$G$1005,MATCH(V411,'Material routes'!$A$6:$A$1005,0)),"MISSING ID")</x:f>
        <x:v>Crafting components</x:v>
      </x:c>
      <x:c r="J411" s="4" t="str">
        <x:f>IFERROR(INDEX('Material routes'!$B$6:$B$1005,MATCH(U411,'Material routes'!$A$6:$A$1005,0)),"MISSING ID")</x:f>
        <x:v>design.review.proposal_legger_linkage_end</x:v>
      </x:c>
      <x:c r="K411" s="4" t="str">
        <x:f>IFERROR(INDEX('Crafting recipes'!$C$6:$C$1005,MATCH(J411,'Crafting recipes'!$A$6:$A$1005,0)),"MISSING ID")</x:f>
        <x:v>Material refinement</x:v>
      </x:c>
      <x:c r="L411" s="4" t="str">
        <x:f>IFERROR(INDEX('Material routes'!$K$6:$K$1005,MATCH(U411,'Material routes'!$A$6:$A$1005,0)),"MISSING ID")</x:f>
        <x:v>Proposal</x:v>
      </x:c>
      <x:c r="M411" s="4" t="str">
        <x:f>IFERROR(INDEX('Material routes'!$M$6:$M$1005,MATCH(U411,'Material routes'!$A$6:$A$1005,0)),"MISSING ID")</x:f>
        <x:v>Partial proposal</x:v>
      </x:c>
      <x:c r="N411" s="4" t="str">
        <x:f>IF(IFERROR(INDEX('Material routes'!$I$6:$I$1005,MATCH(U411,'Material routes'!$A$6:$A$1005,0)),"MISSING ID")=0,"",IFERROR(INDEX('Material routes'!$I$6:$I$1005,MATCH(U411,'Material routes'!$A$6:$A$1005,0)),"MISSING ID"))</x:f>
      </x:c>
      <x:c r="O411" s="4" t="str">
        <x:f>IFERROR(INDEX('Material routes'!$J$6:$J$1005,MATCH(U411,'Material routes'!$A$6:$A$1005,0)),"MISSING ID")</x:f>
        <x:v>Unspecified</x:v>
      </x:c>
      <x:c r="P411" s="4" t="str">
        <x:f>IF(IFERROR(INDEX('Material routes'!$I$6:$I$1005,MATCH(V411,'Material routes'!$A$6:$A$1005,0)),"MISSING ID")=0,"",IFERROR(INDEX('Material routes'!$I$6:$I$1005,MATCH(V411,'Material routes'!$A$6:$A$1005,0)),"MISSING ID"))</x:f>
      </x:c>
      <x:c r="Q411" s="4" t="str">
        <x:f>IFERROR(INDEX('Material routes'!$J$6:$J$1005,MATCH(V411,'Material routes'!$A$6:$A$1005,0)),"MISSING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routes'!$D$6:$D$1005,MATCH(U411,'Material routes'!$A$6:$A$1005,0)),"MISSING ID")</x:f>
        <x:v>author.metallurgy.steel_stock</x:v>
      </x:c>
      <x:c r="T411" s="4" t="str">
        <x:f>IFERROR(INDEX('Material routes'!$D$6:$D$1005,MATCH(V411,'Material routes'!$A$6:$A$1005,0)),"MISSING ID")</x:f>
        <x:v>proposal.legger.linkage_end</x:v>
      </x:c>
      <x:c r="U411" s="4" t="str">
        <x:v>design.review.proposal_legger_linkage_end.in.1</x:v>
      </x:c>
      <x:c r="V411" s="4" t="str">
        <x:v>design.review.proposal_legger_linkage_end.out</x:v>
      </x:c>
    </x:row>
    <x:row r="412" ht="115" customHeight="1">
      <x:c r="A412" s="4" t="str">
        <x:f>IFERROR(INDEX('Material routes'!$E$6:$E$1005,MATCH(U412,'Material routes'!$A$6:$A$1005,0)),"MISSING ID")</x:f>
        <x:v>Prepared bronze bearing stock</x:v>
      </x:c>
      <x:c r="B412" s="4" t="str">
        <x:f>IFERROR(INDEX('Material routes'!$F$6:$F$1005,MATCH(U412,'Material routes'!$A$6:$A$1005,0)),"MISSING ID")</x:f>
        <x:v>T2</x:v>
      </x:c>
      <x:c r="C412" s="4" t="str">
        <x:f>IFERROR(INDEX('Material routes'!$H$6:$H$1005,MATCH(U412,'Material routes'!$A$6:$A$1005,0)),"MISSING ID")</x:f>
        <x:v>Processed material</x:v>
      </x:c>
      <x:c r="D412" s="4" t="str">
        <x:f>IFERROR(INDEX('Material routes'!$G$6:$G$1005,MATCH(U412,'Material routes'!$A$6:$A$1005,0)),"MISSING ID")</x:f>
        <x:v>Resources</x:v>
      </x:c>
      <x:c r="E412" s="4" t="str">
        <x:f>IFERROR(INDEX('Material routes'!$C$6:$C$1005,MATCH(U412,'Material routes'!$A$6:$A$1005,0)),"MISSING ID")</x:f>
        <x:v>Ingredient candidate</x:v>
      </x:c>
      <x:c r="F412" s="4" t="str">
        <x:f>IFERROR(INDEX('Material routes'!$E$6:$E$1005,MATCH(V412,'Material routes'!$A$6:$A$1005,0)),"MISSING ID")</x:f>
        <x:v>Replacement linkage-end joint</x:v>
      </x:c>
      <x:c r="G412" s="4" t="str">
        <x:f>IFERROR(INDEX('Material routes'!$F$6:$F$1005,MATCH(V412,'Material routes'!$A$6:$A$1005,0)),"MISSING ID")</x:f>
        <x:v>T3</x:v>
      </x:c>
      <x:c r="H412" s="4" t="str">
        <x:f>IFERROR(INDEX('Material routes'!$H$6:$H$1005,MATCH(V412,'Material routes'!$A$6:$A$1005,0)),"MISSING ID")</x:f>
        <x:v>Crafting component</x:v>
      </x:c>
      <x:c r="I412" s="4" t="str">
        <x:f>IFERROR(INDEX('Material routes'!$G$6:$G$1005,MATCH(V412,'Material routes'!$A$6:$A$1005,0)),"MISSING ID")</x:f>
        <x:v>Crafting components</x:v>
      </x:c>
      <x:c r="J412" s="4" t="str">
        <x:f>IFERROR(INDEX('Material routes'!$B$6:$B$1005,MATCH(U412,'Material routes'!$A$6:$A$1005,0)),"MISSING ID")</x:f>
        <x:v>design.review.proposal_legger_linkage_end</x:v>
      </x:c>
      <x:c r="K412" s="4" t="str">
        <x:f>IFERROR(INDEX('Crafting recipes'!$C$6:$C$1005,MATCH(J412,'Crafting recipes'!$A$6:$A$1005,0)),"MISSING ID")</x:f>
        <x:v>Material refinement</x:v>
      </x:c>
      <x:c r="L412" s="4" t="str">
        <x:f>IFERROR(INDEX('Material routes'!$K$6:$K$1005,MATCH(U412,'Material routes'!$A$6:$A$1005,0)),"MISSING ID")</x:f>
        <x:v>Proposal</x:v>
      </x:c>
      <x:c r="M412" s="4" t="str">
        <x:f>IFERROR(INDEX('Material routes'!$M$6:$M$1005,MATCH(U412,'Material routes'!$A$6:$A$1005,0)),"MISSING ID")</x:f>
        <x:v>Partial proposal</x:v>
      </x:c>
      <x:c r="N412" s="4" t="str">
        <x:f>IF(IFERROR(INDEX('Material routes'!$I$6:$I$1005,MATCH(U412,'Material routes'!$A$6:$A$1005,0)),"MISSING ID")=0,"",IFERROR(INDEX('Material routes'!$I$6:$I$1005,MATCH(U412,'Material routes'!$A$6:$A$1005,0)),"MISSING ID"))</x:f>
      </x:c>
      <x:c r="O412" s="4" t="str">
        <x:f>IFERROR(INDEX('Material routes'!$J$6:$J$1005,MATCH(U412,'Material routes'!$A$6:$A$1005,0)),"MISSING ID")</x:f>
        <x:v>Unspecified</x:v>
      </x:c>
      <x:c r="P412" s="4" t="str">
        <x:f>IF(IFERROR(INDEX('Material routes'!$I$6:$I$1005,MATCH(V412,'Material routes'!$A$6:$A$1005,0)),"MISSING ID")=0,"",IFERROR(INDEX('Material routes'!$I$6:$I$1005,MATCH(V412,'Material routes'!$A$6:$A$1005,0)),"MISSING ID"))</x:f>
      </x:c>
      <x:c r="Q412" s="4" t="str">
        <x:f>IFERROR(INDEX('Material routes'!$J$6:$J$1005,MATCH(V412,'Material routes'!$A$6:$A$1005,0)),"MISSING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routes'!$D$6:$D$1005,MATCH(U412,'Material routes'!$A$6:$A$1005,0)),"MISSING ID")</x:f>
        <x:v>proposal.branch.bearing_bronze</x:v>
      </x:c>
      <x:c r="T412" s="4" t="str">
        <x:f>IFERROR(INDEX('Material routes'!$D$6:$D$1005,MATCH(V412,'Material routes'!$A$6:$A$1005,0)),"MISSING ID")</x:f>
        <x:v>proposal.legger.linkage_end</x:v>
      </x:c>
      <x:c r="U412" s="4" t="str">
        <x:v>design.review.proposal_legger_linkage_end.in.2</x:v>
      </x:c>
      <x:c r="V412" s="4" t="str">
        <x:v>design.review.proposal_legger_linkage_end.out</x:v>
      </x:c>
    </x:row>
    <x:row r="413" ht="115" customHeight="1">
      <x:c r="A413" s="4" t="str">
        <x:f>IFERROR(INDEX('Material routes'!$E$6:$E$1005,MATCH(U413,'Material routes'!$A$6:$A$1005,0)),"MISSING ID")</x:f>
        <x:v>Spring-grade steel stock</x:v>
      </x:c>
      <x:c r="B413" s="4" t="str">
        <x:f>IFERROR(INDEX('Material routes'!$F$6:$F$1005,MATCH(U413,'Material routes'!$A$6:$A$1005,0)),"MISSING ID")</x:f>
        <x:v>T3</x:v>
      </x:c>
      <x:c r="C413" s="4" t="str">
        <x:f>IFERROR(INDEX('Material routes'!$H$6:$H$1005,MATCH(U413,'Material routes'!$A$6:$A$1005,0)),"MISSING ID")</x:f>
        <x:v>Processed material</x:v>
      </x:c>
      <x:c r="D413" s="4" t="str">
        <x:f>IFERROR(INDEX('Material routes'!$G$6:$G$1005,MATCH(U413,'Material routes'!$A$6:$A$1005,0)),"MISSING ID")</x:f>
        <x:v>Resources</x:v>
      </x:c>
      <x:c r="E413" s="4" t="str">
        <x:f>IFERROR(INDEX('Material routes'!$C$6:$C$1005,MATCH(U413,'Material routes'!$A$6:$A$1005,0)),"MISSING ID")</x:f>
        <x:v>Ingredient candidate</x:v>
      </x:c>
      <x:c r="F413" s="4" t="str">
        <x:f>IFERROR(INDEX('Material routes'!$E$6:$E$1005,MATCH(V413,'Material routes'!$A$6:$A$1005,0)),"MISSING ID")</x:f>
        <x:v>Drive tensioner assembly</x:v>
      </x:c>
      <x:c r="G413" s="4" t="str">
        <x:f>IFERROR(INDEX('Material routes'!$F$6:$F$1005,MATCH(V413,'Material routes'!$A$6:$A$1005,0)),"MISSING ID")</x:f>
        <x:v>T4</x:v>
      </x:c>
      <x:c r="H413" s="4" t="str">
        <x:f>IFERROR(INDEX('Material routes'!$H$6:$H$1005,MATCH(V413,'Material routes'!$A$6:$A$1005,0)),"MISSING ID")</x:f>
        <x:v>Crafting component</x:v>
      </x:c>
      <x:c r="I413" s="4" t="str">
        <x:f>IFERROR(INDEX('Material routes'!$G$6:$G$1005,MATCH(V413,'Material routes'!$A$6:$A$1005,0)),"MISSING ID")</x:f>
        <x:v>Crafting components</x:v>
      </x:c>
      <x:c r="J413" s="4" t="str">
        <x:f>IFERROR(INDEX('Material routes'!$B$6:$B$1005,MATCH(U413,'Material routes'!$A$6:$A$1005,0)),"MISSING ID")</x:f>
        <x:v>design.review.proposal_legger_tensioner</x:v>
      </x:c>
      <x:c r="K413" s="4" t="str">
        <x:f>IFERROR(INDEX('Crafting recipes'!$C$6:$C$1005,MATCH(J413,'Crafting recipes'!$A$6:$A$1005,0)),"MISSING ID")</x:f>
        <x:v>Material refinement</x:v>
      </x:c>
      <x:c r="L413" s="4" t="str">
        <x:f>IFERROR(INDEX('Material routes'!$K$6:$K$1005,MATCH(U413,'Material routes'!$A$6:$A$1005,0)),"MISSING ID")</x:f>
        <x:v>Proposal</x:v>
      </x:c>
      <x:c r="M413" s="4" t="str">
        <x:f>IFERROR(INDEX('Material routes'!$M$6:$M$1005,MATCH(U413,'Material routes'!$A$6:$A$1005,0)),"MISSING ID")</x:f>
        <x:v>Partial proposal</x:v>
      </x:c>
      <x:c r="N413" s="4" t="str">
        <x:f>IF(IFERROR(INDEX('Material routes'!$I$6:$I$1005,MATCH(U413,'Material routes'!$A$6:$A$1005,0)),"MISSING ID")=0,"",IFERROR(INDEX('Material routes'!$I$6:$I$1005,MATCH(U413,'Material routes'!$A$6:$A$1005,0)),"MISSING ID"))</x:f>
      </x:c>
      <x:c r="O413" s="4" t="str">
        <x:f>IFERROR(INDEX('Material routes'!$J$6:$J$1005,MATCH(U413,'Material routes'!$A$6:$A$1005,0)),"MISSING ID")</x:f>
        <x:v>Unspecified</x:v>
      </x:c>
      <x:c r="P413" s="4" t="str">
        <x:f>IF(IFERROR(INDEX('Material routes'!$I$6:$I$1005,MATCH(V413,'Material routes'!$A$6:$A$1005,0)),"MISSING ID")=0,"",IFERROR(INDEX('Material routes'!$I$6:$I$1005,MATCH(V413,'Material routes'!$A$6:$A$1005,0)),"MISSING ID"))</x:f>
      </x:c>
      <x:c r="Q413" s="4" t="str">
        <x:f>IFERROR(INDEX('Material routes'!$J$6:$J$1005,MATCH(V413,'Material routes'!$A$6:$A$1005,0)),"MISSING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routes'!$D$6:$D$1005,MATCH(U413,'Material routes'!$A$6:$A$1005,0)),"MISSING ID")</x:f>
        <x:v>proposal.branch.spring_steel</x:v>
      </x:c>
      <x:c r="T413" s="4" t="str">
        <x:f>IFERROR(INDEX('Material routes'!$D$6:$D$1005,MATCH(V413,'Material routes'!$A$6:$A$1005,0)),"MISSING ID")</x:f>
        <x:v>proposal.legger.tensioner</x:v>
      </x:c>
      <x:c r="U413" s="4" t="str">
        <x:v>design.review.proposal_legger_tensioner.in.1</x:v>
      </x:c>
      <x:c r="V413" s="4" t="str">
        <x:v>design.review.proposal_legger_tensioner.out</x:v>
      </x:c>
    </x:row>
    <x:row r="414" ht="115" customHeight="1">
      <x:c r="A414" s="4" t="str">
        <x:f>IFERROR(INDEX('Material routes'!$E$6:$E$1005,MATCH(U414,'Material routes'!$A$6:$A$1005,0)),"MISSING ID")</x:f>
        <x:v>Lapped bronze bearing blanks</x:v>
      </x:c>
      <x:c r="B414" s="4" t="str">
        <x:f>IFERROR(INDEX('Material routes'!$F$6:$F$1005,MATCH(U414,'Material routes'!$A$6:$A$1005,0)),"MISSING ID")</x:f>
        <x:v>T3</x:v>
      </x:c>
      <x:c r="C414" s="4" t="str">
        <x:f>IFERROR(INDEX('Material routes'!$H$6:$H$1005,MATCH(U414,'Material routes'!$A$6:$A$1005,0)),"MISSING ID")</x:f>
        <x:v>Crafting component</x:v>
      </x:c>
      <x:c r="D414" s="4" t="str">
        <x:f>IFERROR(INDEX('Material routes'!$G$6:$G$1005,MATCH(U414,'Material routes'!$A$6:$A$1005,0)),"MISSING ID")</x:f>
        <x:v>Crafting components</x:v>
      </x:c>
      <x:c r="E414" s="4" t="str">
        <x:f>IFERROR(INDEX('Material routes'!$C$6:$C$1005,MATCH(U414,'Material routes'!$A$6:$A$1005,0)),"MISSING ID")</x:f>
        <x:v>Ingredient candidate</x:v>
      </x:c>
      <x:c r="F414" s="4" t="str">
        <x:f>IFERROR(INDEX('Material routes'!$E$6:$E$1005,MATCH(V414,'Material routes'!$A$6:$A$1005,0)),"MISSING ID")</x:f>
        <x:v>Drive tensioner assembly</x:v>
      </x:c>
      <x:c r="G414" s="4" t="str">
        <x:f>IFERROR(INDEX('Material routes'!$F$6:$F$1005,MATCH(V414,'Material routes'!$A$6:$A$1005,0)),"MISSING ID")</x:f>
        <x:v>T4</x:v>
      </x:c>
      <x:c r="H414" s="4" t="str">
        <x:f>IFERROR(INDEX('Material routes'!$H$6:$H$1005,MATCH(V414,'Material routes'!$A$6:$A$1005,0)),"MISSING ID")</x:f>
        <x:v>Crafting component</x:v>
      </x:c>
      <x:c r="I414" s="4" t="str">
        <x:f>IFERROR(INDEX('Material routes'!$G$6:$G$1005,MATCH(V414,'Material routes'!$A$6:$A$1005,0)),"MISSING ID")</x:f>
        <x:v>Crafting components</x:v>
      </x:c>
      <x:c r="J414" s="4" t="str">
        <x:f>IFERROR(INDEX('Material routes'!$B$6:$B$1005,MATCH(U414,'Material routes'!$A$6:$A$1005,0)),"MISSING ID")</x:f>
        <x:v>design.review.proposal_legger_tensioner</x:v>
      </x:c>
      <x:c r="K414" s="4" t="str">
        <x:f>IFERROR(INDEX('Crafting recipes'!$C$6:$C$1005,MATCH(J414,'Crafting recipes'!$A$6:$A$1005,0)),"MISSING ID")</x:f>
        <x:v>Material refinement</x:v>
      </x:c>
      <x:c r="L414" s="4" t="str">
        <x:f>IFERROR(INDEX('Material routes'!$K$6:$K$1005,MATCH(U414,'Material routes'!$A$6:$A$1005,0)),"MISSING ID")</x:f>
        <x:v>Proposal</x:v>
      </x:c>
      <x:c r="M414" s="4" t="str">
        <x:f>IFERROR(INDEX('Material routes'!$M$6:$M$1005,MATCH(U414,'Material routes'!$A$6:$A$1005,0)),"MISSING ID")</x:f>
        <x:v>Partial proposal</x:v>
      </x:c>
      <x:c r="N414" s="4" t="str">
        <x:f>IF(IFERROR(INDEX('Material routes'!$I$6:$I$1005,MATCH(U414,'Material routes'!$A$6:$A$1005,0)),"MISSING ID")=0,"",IFERROR(INDEX('Material routes'!$I$6:$I$1005,MATCH(U414,'Material routes'!$A$6:$A$1005,0)),"MISSING ID"))</x:f>
      </x:c>
      <x:c r="O414" s="4" t="str">
        <x:f>IFERROR(INDEX('Material routes'!$J$6:$J$1005,MATCH(U414,'Material routes'!$A$6:$A$1005,0)),"MISSING ID")</x:f>
        <x:v>Unspecified</x:v>
      </x:c>
      <x:c r="P414" s="4" t="str">
        <x:f>IF(IFERROR(INDEX('Material routes'!$I$6:$I$1005,MATCH(V414,'Material routes'!$A$6:$A$1005,0)),"MISSING ID")=0,"",IFERROR(INDEX('Material routes'!$I$6:$I$1005,MATCH(V414,'Material routes'!$A$6:$A$1005,0)),"MISSING ID"))</x:f>
      </x:c>
      <x:c r="Q414" s="4" t="str">
        <x:f>IFERROR(INDEX('Material routes'!$J$6:$J$1005,MATCH(V414,'Material routes'!$A$6:$A$1005,0)),"MISSING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routes'!$D$6:$D$1005,MATCH(U414,'Material routes'!$A$6:$A$1005,0)),"MISSING ID")</x:f>
        <x:v>proposal.t3.bearing_blank</x:v>
      </x:c>
      <x:c r="T414" s="4" t="str">
        <x:f>IFERROR(INDEX('Material routes'!$D$6:$D$1005,MATCH(V414,'Material routes'!$A$6:$A$1005,0)),"MISSING ID")</x:f>
        <x:v>proposal.legger.tensioner</x:v>
      </x:c>
      <x:c r="U414" s="4" t="str">
        <x:v>design.review.proposal_legger_tensioner.in.2</x:v>
      </x:c>
      <x:c r="V414" s="4" t="str">
        <x:v>design.review.proposal_legger_tensioner.out</x:v>
      </x:c>
    </x:row>
    <x:row r="415" ht="115" customHeight="1">
      <x:c r="A415" s="4" t="str">
        <x:f>IFERROR(INDEX('Material routes'!$E$6:$E$1005,MATCH(U415,'Material routes'!$A$6:$A$1005,0)),"MISSING ID")</x:f>
        <x:v>Steel stock</x:v>
      </x:c>
      <x:c r="B415" s="4" t="str">
        <x:f>IFERROR(INDEX('Material routes'!$F$6:$F$1005,MATCH(U415,'Material routes'!$A$6:$A$1005,0)),"MISSING ID")</x:f>
        <x:v>T2</x:v>
      </x:c>
      <x:c r="C415" s="4" t="str">
        <x:f>IFERROR(INDEX('Material routes'!$H$6:$H$1005,MATCH(U415,'Material routes'!$A$6:$A$1005,0)),"MISSING ID")</x:f>
        <x:v>Processed material</x:v>
      </x:c>
      <x:c r="D415" s="4" t="str">
        <x:f>IFERROR(INDEX('Material routes'!$G$6:$G$1005,MATCH(U415,'Material routes'!$A$6:$A$1005,0)),"MISSING ID")</x:f>
        <x:v>Resources</x:v>
      </x:c>
      <x:c r="E415" s="4" t="str">
        <x:f>IFERROR(INDEX('Material routes'!$C$6:$C$1005,MATCH(U415,'Material routes'!$A$6:$A$1005,0)),"MISSING ID")</x:f>
        <x:v>Ingredient candidate</x:v>
      </x:c>
      <x:c r="F415" s="4" t="str">
        <x:f>IFERROR(INDEX('Material routes'!$E$6:$E$1005,MATCH(V415,'Material routes'!$A$6:$A$1005,0)),"MISSING ID")</x:f>
        <x:v>Drive tensioner assembly</x:v>
      </x:c>
      <x:c r="G415" s="4" t="str">
        <x:f>IFERROR(INDEX('Material routes'!$F$6:$F$1005,MATCH(V415,'Material routes'!$A$6:$A$1005,0)),"MISSING ID")</x:f>
        <x:v>T4</x:v>
      </x:c>
      <x:c r="H415" s="4" t="str">
        <x:f>IFERROR(INDEX('Material routes'!$H$6:$H$1005,MATCH(V415,'Material routes'!$A$6:$A$1005,0)),"MISSING ID")</x:f>
        <x:v>Crafting component</x:v>
      </x:c>
      <x:c r="I415" s="4" t="str">
        <x:f>IFERROR(INDEX('Material routes'!$G$6:$G$1005,MATCH(V415,'Material routes'!$A$6:$A$1005,0)),"MISSING ID")</x:f>
        <x:v>Crafting components</x:v>
      </x:c>
      <x:c r="J415" s="4" t="str">
        <x:f>IFERROR(INDEX('Material routes'!$B$6:$B$1005,MATCH(U415,'Material routes'!$A$6:$A$1005,0)),"MISSING ID")</x:f>
        <x:v>design.review.proposal_legger_tensioner</x:v>
      </x:c>
      <x:c r="K415" s="4" t="str">
        <x:f>IFERROR(INDEX('Crafting recipes'!$C$6:$C$1005,MATCH(J415,'Crafting recipes'!$A$6:$A$1005,0)),"MISSING ID")</x:f>
        <x:v>Material refinement</x:v>
      </x:c>
      <x:c r="L415" s="4" t="str">
        <x:f>IFERROR(INDEX('Material routes'!$K$6:$K$1005,MATCH(U415,'Material routes'!$A$6:$A$1005,0)),"MISSING ID")</x:f>
        <x:v>Proposal</x:v>
      </x:c>
      <x:c r="M415" s="4" t="str">
        <x:f>IFERROR(INDEX('Material routes'!$M$6:$M$1005,MATCH(U415,'Material routes'!$A$6:$A$1005,0)),"MISSING ID")</x:f>
        <x:v>Partial proposal</x:v>
      </x:c>
      <x:c r="N415" s="4" t="str">
        <x:f>IF(IFERROR(INDEX('Material routes'!$I$6:$I$1005,MATCH(U415,'Material routes'!$A$6:$A$1005,0)),"MISSING ID")=0,"",IFERROR(INDEX('Material routes'!$I$6:$I$1005,MATCH(U415,'Material routes'!$A$6:$A$1005,0)),"MISSING ID"))</x:f>
      </x:c>
      <x:c r="O415" s="4" t="str">
        <x:f>IFERROR(INDEX('Material routes'!$J$6:$J$1005,MATCH(U415,'Material routes'!$A$6:$A$1005,0)),"MISSING ID")</x:f>
        <x:v>Unspecified</x:v>
      </x:c>
      <x:c r="P415" s="4" t="str">
        <x:f>IF(IFERROR(INDEX('Material routes'!$I$6:$I$1005,MATCH(V415,'Material routes'!$A$6:$A$1005,0)),"MISSING ID")=0,"",IFERROR(INDEX('Material routes'!$I$6:$I$1005,MATCH(V415,'Material routes'!$A$6:$A$1005,0)),"MISSING ID"))</x:f>
      </x:c>
      <x:c r="Q415" s="4" t="str">
        <x:f>IFERROR(INDEX('Material routes'!$J$6:$J$1005,MATCH(V415,'Material routes'!$A$6:$A$1005,0)),"MISSING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routes'!$D$6:$D$1005,MATCH(U415,'Material routes'!$A$6:$A$1005,0)),"MISSING ID")</x:f>
        <x:v>author.metallurgy.steel_stock</x:v>
      </x:c>
      <x:c r="T415" s="4" t="str">
        <x:f>IFERROR(INDEX('Material routes'!$D$6:$D$1005,MATCH(V415,'Material routes'!$A$6:$A$1005,0)),"MISSING ID")</x:f>
        <x:v>proposal.legger.tensioner</x:v>
      </x:c>
      <x:c r="U415" s="4" t="str">
        <x:v>design.review.proposal_legger_tensioner.in.3</x:v>
      </x:c>
      <x:c r="V415" s="4" t="str">
        <x:v>design.review.proposal_legger_tensioner.out</x:v>
      </x:c>
    </x:row>
    <x:row r="416" ht="115" customHeight="1">
      <x:c r="A416" s="4" t="str">
        <x:f>IFERROR(INDEX('Material routes'!$E$6:$E$1005,MATCH(U416,'Material routes'!$A$6:$A$1005,0)),"MISSING ID")</x:f>
        <x:v>Conditioned mechanism-service grease</x:v>
      </x:c>
      <x:c r="B416" s="4" t="str">
        <x:f>IFERROR(INDEX('Material routes'!$F$6:$F$1005,MATCH(U416,'Material routes'!$A$6:$A$1005,0)),"MISSING ID")</x:f>
        <x:v>T3</x:v>
      </x:c>
      <x:c r="C416" s="4" t="str">
        <x:f>IFERROR(INDEX('Material routes'!$H$6:$H$1005,MATCH(U416,'Material routes'!$A$6:$A$1005,0)),"MISSING ID")</x:f>
        <x:v>Chemical material</x:v>
      </x:c>
      <x:c r="D416" s="4" t="str">
        <x:f>IFERROR(INDEX('Material routes'!$G$6:$G$1005,MATCH(U416,'Material routes'!$A$6:$A$1005,0)),"MISSING ID")</x:f>
        <x:v>Resources</x:v>
      </x:c>
      <x:c r="E416" s="4" t="str">
        <x:f>IFERROR(INDEX('Material routes'!$C$6:$C$1005,MATCH(U416,'Material routes'!$A$6:$A$1005,0)),"MISSING ID")</x:f>
        <x:v>Ingredient candidate</x:v>
      </x:c>
      <x:c r="F416" s="4" t="str">
        <x:f>IFERROR(INDEX('Material routes'!$E$6:$E$1005,MATCH(V416,'Material routes'!$A$6:$A$1005,0)),"MISSING ID")</x:f>
        <x:v>Drive tensioner assembly</x:v>
      </x:c>
      <x:c r="G416" s="4" t="str">
        <x:f>IFERROR(INDEX('Material routes'!$F$6:$F$1005,MATCH(V416,'Material routes'!$A$6:$A$1005,0)),"MISSING ID")</x:f>
        <x:v>T4</x:v>
      </x:c>
      <x:c r="H416" s="4" t="str">
        <x:f>IFERROR(INDEX('Material routes'!$H$6:$H$1005,MATCH(V416,'Material routes'!$A$6:$A$1005,0)),"MISSING ID")</x:f>
        <x:v>Crafting component</x:v>
      </x:c>
      <x:c r="I416" s="4" t="str">
        <x:f>IFERROR(INDEX('Material routes'!$G$6:$G$1005,MATCH(V416,'Material routes'!$A$6:$A$1005,0)),"MISSING ID")</x:f>
        <x:v>Crafting components</x:v>
      </x:c>
      <x:c r="J416" s="4" t="str">
        <x:f>IFERROR(INDEX('Material routes'!$B$6:$B$1005,MATCH(U416,'Material routes'!$A$6:$A$1005,0)),"MISSING ID")</x:f>
        <x:v>design.review.proposal_legger_tensioner</x:v>
      </x:c>
      <x:c r="K416" s="4" t="str">
        <x:f>IFERROR(INDEX('Crafting recipes'!$C$6:$C$1005,MATCH(J416,'Crafting recipes'!$A$6:$A$1005,0)),"MISSING ID")</x:f>
        <x:v>Material refinement</x:v>
      </x:c>
      <x:c r="L416" s="4" t="str">
        <x:f>IFERROR(INDEX('Material routes'!$K$6:$K$1005,MATCH(U416,'Material routes'!$A$6:$A$1005,0)),"MISSING ID")</x:f>
        <x:v>Proposal</x:v>
      </x:c>
      <x:c r="M416" s="4" t="str">
        <x:f>IFERROR(INDEX('Material routes'!$M$6:$M$1005,MATCH(U416,'Material routes'!$A$6:$A$1005,0)),"MISSING ID")</x:f>
        <x:v>Partial proposal</x:v>
      </x:c>
      <x:c r="N416" s="4" t="str">
        <x:f>IF(IFERROR(INDEX('Material routes'!$I$6:$I$1005,MATCH(U416,'Material routes'!$A$6:$A$1005,0)),"MISSING ID")=0,"",IFERROR(INDEX('Material routes'!$I$6:$I$1005,MATCH(U416,'Material routes'!$A$6:$A$1005,0)),"MISSING ID"))</x:f>
      </x:c>
      <x:c r="O416" s="4" t="str">
        <x:f>IFERROR(INDEX('Material routes'!$J$6:$J$1005,MATCH(U416,'Material routes'!$A$6:$A$1005,0)),"MISSING ID")</x:f>
        <x:v>Unspecified</x:v>
      </x:c>
      <x:c r="P416" s="4" t="str">
        <x:f>IF(IFERROR(INDEX('Material routes'!$I$6:$I$1005,MATCH(V416,'Material routes'!$A$6:$A$1005,0)),"MISSING ID")=0,"",IFERROR(INDEX('Material routes'!$I$6:$I$1005,MATCH(V416,'Material routes'!$A$6:$A$1005,0)),"MISSING ID"))</x:f>
      </x:c>
      <x:c r="Q416" s="4" t="str">
        <x:f>IFERROR(INDEX('Material routes'!$J$6:$J$1005,MATCH(V416,'Material routes'!$A$6:$A$1005,0)),"MISSING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routes'!$D$6:$D$1005,MATCH(U416,'Material routes'!$A$6:$A$1005,0)),"MISSING ID")</x:f>
        <x:v>proposal.t3.service_grease</x:v>
      </x:c>
      <x:c r="T416" s="4" t="str">
        <x:f>IFERROR(INDEX('Material routes'!$D$6:$D$1005,MATCH(V416,'Material routes'!$A$6:$A$1005,0)),"MISSING ID")</x:f>
        <x:v>proposal.legger.tensioner</x:v>
      </x:c>
      <x:c r="U416" s="4" t="str">
        <x:v>design.review.proposal_legger_tensioner.in.4</x:v>
      </x:c>
      <x:c r="V416" s="4" t="str">
        <x:v>design.review.proposal_legger_tensioner.out</x:v>
      </x:c>
    </x:row>
    <x:row r="417" ht="115" customHeight="1">
      <x:c r="A417" s="4" t="str">
        <x:f>IFERROR(INDEX('Material routes'!$E$6:$E$1005,MATCH(U417,'Material routes'!$A$6:$A$1005,0)),"MISSING ID")</x:f>
        <x:v>Steel stock</x:v>
      </x:c>
      <x:c r="B417" s="4" t="str">
        <x:f>IFERROR(INDEX('Material routes'!$F$6:$F$1005,MATCH(U417,'Material routes'!$A$6:$A$1005,0)),"MISSING ID")</x:f>
        <x:v>T2</x:v>
      </x:c>
      <x:c r="C417" s="4" t="str">
        <x:f>IFERROR(INDEX('Material routes'!$H$6:$H$1005,MATCH(U417,'Material routes'!$A$6:$A$1005,0)),"MISSING ID")</x:f>
        <x:v>Processed material</x:v>
      </x:c>
      <x:c r="D417" s="4" t="str">
        <x:f>IFERROR(INDEX('Material routes'!$G$6:$G$1005,MATCH(U417,'Material routes'!$A$6:$A$1005,0)),"MISSING ID")</x:f>
        <x:v>Resources</x:v>
      </x:c>
      <x:c r="E417" s="4" t="str">
        <x:f>IFERROR(INDEX('Material routes'!$C$6:$C$1005,MATCH(U417,'Material routes'!$A$6:$A$1005,0)),"MISSING ID")</x:f>
        <x:v>Ingredient candidate</x:v>
      </x:c>
      <x:c r="F417" s="4" t="str">
        <x:f>IFERROR(INDEX('Material routes'!$E$6:$E$1005,MATCH(V417,'Material routes'!$A$6:$A$1005,0)),"MISSING ID")</x:f>
        <x:v>Joint grit-scraper ring</x:v>
      </x:c>
      <x:c r="G417" s="4" t="str">
        <x:f>IFERROR(INDEX('Material routes'!$F$6:$F$1005,MATCH(V417,'Material routes'!$A$6:$A$1005,0)),"MISSING ID")</x:f>
        <x:v>T3</x:v>
      </x:c>
      <x:c r="H417" s="4" t="str">
        <x:f>IFERROR(INDEX('Material routes'!$H$6:$H$1005,MATCH(V417,'Material routes'!$A$6:$A$1005,0)),"MISSING ID")</x:f>
        <x:v>Crafting component</x:v>
      </x:c>
      <x:c r="I417" s="4" t="str">
        <x:f>IFERROR(INDEX('Material routes'!$G$6:$G$1005,MATCH(V417,'Material routes'!$A$6:$A$1005,0)),"MISSING ID")</x:f>
        <x:v>Crafting components</x:v>
      </x:c>
      <x:c r="J417" s="4" t="str">
        <x:f>IFERROR(INDEX('Material routes'!$B$6:$B$1005,MATCH(U417,'Material routes'!$A$6:$A$1005,0)),"MISSING ID")</x:f>
        <x:v>design.review.proposal_legger_scraper_ring</x:v>
      </x:c>
      <x:c r="K417" s="4" t="str">
        <x:f>IFERROR(INDEX('Crafting recipes'!$C$6:$C$1005,MATCH(J417,'Crafting recipes'!$A$6:$A$1005,0)),"MISSING ID")</x:f>
        <x:v>Material refinement</x:v>
      </x:c>
      <x:c r="L417" s="4" t="str">
        <x:f>IFERROR(INDEX('Material routes'!$K$6:$K$1005,MATCH(U417,'Material routes'!$A$6:$A$1005,0)),"MISSING ID")</x:f>
        <x:v>Proposal</x:v>
      </x:c>
      <x:c r="M417" s="4" t="str">
        <x:f>IFERROR(INDEX('Material routes'!$M$6:$M$1005,MATCH(U417,'Material routes'!$A$6:$A$1005,0)),"MISSING ID")</x:f>
        <x:v>Partial proposal</x:v>
      </x:c>
      <x:c r="N417" s="4" t="str">
        <x:f>IF(IFERROR(INDEX('Material routes'!$I$6:$I$1005,MATCH(U417,'Material routes'!$A$6:$A$1005,0)),"MISSING ID")=0,"",IFERROR(INDEX('Material routes'!$I$6:$I$1005,MATCH(U417,'Material routes'!$A$6:$A$1005,0)),"MISSING ID"))</x:f>
      </x:c>
      <x:c r="O417" s="4" t="str">
        <x:f>IFERROR(INDEX('Material routes'!$J$6:$J$1005,MATCH(U417,'Material routes'!$A$6:$A$1005,0)),"MISSING ID")</x:f>
        <x:v>Unspecified</x:v>
      </x:c>
      <x:c r="P417" s="4" t="str">
        <x:f>IF(IFERROR(INDEX('Material routes'!$I$6:$I$1005,MATCH(V417,'Material routes'!$A$6:$A$1005,0)),"MISSING ID")=0,"",IFERROR(INDEX('Material routes'!$I$6:$I$1005,MATCH(V417,'Material routes'!$A$6:$A$1005,0)),"MISSING ID"))</x:f>
      </x:c>
      <x:c r="Q417" s="4" t="str">
        <x:f>IFERROR(INDEX('Material routes'!$J$6:$J$1005,MATCH(V417,'Material routes'!$A$6:$A$1005,0)),"MISSING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routes'!$D$6:$D$1005,MATCH(U417,'Material routes'!$A$6:$A$1005,0)),"MISSING ID")</x:f>
        <x:v>author.metallurgy.steel_stock</x:v>
      </x:c>
      <x:c r="T417" s="4" t="str">
        <x:f>IFERROR(INDEX('Material routes'!$D$6:$D$1005,MATCH(V417,'Material routes'!$A$6:$A$1005,0)),"MISSING ID")</x:f>
        <x:v>proposal.legger.scraper_ring</x:v>
      </x:c>
      <x:c r="U417" s="4" t="str">
        <x:v>design.review.proposal_legger_scraper_ring.in.1</x:v>
      </x:c>
      <x:c r="V417" s="4" t="str">
        <x:v>design.review.proposal_legger_scraper_ring.out</x:v>
      </x:c>
    </x:row>
    <x:row r="418" ht="115" customHeight="1">
      <x:c r="A418" s="4" t="str">
        <x:f>IFERROR(INDEX('Material routes'!$E$6:$E$1005,MATCH(U418,'Material routes'!$A$6:$A$1005,0)),"MISSING ID")</x:f>
        <x:v>Filled faunal seal compound</x:v>
      </x:c>
      <x:c r="B418" s="4" t="str">
        <x:f>IFERROR(INDEX('Material routes'!$F$6:$F$1005,MATCH(U418,'Material routes'!$A$6:$A$1005,0)),"MISSING ID")</x:f>
        <x:v>T2</x:v>
      </x:c>
      <x:c r="C418" s="4" t="str">
        <x:f>IFERROR(INDEX('Material routes'!$H$6:$H$1005,MATCH(U418,'Material routes'!$A$6:$A$1005,0)),"MISSING ID")</x:f>
        <x:v>Chemical material</x:v>
      </x:c>
      <x:c r="D418" s="4" t="str">
        <x:f>IFERROR(INDEX('Material routes'!$G$6:$G$1005,MATCH(U418,'Material routes'!$A$6:$A$1005,0)),"MISSING ID")</x:f>
        <x:v>Resources</x:v>
      </x:c>
      <x:c r="E418" s="4" t="str">
        <x:f>IFERROR(INDEX('Material routes'!$C$6:$C$1005,MATCH(U418,'Material routes'!$A$6:$A$1005,0)),"MISSING ID")</x:f>
        <x:v>Ingredient candidate</x:v>
      </x:c>
      <x:c r="F418" s="4" t="str">
        <x:f>IFERROR(INDEX('Material routes'!$E$6:$E$1005,MATCH(V418,'Material routes'!$A$6:$A$1005,0)),"MISSING ID")</x:f>
        <x:v>Joint grit-scraper ring</x:v>
      </x:c>
      <x:c r="G418" s="4" t="str">
        <x:f>IFERROR(INDEX('Material routes'!$F$6:$F$1005,MATCH(V418,'Material routes'!$A$6:$A$1005,0)),"MISSING ID")</x:f>
        <x:v>T3</x:v>
      </x:c>
      <x:c r="H418" s="4" t="str">
        <x:f>IFERROR(INDEX('Material routes'!$H$6:$H$1005,MATCH(V418,'Material routes'!$A$6:$A$1005,0)),"MISSING ID")</x:f>
        <x:v>Crafting component</x:v>
      </x:c>
      <x:c r="I418" s="4" t="str">
        <x:f>IFERROR(INDEX('Material routes'!$G$6:$G$1005,MATCH(V418,'Material routes'!$A$6:$A$1005,0)),"MISSING ID")</x:f>
        <x:v>Crafting components</x:v>
      </x:c>
      <x:c r="J418" s="4" t="str">
        <x:f>IFERROR(INDEX('Material routes'!$B$6:$B$1005,MATCH(U418,'Material routes'!$A$6:$A$1005,0)),"MISSING ID")</x:f>
        <x:v>design.review.proposal_legger_scraper_ring</x:v>
      </x:c>
      <x:c r="K418" s="4" t="str">
        <x:f>IFERROR(INDEX('Crafting recipes'!$C$6:$C$1005,MATCH(J418,'Crafting recipes'!$A$6:$A$1005,0)),"MISSING ID")</x:f>
        <x:v>Material refinement</x:v>
      </x:c>
      <x:c r="L418" s="4" t="str">
        <x:f>IFERROR(INDEX('Material routes'!$K$6:$K$1005,MATCH(U418,'Material routes'!$A$6:$A$1005,0)),"MISSING ID")</x:f>
        <x:v>Proposal</x:v>
      </x:c>
      <x:c r="M418" s="4" t="str">
        <x:f>IFERROR(INDEX('Material routes'!$M$6:$M$1005,MATCH(U418,'Material routes'!$A$6:$A$1005,0)),"MISSING ID")</x:f>
        <x:v>Partial proposal</x:v>
      </x:c>
      <x:c r="N418" s="4" t="str">
        <x:f>IF(IFERROR(INDEX('Material routes'!$I$6:$I$1005,MATCH(U418,'Material routes'!$A$6:$A$1005,0)),"MISSING ID")=0,"",IFERROR(INDEX('Material routes'!$I$6:$I$1005,MATCH(U418,'Material routes'!$A$6:$A$1005,0)),"MISSING ID"))</x:f>
      </x:c>
      <x:c r="O418" s="4" t="str">
        <x:f>IFERROR(INDEX('Material routes'!$J$6:$J$1005,MATCH(U418,'Material routes'!$A$6:$A$1005,0)),"MISSING ID")</x:f>
        <x:v>Unspecified</x:v>
      </x:c>
      <x:c r="P418" s="4" t="str">
        <x:f>IF(IFERROR(INDEX('Material routes'!$I$6:$I$1005,MATCH(V418,'Material routes'!$A$6:$A$1005,0)),"MISSING ID")=0,"",IFERROR(INDEX('Material routes'!$I$6:$I$1005,MATCH(V418,'Material routes'!$A$6:$A$1005,0)),"MISSING ID"))</x:f>
      </x:c>
      <x:c r="Q418" s="4" t="str">
        <x:f>IFERROR(INDEX('Material routes'!$J$6:$J$1005,MATCH(V418,'Material routes'!$A$6:$A$1005,0)),"MISSING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routes'!$D$6:$D$1005,MATCH(U418,'Material routes'!$A$6:$A$1005,0)),"MISSING ID")</x:f>
        <x:v>proposal.branch.filled_seal</x:v>
      </x:c>
      <x:c r="T418" s="4" t="str">
        <x:f>IFERROR(INDEX('Material routes'!$D$6:$D$1005,MATCH(V418,'Material routes'!$A$6:$A$1005,0)),"MISSING ID")</x:f>
        <x:v>proposal.legger.scraper_ring</x:v>
      </x:c>
      <x:c r="U418" s="4" t="str">
        <x:v>design.review.proposal_legger_scraper_ring.in.2</x:v>
      </x:c>
      <x:c r="V418" s="4" t="str">
        <x:v>design.review.proposal_legger_scraper_ring.out</x:v>
      </x:c>
    </x:row>
    <x:row r="419" ht="115" customHeight="1">
      <x:c r="A419" s="4" t="str">
        <x:f>IFERROR(INDEX('Material routes'!$E$6:$E$1005,MATCH(U419,'Material routes'!$A$6:$A$1005,0)),"MISSING ID")</x:f>
        <x:v>Drawn steel tube stock</x:v>
      </x:c>
      <x:c r="B419" s="4" t="str">
        <x:f>IFERROR(INDEX('Material routes'!$F$6:$F$1005,MATCH(U419,'Material routes'!$A$6:$A$1005,0)),"MISSING ID")</x:f>
        <x:v>T3</x:v>
      </x:c>
      <x:c r="C419" s="4" t="str">
        <x:f>IFERROR(INDEX('Material routes'!$H$6:$H$1005,MATCH(U419,'Material routes'!$A$6:$A$1005,0)),"MISSING ID")</x:f>
        <x:v>Processed material</x:v>
      </x:c>
      <x:c r="D419" s="4" t="str">
        <x:f>IFERROR(INDEX('Material routes'!$G$6:$G$1005,MATCH(U419,'Material routes'!$A$6:$A$1005,0)),"MISSING ID")</x:f>
        <x:v>Resources</x:v>
      </x:c>
      <x:c r="E419" s="4" t="str">
        <x:f>IFERROR(INDEX('Material routes'!$C$6:$C$1005,MATCH(U419,'Material routes'!$A$6:$A$1005,0)),"MISSING ID")</x:f>
        <x:v>Ingredient candidate</x:v>
      </x:c>
      <x:c r="F419" s="4" t="str">
        <x:f>IFERROR(INDEX('Material routes'!$E$6:$E$1005,MATCH(V419,'Material routes'!$A$6:$A$1005,0)),"MISSING ID")</x:f>
        <x:v>Lubricant service-port adapter</x:v>
      </x:c>
      <x:c r="G419" s="4" t="str">
        <x:f>IFERROR(INDEX('Material routes'!$F$6:$F$1005,MATCH(V419,'Material routes'!$A$6:$A$1005,0)),"MISSING ID")</x:f>
        <x:v>T4</x:v>
      </x:c>
      <x:c r="H419" s="4" t="str">
        <x:f>IFERROR(INDEX('Material routes'!$H$6:$H$1005,MATCH(V419,'Material routes'!$A$6:$A$1005,0)),"MISSING ID")</x:f>
        <x:v>Container part</x:v>
      </x:c>
      <x:c r="I419" s="4" t="str">
        <x:f>IFERROR(INDEX('Material routes'!$G$6:$G$1005,MATCH(V419,'Material routes'!$A$6:$A$1005,0)),"MISSING ID")</x:f>
        <x:v>Crafting components</x:v>
      </x:c>
      <x:c r="J419" s="4" t="str">
        <x:f>IFERROR(INDEX('Material routes'!$B$6:$B$1005,MATCH(U419,'Material routes'!$A$6:$A$1005,0)),"MISSING ID")</x:f>
        <x:v>design.review.proposal_legger_service_adapter</x:v>
      </x:c>
      <x:c r="K419" s="4" t="str">
        <x:f>IFERROR(INDEX('Crafting recipes'!$C$6:$C$1005,MATCH(J419,'Crafting recipes'!$A$6:$A$1005,0)),"MISSING ID")</x:f>
        <x:v>Material refinement</x:v>
      </x:c>
      <x:c r="L419" s="4" t="str">
        <x:f>IFERROR(INDEX('Material routes'!$K$6:$K$1005,MATCH(U419,'Material routes'!$A$6:$A$1005,0)),"MISSING ID")</x:f>
        <x:v>Proposal</x:v>
      </x:c>
      <x:c r="M419" s="4" t="str">
        <x:f>IFERROR(INDEX('Material routes'!$M$6:$M$1005,MATCH(U419,'Material routes'!$A$6:$A$1005,0)),"MISSING ID")</x:f>
        <x:v>Partial proposal</x:v>
      </x:c>
      <x:c r="N419" s="4" t="str">
        <x:f>IF(IFERROR(INDEX('Material routes'!$I$6:$I$1005,MATCH(U419,'Material routes'!$A$6:$A$1005,0)),"MISSING ID")=0,"",IFERROR(INDEX('Material routes'!$I$6:$I$1005,MATCH(U419,'Material routes'!$A$6:$A$1005,0)),"MISSING ID"))</x:f>
      </x:c>
      <x:c r="O419" s="4" t="str">
        <x:f>IFERROR(INDEX('Material routes'!$J$6:$J$1005,MATCH(U419,'Material routes'!$A$6:$A$1005,0)),"MISSING ID")</x:f>
        <x:v>Unspecified</x:v>
      </x:c>
      <x:c r="P419" s="4" t="str">
        <x:f>IF(IFERROR(INDEX('Material routes'!$I$6:$I$1005,MATCH(V419,'Material routes'!$A$6:$A$1005,0)),"MISSING ID")=0,"",IFERROR(INDEX('Material routes'!$I$6:$I$1005,MATCH(V419,'Material routes'!$A$6:$A$1005,0)),"MISSING ID"))</x:f>
      </x:c>
      <x:c r="Q419" s="4" t="str">
        <x:f>IFERROR(INDEX('Material routes'!$J$6:$J$1005,MATCH(V419,'Material routes'!$A$6:$A$1005,0)),"MISSING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routes'!$D$6:$D$1005,MATCH(U419,'Material routes'!$A$6:$A$1005,0)),"MISSING ID")</x:f>
        <x:v>proposal.t3.precision_tube</x:v>
      </x:c>
      <x:c r="T419" s="4" t="str">
        <x:f>IFERROR(INDEX('Material routes'!$D$6:$D$1005,MATCH(V419,'Material routes'!$A$6:$A$1005,0)),"MISSING ID")</x:f>
        <x:v>proposal.legger.service_adapter</x:v>
      </x:c>
      <x:c r="U419" s="4" t="str">
        <x:v>design.review.proposal_legger_service_adapter.in.1</x:v>
      </x:c>
      <x:c r="V419" s="4" t="str">
        <x:v>design.review.proposal_legger_service_adapter.out</x:v>
      </x:c>
    </x:row>
    <x:row r="420" ht="115" customHeight="1">
      <x:c r="A420" s="4" t="str">
        <x:f>IFERROR(INDEX('Material routes'!$E$6:$E$1005,MATCH(U420,'Material routes'!$A$6:$A$1005,0)),"MISSING ID")</x:f>
        <x:v>Prepared bronze bearing stock</x:v>
      </x:c>
      <x:c r="B420" s="4" t="str">
        <x:f>IFERROR(INDEX('Material routes'!$F$6:$F$1005,MATCH(U420,'Material routes'!$A$6:$A$1005,0)),"MISSING ID")</x:f>
        <x:v>T2</x:v>
      </x:c>
      <x:c r="C420" s="4" t="str">
        <x:f>IFERROR(INDEX('Material routes'!$H$6:$H$1005,MATCH(U420,'Material routes'!$A$6:$A$1005,0)),"MISSING ID")</x:f>
        <x:v>Processed material</x:v>
      </x:c>
      <x:c r="D420" s="4" t="str">
        <x:f>IFERROR(INDEX('Material routes'!$G$6:$G$1005,MATCH(U420,'Material routes'!$A$6:$A$1005,0)),"MISSING ID")</x:f>
        <x:v>Resources</x:v>
      </x:c>
      <x:c r="E420" s="4" t="str">
        <x:f>IFERROR(INDEX('Material routes'!$C$6:$C$1005,MATCH(U420,'Material routes'!$A$6:$A$1005,0)),"MISSING ID")</x:f>
        <x:v>Ingredient candidate</x:v>
      </x:c>
      <x:c r="F420" s="4" t="str">
        <x:f>IFERROR(INDEX('Material routes'!$E$6:$E$1005,MATCH(V420,'Material routes'!$A$6:$A$1005,0)),"MISSING ID")</x:f>
        <x:v>Lubricant service-port adapter</x:v>
      </x:c>
      <x:c r="G420" s="4" t="str">
        <x:f>IFERROR(INDEX('Material routes'!$F$6:$F$1005,MATCH(V420,'Material routes'!$A$6:$A$1005,0)),"MISSING ID")</x:f>
        <x:v>T4</x:v>
      </x:c>
      <x:c r="H420" s="4" t="str">
        <x:f>IFERROR(INDEX('Material routes'!$H$6:$H$1005,MATCH(V420,'Material routes'!$A$6:$A$1005,0)),"MISSING ID")</x:f>
        <x:v>Container part</x:v>
      </x:c>
      <x:c r="I420" s="4" t="str">
        <x:f>IFERROR(INDEX('Material routes'!$G$6:$G$1005,MATCH(V420,'Material routes'!$A$6:$A$1005,0)),"MISSING ID")</x:f>
        <x:v>Crafting components</x:v>
      </x:c>
      <x:c r="J420" s="4" t="str">
        <x:f>IFERROR(INDEX('Material routes'!$B$6:$B$1005,MATCH(U420,'Material routes'!$A$6:$A$1005,0)),"MISSING ID")</x:f>
        <x:v>design.review.proposal_legger_service_adapter</x:v>
      </x:c>
      <x:c r="K420" s="4" t="str">
        <x:f>IFERROR(INDEX('Crafting recipes'!$C$6:$C$1005,MATCH(J420,'Crafting recipes'!$A$6:$A$1005,0)),"MISSING ID")</x:f>
        <x:v>Material refinement</x:v>
      </x:c>
      <x:c r="L420" s="4" t="str">
        <x:f>IFERROR(INDEX('Material routes'!$K$6:$K$1005,MATCH(U420,'Material routes'!$A$6:$A$1005,0)),"MISSING ID")</x:f>
        <x:v>Proposal</x:v>
      </x:c>
      <x:c r="M420" s="4" t="str">
        <x:f>IFERROR(INDEX('Material routes'!$M$6:$M$1005,MATCH(U420,'Material routes'!$A$6:$A$1005,0)),"MISSING ID")</x:f>
        <x:v>Partial proposal</x:v>
      </x:c>
      <x:c r="N420" s="4" t="str">
        <x:f>IF(IFERROR(INDEX('Material routes'!$I$6:$I$1005,MATCH(U420,'Material routes'!$A$6:$A$1005,0)),"MISSING ID")=0,"",IFERROR(INDEX('Material routes'!$I$6:$I$1005,MATCH(U420,'Material routes'!$A$6:$A$1005,0)),"MISSING ID"))</x:f>
      </x:c>
      <x:c r="O420" s="4" t="str">
        <x:f>IFERROR(INDEX('Material routes'!$J$6:$J$1005,MATCH(U420,'Material routes'!$A$6:$A$1005,0)),"MISSING ID")</x:f>
        <x:v>Unspecified</x:v>
      </x:c>
      <x:c r="P420" s="4" t="str">
        <x:f>IF(IFERROR(INDEX('Material routes'!$I$6:$I$1005,MATCH(V420,'Material routes'!$A$6:$A$1005,0)),"MISSING ID")=0,"",IFERROR(INDEX('Material routes'!$I$6:$I$1005,MATCH(V420,'Material routes'!$A$6:$A$1005,0)),"MISSING ID"))</x:f>
      </x:c>
      <x:c r="Q420" s="4" t="str">
        <x:f>IFERROR(INDEX('Material routes'!$J$6:$J$1005,MATCH(V420,'Material routes'!$A$6:$A$1005,0)),"MISSING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routes'!$D$6:$D$1005,MATCH(U420,'Material routes'!$A$6:$A$1005,0)),"MISSING ID")</x:f>
        <x:v>proposal.branch.bearing_bronze</x:v>
      </x:c>
      <x:c r="T420" s="4" t="str">
        <x:f>IFERROR(INDEX('Material routes'!$D$6:$D$1005,MATCH(V420,'Material routes'!$A$6:$A$1005,0)),"MISSING ID")</x:f>
        <x:v>proposal.legger.service_adapter</x:v>
      </x:c>
      <x:c r="U420" s="4" t="str">
        <x:v>design.review.proposal_legger_service_adapter.in.2</x:v>
      </x:c>
      <x:c r="V420" s="4" t="str">
        <x:v>design.review.proposal_legger_service_adapter.out</x:v>
      </x:c>
    </x:row>
    <x:row r="421" ht="115" customHeight="1">
      <x:c r="A421" s="4" t="str">
        <x:f>IFERROR(INDEX('Material routes'!$E$6:$E$1005,MATCH(U421,'Material routes'!$A$6:$A$1005,0)),"MISSING ID")</x:f>
        <x:v>Husk-reinforced packing stock</x:v>
      </x:c>
      <x:c r="B421" s="4" t="str">
        <x:f>IFERROR(INDEX('Material routes'!$F$6:$F$1005,MATCH(U421,'Material routes'!$A$6:$A$1005,0)),"MISSING ID")</x:f>
        <x:v>T3</x:v>
      </x:c>
      <x:c r="C421" s="4" t="str">
        <x:f>IFERROR(INDEX('Material routes'!$H$6:$H$1005,MATCH(U421,'Material routes'!$A$6:$A$1005,0)),"MISSING ID")</x:f>
        <x:v>Processed material</x:v>
      </x:c>
      <x:c r="D421" s="4" t="str">
        <x:f>IFERROR(INDEX('Material routes'!$G$6:$G$1005,MATCH(U421,'Material routes'!$A$6:$A$1005,0)),"MISSING ID")</x:f>
        <x:v>Resources</x:v>
      </x:c>
      <x:c r="E421" s="4" t="str">
        <x:f>IFERROR(INDEX('Material routes'!$C$6:$C$1005,MATCH(U421,'Material routes'!$A$6:$A$1005,0)),"MISSING ID")</x:f>
        <x:v>Ingredient candidate</x:v>
      </x:c>
      <x:c r="F421" s="4" t="str">
        <x:f>IFERROR(INDEX('Material routes'!$E$6:$E$1005,MATCH(V421,'Material routes'!$A$6:$A$1005,0)),"MISSING ID")</x:f>
        <x:v>Lubricant service-port adapter</x:v>
      </x:c>
      <x:c r="G421" s="4" t="str">
        <x:f>IFERROR(INDEX('Material routes'!$F$6:$F$1005,MATCH(V421,'Material routes'!$A$6:$A$1005,0)),"MISSING ID")</x:f>
        <x:v>T4</x:v>
      </x:c>
      <x:c r="H421" s="4" t="str">
        <x:f>IFERROR(INDEX('Material routes'!$H$6:$H$1005,MATCH(V421,'Material routes'!$A$6:$A$1005,0)),"MISSING ID")</x:f>
        <x:v>Container part</x:v>
      </x:c>
      <x:c r="I421" s="4" t="str">
        <x:f>IFERROR(INDEX('Material routes'!$G$6:$G$1005,MATCH(V421,'Material routes'!$A$6:$A$1005,0)),"MISSING ID")</x:f>
        <x:v>Crafting components</x:v>
      </x:c>
      <x:c r="J421" s="4" t="str">
        <x:f>IFERROR(INDEX('Material routes'!$B$6:$B$1005,MATCH(U421,'Material routes'!$A$6:$A$1005,0)),"MISSING ID")</x:f>
        <x:v>design.review.proposal_legger_service_adapter</x:v>
      </x:c>
      <x:c r="K421" s="4" t="str">
        <x:f>IFERROR(INDEX('Crafting recipes'!$C$6:$C$1005,MATCH(J421,'Crafting recipes'!$A$6:$A$1005,0)),"MISSING ID")</x:f>
        <x:v>Material refinement</x:v>
      </x:c>
      <x:c r="L421" s="4" t="str">
        <x:f>IFERROR(INDEX('Material routes'!$K$6:$K$1005,MATCH(U421,'Material routes'!$A$6:$A$1005,0)),"MISSING ID")</x:f>
        <x:v>Proposal</x:v>
      </x:c>
      <x:c r="M421" s="4" t="str">
        <x:f>IFERROR(INDEX('Material routes'!$M$6:$M$1005,MATCH(U421,'Material routes'!$A$6:$A$1005,0)),"MISSING ID")</x:f>
        <x:v>Partial proposal</x:v>
      </x:c>
      <x:c r="N421" s="4" t="str">
        <x:f>IF(IFERROR(INDEX('Material routes'!$I$6:$I$1005,MATCH(U421,'Material routes'!$A$6:$A$1005,0)),"MISSING ID")=0,"",IFERROR(INDEX('Material routes'!$I$6:$I$1005,MATCH(U421,'Material routes'!$A$6:$A$1005,0)),"MISSING ID"))</x:f>
      </x:c>
      <x:c r="O421" s="4" t="str">
        <x:f>IFERROR(INDEX('Material routes'!$J$6:$J$1005,MATCH(U421,'Material routes'!$A$6:$A$1005,0)),"MISSING ID")</x:f>
        <x:v>Unspecified</x:v>
      </x:c>
      <x:c r="P421" s="4" t="str">
        <x:f>IF(IFERROR(INDEX('Material routes'!$I$6:$I$1005,MATCH(V421,'Material routes'!$A$6:$A$1005,0)),"MISSING ID")=0,"",IFERROR(INDEX('Material routes'!$I$6:$I$1005,MATCH(V421,'Material routes'!$A$6:$A$1005,0)),"MISSING ID"))</x:f>
      </x:c>
      <x:c r="Q421" s="4" t="str">
        <x:f>IFERROR(INDEX('Material routes'!$J$6:$J$1005,MATCH(V421,'Material routes'!$A$6:$A$1005,0)),"MISSING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routes'!$D$6:$D$1005,MATCH(U421,'Material routes'!$A$6:$A$1005,0)),"MISSING ID")</x:f>
        <x:v>proposal.t3.packing_stock</x:v>
      </x:c>
      <x:c r="T421" s="4" t="str">
        <x:f>IFERROR(INDEX('Material routes'!$D$6:$D$1005,MATCH(V421,'Material routes'!$A$6:$A$1005,0)),"MISSING ID")</x:f>
        <x:v>proposal.legger.service_adapter</x:v>
      </x:c>
      <x:c r="U421" s="4" t="str">
        <x:v>design.review.proposal_legger_service_adapter.in.3</x:v>
      </x:c>
      <x:c r="V421" s="4" t="str">
        <x:v>design.review.proposal_legger_service_adapter.out</x:v>
      </x:c>
    </x:row>
    <x:row r="422" ht="115" customHeight="1">
      <x:c r="A422" s="4" t="str">
        <x:f>IFERROR(INDEX('Material routes'!$E$6:$E$1005,MATCH(U422,'Material routes'!$A$6:$A$1005,0)),"MISSING ID")</x:f>
        <x:v>Spring-grade steel stock</x:v>
      </x:c>
      <x:c r="B422" s="4" t="str">
        <x:f>IFERROR(INDEX('Material routes'!$F$6:$F$1005,MATCH(U422,'Material routes'!$A$6:$A$1005,0)),"MISSING ID")</x:f>
        <x:v>T3</x:v>
      </x:c>
      <x:c r="C422" s="4" t="str">
        <x:f>IFERROR(INDEX('Material routes'!$H$6:$H$1005,MATCH(U422,'Material routes'!$A$6:$A$1005,0)),"MISSING ID")</x:f>
        <x:v>Processed material</x:v>
      </x:c>
      <x:c r="D422" s="4" t="str">
        <x:f>IFERROR(INDEX('Material routes'!$G$6:$G$1005,MATCH(U422,'Material routes'!$A$6:$A$1005,0)),"MISSING ID")</x:f>
        <x:v>Resources</x:v>
      </x:c>
      <x:c r="E422" s="4" t="str">
        <x:f>IFERROR(INDEX('Material routes'!$C$6:$C$1005,MATCH(U422,'Material routes'!$A$6:$A$1005,0)),"MISSING ID")</x:f>
        <x:v>Ingredient candidate</x:v>
      </x:c>
      <x:c r="F422" s="4" t="str">
        <x:f>IFERROR(INDEX('Material routes'!$E$6:$E$1005,MATCH(V422,'Material routes'!$A$6:$A$1005,0)),"MISSING ID")</x:f>
        <x:v>Armor-guard hinge assembly</x:v>
      </x:c>
      <x:c r="G422" s="4" t="str">
        <x:f>IFERROR(INDEX('Material routes'!$F$6:$F$1005,MATCH(V422,'Material routes'!$A$6:$A$1005,0)),"MISSING ID")</x:f>
        <x:v>T4</x:v>
      </x:c>
      <x:c r="H422" s="4" t="str">
        <x:f>IFERROR(INDEX('Material routes'!$H$6:$H$1005,MATCH(V422,'Material routes'!$A$6:$A$1005,0)),"MISSING ID")</x:f>
        <x:v>Crafting component</x:v>
      </x:c>
      <x:c r="I422" s="4" t="str">
        <x:f>IFERROR(INDEX('Material routes'!$G$6:$G$1005,MATCH(V422,'Material routes'!$A$6:$A$1005,0)),"MISSING ID")</x:f>
        <x:v>Crafting components</x:v>
      </x:c>
      <x:c r="J422" s="4" t="str">
        <x:f>IFERROR(INDEX('Material routes'!$B$6:$B$1005,MATCH(U422,'Material routes'!$A$6:$A$1005,0)),"MISSING ID")</x:f>
        <x:v>design.review.proposal_legger_guard_hinge</x:v>
      </x:c>
      <x:c r="K422" s="4" t="str">
        <x:f>IFERROR(INDEX('Crafting recipes'!$C$6:$C$1005,MATCH(J422,'Crafting recipes'!$A$6:$A$1005,0)),"MISSING ID")</x:f>
        <x:v>Material refinement</x:v>
      </x:c>
      <x:c r="L422" s="4" t="str">
        <x:f>IFERROR(INDEX('Material routes'!$K$6:$K$1005,MATCH(U422,'Material routes'!$A$6:$A$1005,0)),"MISSING ID")</x:f>
        <x:v>Proposal</x:v>
      </x:c>
      <x:c r="M422" s="4" t="str">
        <x:f>IFERROR(INDEX('Material routes'!$M$6:$M$1005,MATCH(U422,'Material routes'!$A$6:$A$1005,0)),"MISSING ID")</x:f>
        <x:v>Partial proposal</x:v>
      </x:c>
      <x:c r="N422" s="4" t="str">
        <x:f>IF(IFERROR(INDEX('Material routes'!$I$6:$I$1005,MATCH(U422,'Material routes'!$A$6:$A$1005,0)),"MISSING ID")=0,"",IFERROR(INDEX('Material routes'!$I$6:$I$1005,MATCH(U422,'Material routes'!$A$6:$A$1005,0)),"MISSING ID"))</x:f>
      </x:c>
      <x:c r="O422" s="4" t="str">
        <x:f>IFERROR(INDEX('Material routes'!$J$6:$J$1005,MATCH(U422,'Material routes'!$A$6:$A$1005,0)),"MISSING ID")</x:f>
        <x:v>Unspecified</x:v>
      </x:c>
      <x:c r="P422" s="4" t="str">
        <x:f>IF(IFERROR(INDEX('Material routes'!$I$6:$I$1005,MATCH(V422,'Material routes'!$A$6:$A$1005,0)),"MISSING ID")=0,"",IFERROR(INDEX('Material routes'!$I$6:$I$1005,MATCH(V422,'Material routes'!$A$6:$A$1005,0)),"MISSING ID"))</x:f>
      </x:c>
      <x:c r="Q422" s="4" t="str">
        <x:f>IFERROR(INDEX('Material routes'!$J$6:$J$1005,MATCH(V422,'Material routes'!$A$6:$A$1005,0)),"MISSING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routes'!$D$6:$D$1005,MATCH(U422,'Material routes'!$A$6:$A$1005,0)),"MISSING ID")</x:f>
        <x:v>proposal.branch.spring_steel</x:v>
      </x:c>
      <x:c r="T422" s="4" t="str">
        <x:f>IFERROR(INDEX('Material routes'!$D$6:$D$1005,MATCH(V422,'Material routes'!$A$6:$A$1005,0)),"MISSING ID")</x:f>
        <x:v>proposal.legger.guard_hinge</x:v>
      </x:c>
      <x:c r="U422" s="4" t="str">
        <x:v>design.review.proposal_legger_guard_hinge.in.1</x:v>
      </x:c>
      <x:c r="V422" s="4" t="str">
        <x:v>design.review.proposal_legger_guard_hinge.out</x:v>
      </x:c>
    </x:row>
    <x:row r="423" ht="115" customHeight="1">
      <x:c r="A423" s="4" t="str">
        <x:f>IFERROR(INDEX('Material routes'!$E$6:$E$1005,MATCH(U423,'Material routes'!$A$6:$A$1005,0)),"MISSING ID")</x:f>
        <x:v>Steel stock</x:v>
      </x:c>
      <x:c r="B423" s="4" t="str">
        <x:f>IFERROR(INDEX('Material routes'!$F$6:$F$1005,MATCH(U423,'Material routes'!$A$6:$A$1005,0)),"MISSING ID")</x:f>
        <x:v>T2</x:v>
      </x:c>
      <x:c r="C423" s="4" t="str">
        <x:f>IFERROR(INDEX('Material routes'!$H$6:$H$1005,MATCH(U423,'Material routes'!$A$6:$A$1005,0)),"MISSING ID")</x:f>
        <x:v>Processed material</x:v>
      </x:c>
      <x:c r="D423" s="4" t="str">
        <x:f>IFERROR(INDEX('Material routes'!$G$6:$G$1005,MATCH(U423,'Material routes'!$A$6:$A$1005,0)),"MISSING ID")</x:f>
        <x:v>Resources</x:v>
      </x:c>
      <x:c r="E423" s="4" t="str">
        <x:f>IFERROR(INDEX('Material routes'!$C$6:$C$1005,MATCH(U423,'Material routes'!$A$6:$A$1005,0)),"MISSING ID")</x:f>
        <x:v>Ingredient candidate</x:v>
      </x:c>
      <x:c r="F423" s="4" t="str">
        <x:f>IFERROR(INDEX('Material routes'!$E$6:$E$1005,MATCH(V423,'Material routes'!$A$6:$A$1005,0)),"MISSING ID")</x:f>
        <x:v>Armor-guard hinge assembly</x:v>
      </x:c>
      <x:c r="G423" s="4" t="str">
        <x:f>IFERROR(INDEX('Material routes'!$F$6:$F$1005,MATCH(V423,'Material routes'!$A$6:$A$1005,0)),"MISSING ID")</x:f>
        <x:v>T4</x:v>
      </x:c>
      <x:c r="H423" s="4" t="str">
        <x:f>IFERROR(INDEX('Material routes'!$H$6:$H$1005,MATCH(V423,'Material routes'!$A$6:$A$1005,0)),"MISSING ID")</x:f>
        <x:v>Crafting component</x:v>
      </x:c>
      <x:c r="I423" s="4" t="str">
        <x:f>IFERROR(INDEX('Material routes'!$G$6:$G$1005,MATCH(V423,'Material routes'!$A$6:$A$1005,0)),"MISSING ID")</x:f>
        <x:v>Crafting components</x:v>
      </x:c>
      <x:c r="J423" s="4" t="str">
        <x:f>IFERROR(INDEX('Material routes'!$B$6:$B$1005,MATCH(U423,'Material routes'!$A$6:$A$1005,0)),"MISSING ID")</x:f>
        <x:v>design.review.proposal_legger_guard_hinge</x:v>
      </x:c>
      <x:c r="K423" s="4" t="str">
        <x:f>IFERROR(INDEX('Crafting recipes'!$C$6:$C$1005,MATCH(J423,'Crafting recipes'!$A$6:$A$1005,0)),"MISSING ID")</x:f>
        <x:v>Material refinement</x:v>
      </x:c>
      <x:c r="L423" s="4" t="str">
        <x:f>IFERROR(INDEX('Material routes'!$K$6:$K$1005,MATCH(U423,'Material routes'!$A$6:$A$1005,0)),"MISSING ID")</x:f>
        <x:v>Proposal</x:v>
      </x:c>
      <x:c r="M423" s="4" t="str">
        <x:f>IFERROR(INDEX('Material routes'!$M$6:$M$1005,MATCH(U423,'Material routes'!$A$6:$A$1005,0)),"MISSING ID")</x:f>
        <x:v>Partial proposal</x:v>
      </x:c>
      <x:c r="N423" s="4" t="str">
        <x:f>IF(IFERROR(INDEX('Material routes'!$I$6:$I$1005,MATCH(U423,'Material routes'!$A$6:$A$1005,0)),"MISSING ID")=0,"",IFERROR(INDEX('Material routes'!$I$6:$I$1005,MATCH(U423,'Material routes'!$A$6:$A$1005,0)),"MISSING ID"))</x:f>
      </x:c>
      <x:c r="O423" s="4" t="str">
        <x:f>IFERROR(INDEX('Material routes'!$J$6:$J$1005,MATCH(U423,'Material routes'!$A$6:$A$1005,0)),"MISSING ID")</x:f>
        <x:v>Unspecified</x:v>
      </x:c>
      <x:c r="P423" s="4" t="str">
        <x:f>IF(IFERROR(INDEX('Material routes'!$I$6:$I$1005,MATCH(V423,'Material routes'!$A$6:$A$1005,0)),"MISSING ID")=0,"",IFERROR(INDEX('Material routes'!$I$6:$I$1005,MATCH(V423,'Material routes'!$A$6:$A$1005,0)),"MISSING ID"))</x:f>
      </x:c>
      <x:c r="Q423" s="4" t="str">
        <x:f>IFERROR(INDEX('Material routes'!$J$6:$J$1005,MATCH(V423,'Material routes'!$A$6:$A$1005,0)),"MISSING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routes'!$D$6:$D$1005,MATCH(U423,'Material routes'!$A$6:$A$1005,0)),"MISSING ID")</x:f>
        <x:v>author.metallurgy.steel_stock</x:v>
      </x:c>
      <x:c r="T423" s="4" t="str">
        <x:f>IFERROR(INDEX('Material routes'!$D$6:$D$1005,MATCH(V423,'Material routes'!$A$6:$A$1005,0)),"MISSING ID")</x:f>
        <x:v>proposal.legger.guard_hinge</x:v>
      </x:c>
      <x:c r="U423" s="4" t="str">
        <x:v>design.review.proposal_legger_guard_hinge.in.2</x:v>
      </x:c>
      <x:c r="V423" s="4" t="str">
        <x:v>design.review.proposal_legger_guard_hinge.out</x:v>
      </x:c>
    </x:row>
    <x:row r="424" ht="115" customHeight="1">
      <x:c r="A424" s="4" t="str">
        <x:f>IFERROR(INDEX('Material routes'!$E$6:$E$1005,MATCH(U424,'Material routes'!$A$6:$A$1005,0)),"MISSING ID")</x:f>
        <x:v>Prepared bronze bearing stock</x:v>
      </x:c>
      <x:c r="B424" s="4" t="str">
        <x:f>IFERROR(INDEX('Material routes'!$F$6:$F$1005,MATCH(U424,'Material routes'!$A$6:$A$1005,0)),"MISSING ID")</x:f>
        <x:v>T2</x:v>
      </x:c>
      <x:c r="C424" s="4" t="str">
        <x:f>IFERROR(INDEX('Material routes'!$H$6:$H$1005,MATCH(U424,'Material routes'!$A$6:$A$1005,0)),"MISSING ID")</x:f>
        <x:v>Processed material</x:v>
      </x:c>
      <x:c r="D424" s="4" t="str">
        <x:f>IFERROR(INDEX('Material routes'!$G$6:$G$1005,MATCH(U424,'Material routes'!$A$6:$A$1005,0)),"MISSING ID")</x:f>
        <x:v>Resources</x:v>
      </x:c>
      <x:c r="E424" s="4" t="str">
        <x:f>IFERROR(INDEX('Material routes'!$C$6:$C$1005,MATCH(U424,'Material routes'!$A$6:$A$1005,0)),"MISSING ID")</x:f>
        <x:v>Ingredient candidate</x:v>
      </x:c>
      <x:c r="F424" s="4" t="str">
        <x:f>IFERROR(INDEX('Material routes'!$E$6:$E$1005,MATCH(V424,'Material routes'!$A$6:$A$1005,0)),"MISSING ID")</x:f>
        <x:v>Armor-guard hinge assembly</x:v>
      </x:c>
      <x:c r="G424" s="4" t="str">
        <x:f>IFERROR(INDEX('Material routes'!$F$6:$F$1005,MATCH(V424,'Material routes'!$A$6:$A$1005,0)),"MISSING ID")</x:f>
        <x:v>T4</x:v>
      </x:c>
      <x:c r="H424" s="4" t="str">
        <x:f>IFERROR(INDEX('Material routes'!$H$6:$H$1005,MATCH(V424,'Material routes'!$A$6:$A$1005,0)),"MISSING ID")</x:f>
        <x:v>Crafting component</x:v>
      </x:c>
      <x:c r="I424" s="4" t="str">
        <x:f>IFERROR(INDEX('Material routes'!$G$6:$G$1005,MATCH(V424,'Material routes'!$A$6:$A$1005,0)),"MISSING ID")</x:f>
        <x:v>Crafting components</x:v>
      </x:c>
      <x:c r="J424" s="4" t="str">
        <x:f>IFERROR(INDEX('Material routes'!$B$6:$B$1005,MATCH(U424,'Material routes'!$A$6:$A$1005,0)),"MISSING ID")</x:f>
        <x:v>design.review.proposal_legger_guard_hinge</x:v>
      </x:c>
      <x:c r="K424" s="4" t="str">
        <x:f>IFERROR(INDEX('Crafting recipes'!$C$6:$C$1005,MATCH(J424,'Crafting recipes'!$A$6:$A$1005,0)),"MISSING ID")</x:f>
        <x:v>Material refinement</x:v>
      </x:c>
      <x:c r="L424" s="4" t="str">
        <x:f>IFERROR(INDEX('Material routes'!$K$6:$K$1005,MATCH(U424,'Material routes'!$A$6:$A$1005,0)),"MISSING ID")</x:f>
        <x:v>Proposal</x:v>
      </x:c>
      <x:c r="M424" s="4" t="str">
        <x:f>IFERROR(INDEX('Material routes'!$M$6:$M$1005,MATCH(U424,'Material routes'!$A$6:$A$1005,0)),"MISSING ID")</x:f>
        <x:v>Partial proposal</x:v>
      </x:c>
      <x:c r="N424" s="4" t="str">
        <x:f>IF(IFERROR(INDEX('Material routes'!$I$6:$I$1005,MATCH(U424,'Material routes'!$A$6:$A$1005,0)),"MISSING ID")=0,"",IFERROR(INDEX('Material routes'!$I$6:$I$1005,MATCH(U424,'Material routes'!$A$6:$A$1005,0)),"MISSING ID"))</x:f>
      </x:c>
      <x:c r="O424" s="4" t="str">
        <x:f>IFERROR(INDEX('Material routes'!$J$6:$J$1005,MATCH(U424,'Material routes'!$A$6:$A$1005,0)),"MISSING ID")</x:f>
        <x:v>Unspecified</x:v>
      </x:c>
      <x:c r="P424" s="4" t="str">
        <x:f>IF(IFERROR(INDEX('Material routes'!$I$6:$I$1005,MATCH(V424,'Material routes'!$A$6:$A$1005,0)),"MISSING ID")=0,"",IFERROR(INDEX('Material routes'!$I$6:$I$1005,MATCH(V424,'Material routes'!$A$6:$A$1005,0)),"MISSING ID"))</x:f>
      </x:c>
      <x:c r="Q424" s="4" t="str">
        <x:f>IFERROR(INDEX('Material routes'!$J$6:$J$1005,MATCH(V424,'Material routes'!$A$6:$A$1005,0)),"MISSING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routes'!$D$6:$D$1005,MATCH(U424,'Material routes'!$A$6:$A$1005,0)),"MISSING ID")</x:f>
        <x:v>proposal.branch.bearing_bronze</x:v>
      </x:c>
      <x:c r="T424" s="4" t="str">
        <x:f>IFERROR(INDEX('Material routes'!$D$6:$D$1005,MATCH(V424,'Material routes'!$A$6:$A$1005,0)),"MISSING ID")</x:f>
        <x:v>proposal.legger.guard_hinge</x:v>
      </x:c>
      <x:c r="U424" s="4" t="str">
        <x:v>design.review.proposal_legger_guard_hinge.in.3</x:v>
      </x:c>
      <x:c r="V424" s="4" t="str">
        <x:v>design.review.proposal_legger_guard_hinge.out</x:v>
      </x:c>
    </x:row>
    <x:row r="425" ht="115" customHeight="1">
      <x:c r="A425" s="4" t="str">
        <x:f>IFERROR(INDEX('Material routes'!$E$6:$E$1005,MATCH(U425,'Material routes'!$A$6:$A$1005,0)),"MISSING ID")</x:f>
        <x:v>Edible fauna fraction (species TBD)</x:v>
      </x:c>
      <x:c r="B425" s="4" t="str">
        <x:f>IFERROR(INDEX('Material routes'!$F$6:$F$1005,MATCH(U425,'Material routes'!$A$6:$A$1005,0)),"MISSING ID")</x:f>
        <x:v>T0</x:v>
      </x:c>
      <x:c r="C425" s="4" t="str">
        <x:f>IFERROR(INDEX('Material routes'!$H$6:$H$1005,MATCH(U425,'Material routes'!$A$6:$A$1005,0)),"MISSING ID")</x:f>
        <x:v>Food material</x:v>
      </x:c>
      <x:c r="D425" s="4" t="str">
        <x:f>IFERROR(INDEX('Material routes'!$G$6:$G$1005,MATCH(U425,'Material routes'!$A$6:$A$1005,0)),"MISSING ID")</x:f>
        <x:v>Resources</x:v>
      </x:c>
      <x:c r="E425" s="4" t="str">
        <x:f>IFERROR(INDEX('Material routes'!$C$6:$C$1005,MATCH(U425,'Material routes'!$A$6:$A$1005,0)),"MISSING ID")</x:f>
        <x:v>Ingredient candidate</x:v>
      </x:c>
      <x:c r="F425" s="4" t="str">
        <x:f>IFERROR(INDEX('Material routes'!$E$6:$E$1005,MATCH(V425,'Material routes'!$A$6:$A$1005,0)),"MISSING ID")</x:f>
        <x:v>Prepared edible-fauna flakes</x:v>
      </x:c>
      <x:c r="G425" s="4" t="str">
        <x:f>IFERROR(INDEX('Material routes'!$F$6:$F$1005,MATCH(V425,'Material routes'!$A$6:$A$1005,0)),"MISSING ID")</x:f>
        <x:v>T1</x:v>
      </x:c>
      <x:c r="H425" s="4" t="str">
        <x:f>IFERROR(INDEX('Material routes'!$H$6:$H$1005,MATCH(V425,'Material routes'!$A$6:$A$1005,0)),"MISSING ID")</x:f>
        <x:v>Food material</x:v>
      </x:c>
      <x:c r="I425" s="4" t="str">
        <x:f>IFERROR(INDEX('Material routes'!$G$6:$G$1005,MATCH(V425,'Material routes'!$A$6:$A$1005,0)),"MISSING ID")</x:f>
        <x:v>Resources</x:v>
      </x:c>
      <x:c r="J425" s="4" t="str">
        <x:f>IFERROR(INDEX('Material routes'!$B$6:$B$1005,MATCH(U425,'Material routes'!$A$6:$A$1005,0)),"MISSING ID")</x:f>
        <x:v>design.review.proposal_food_edible_flakes</x:v>
      </x:c>
      <x:c r="K425" s="4" t="str">
        <x:f>IFERROR(INDEX('Crafting recipes'!$C$6:$C$1005,MATCH(J425,'Crafting recipes'!$A$6:$A$1005,0)),"MISSING ID")</x:f>
        <x:v>Material refinement</x:v>
      </x:c>
      <x:c r="L425" s="4" t="str">
        <x:f>IFERROR(INDEX('Material routes'!$K$6:$K$1005,MATCH(U425,'Material routes'!$A$6:$A$1005,0)),"MISSING ID")</x:f>
        <x:v>Proposal</x:v>
      </x:c>
      <x:c r="M425" s="4" t="str">
        <x:f>IFERROR(INDEX('Material routes'!$M$6:$M$1005,MATCH(U425,'Material routes'!$A$6:$A$1005,0)),"MISSING ID")</x:f>
        <x:v>Partial proposal</x:v>
      </x:c>
      <x:c r="N425" s="4" t="str">
        <x:f>IF(IFERROR(INDEX('Material routes'!$I$6:$I$1005,MATCH(U425,'Material routes'!$A$6:$A$1005,0)),"MISSING ID")=0,"",IFERROR(INDEX('Material routes'!$I$6:$I$1005,MATCH(U425,'Material routes'!$A$6:$A$1005,0)),"MISSING ID"))</x:f>
      </x:c>
      <x:c r="O425" s="4" t="str">
        <x:f>IFERROR(INDEX('Material routes'!$J$6:$J$1005,MATCH(U425,'Material routes'!$A$6:$A$1005,0)),"MISSING ID")</x:f>
        <x:v>Unspecified</x:v>
      </x:c>
      <x:c r="P425" s="4" t="str">
        <x:f>IF(IFERROR(INDEX('Material routes'!$I$6:$I$1005,MATCH(V425,'Material routes'!$A$6:$A$1005,0)),"MISSING ID")=0,"",IFERROR(INDEX('Material routes'!$I$6:$I$1005,MATCH(V425,'Material routes'!$A$6:$A$1005,0)),"MISSING ID"))</x:f>
      </x:c>
      <x:c r="Q425" s="4" t="str">
        <x:f>IFERROR(INDEX('Material routes'!$J$6:$J$1005,MATCH(V425,'Material routes'!$A$6:$A$1005,0)),"MISSING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routes'!$D$6:$D$1005,MATCH(U425,'Material routes'!$A$6:$A$1005,0)),"MISSING ID")</x:f>
        <x:v>proposal.bio.edible_fraction</x:v>
      </x:c>
      <x:c r="T425" s="4" t="str">
        <x:f>IFERROR(INDEX('Material routes'!$D$6:$D$1005,MATCH(V425,'Material routes'!$A$6:$A$1005,0)),"MISSING ID")</x:f>
        <x:v>proposal.food.edible_flakes</x:v>
      </x:c>
      <x:c r="U425" s="4" t="str">
        <x:v>design.review.proposal_food_edible_flakes.in.1</x:v>
      </x:c>
      <x:c r="V425" s="4" t="str">
        <x:v>design.review.proposal_food_edible_flakes.out</x:v>
      </x:c>
    </x:row>
    <x:row r="426" ht="115" customHeight="1">
      <x:c r="A426" s="4" t="str">
        <x:f>IFERROR(INDEX('Material routes'!$E$6:$E$1005,MATCH(U426,'Material routes'!$A$6:$A$1005,0)),"MISSING ID")</x:f>
        <x:v>Edible fauna fraction (species TBD)</x:v>
      </x:c>
      <x:c r="B426" s="4" t="str">
        <x:f>IFERROR(INDEX('Material routes'!$F$6:$F$1005,MATCH(U426,'Material routes'!$A$6:$A$1005,0)),"MISSING ID")</x:f>
        <x:v>T0</x:v>
      </x:c>
      <x:c r="C426" s="4" t="str">
        <x:f>IFERROR(INDEX('Material routes'!$H$6:$H$1005,MATCH(U426,'Material routes'!$A$6:$A$1005,0)),"MISSING ID")</x:f>
        <x:v>Food material</x:v>
      </x:c>
      <x:c r="D426" s="4" t="str">
        <x:f>IFERROR(INDEX('Material routes'!$G$6:$G$1005,MATCH(U426,'Material routes'!$A$6:$A$1005,0)),"MISSING ID")</x:f>
        <x:v>Resources</x:v>
      </x:c>
      <x:c r="E426" s="4" t="str">
        <x:f>IFERROR(INDEX('Material routes'!$C$6:$C$1005,MATCH(U426,'Material routes'!$A$6:$A$1005,0)),"MISSING ID")</x:f>
        <x:v>Ingredient candidate</x:v>
      </x:c>
      <x:c r="F426" s="4" t="str">
        <x:f>IFERROR(INDEX('Material routes'!$E$6:$E$1005,MATCH(V426,'Material routes'!$A$6:$A$1005,0)),"MISSING ID")</x:f>
        <x:v>Prepared edible-fauna paste</x:v>
      </x:c>
      <x:c r="G426" s="4" t="str">
        <x:f>IFERROR(INDEX('Material routes'!$F$6:$F$1005,MATCH(V426,'Material routes'!$A$6:$A$1005,0)),"MISSING ID")</x:f>
        <x:v>T1</x:v>
      </x:c>
      <x:c r="H426" s="4" t="str">
        <x:f>IFERROR(INDEX('Material routes'!$H$6:$H$1005,MATCH(V426,'Material routes'!$A$6:$A$1005,0)),"MISSING ID")</x:f>
        <x:v>Food material</x:v>
      </x:c>
      <x:c r="I426" s="4" t="str">
        <x:f>IFERROR(INDEX('Material routes'!$G$6:$G$1005,MATCH(V426,'Material routes'!$A$6:$A$1005,0)),"MISSING ID")</x:f>
        <x:v>Resources</x:v>
      </x:c>
      <x:c r="J426" s="4" t="str">
        <x:f>IFERROR(INDEX('Material routes'!$B$6:$B$1005,MATCH(U426,'Material routes'!$A$6:$A$1005,0)),"MISSING ID")</x:f>
        <x:v>design.review.proposal_food_edible_paste</x:v>
      </x:c>
      <x:c r="K426" s="4" t="str">
        <x:f>IFERROR(INDEX('Crafting recipes'!$C$6:$C$1005,MATCH(J426,'Crafting recipes'!$A$6:$A$1005,0)),"MISSING ID")</x:f>
        <x:v>Material refinement</x:v>
      </x:c>
      <x:c r="L426" s="4" t="str">
        <x:f>IFERROR(INDEX('Material routes'!$K$6:$K$1005,MATCH(U426,'Material routes'!$A$6:$A$1005,0)),"MISSING ID")</x:f>
        <x:v>Proposal</x:v>
      </x:c>
      <x:c r="M426" s="4" t="str">
        <x:f>IFERROR(INDEX('Material routes'!$M$6:$M$1005,MATCH(U426,'Material routes'!$A$6:$A$1005,0)),"MISSING ID")</x:f>
        <x:v>Partial proposal</x:v>
      </x:c>
      <x:c r="N426" s="4" t="str">
        <x:f>IF(IFERROR(INDEX('Material routes'!$I$6:$I$1005,MATCH(U426,'Material routes'!$A$6:$A$1005,0)),"MISSING ID")=0,"",IFERROR(INDEX('Material routes'!$I$6:$I$1005,MATCH(U426,'Material routes'!$A$6:$A$1005,0)),"MISSING ID"))</x:f>
      </x:c>
      <x:c r="O426" s="4" t="str">
        <x:f>IFERROR(INDEX('Material routes'!$J$6:$J$1005,MATCH(U426,'Material routes'!$A$6:$A$1005,0)),"MISSING ID")</x:f>
        <x:v>Unspecified</x:v>
      </x:c>
      <x:c r="P426" s="4" t="str">
        <x:f>IF(IFERROR(INDEX('Material routes'!$I$6:$I$1005,MATCH(V426,'Material routes'!$A$6:$A$1005,0)),"MISSING ID")=0,"",IFERROR(INDEX('Material routes'!$I$6:$I$1005,MATCH(V426,'Material routes'!$A$6:$A$1005,0)),"MISSING ID"))</x:f>
      </x:c>
      <x:c r="Q426" s="4" t="str">
        <x:f>IFERROR(INDEX('Material routes'!$J$6:$J$1005,MATCH(V426,'Material routes'!$A$6:$A$1005,0)),"MISSING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routes'!$D$6:$D$1005,MATCH(U426,'Material routes'!$A$6:$A$1005,0)),"MISSING ID")</x:f>
        <x:v>proposal.bio.edible_fraction</x:v>
      </x:c>
      <x:c r="T426" s="4" t="str">
        <x:f>IFERROR(INDEX('Material routes'!$D$6:$D$1005,MATCH(V426,'Material routes'!$A$6:$A$1005,0)),"MISSING ID")</x:f>
        <x:v>proposal.food.edible_paste</x:v>
      </x:c>
      <x:c r="U426" s="4" t="str">
        <x:v>design.review.proposal_food_edible_paste.in.1</x:v>
      </x:c>
      <x:c r="V426" s="4" t="str">
        <x:v>design.review.proposal_food_edible_paste.out</x:v>
      </x:c>
    </x:row>
    <x:row r="427" ht="115" customHeight="1">
      <x:c r="A427" s="4" t="str">
        <x:f>IFERROR(INDEX('Material routes'!$E$6:$E$1005,MATCH(U427,'Material routes'!$A$6:$A$1005,0)),"MISSING ID")</x:f>
        <x:v>Mica composite sheet</x:v>
      </x:c>
      <x:c r="B427" s="4" t="str">
        <x:f>IFERROR(INDEX('Material routes'!$F$6:$F$1005,MATCH(U427,'Material routes'!$A$6:$A$1005,0)),"MISSING ID")</x:f>
        <x:v>T2</x:v>
      </x:c>
      <x:c r="C427" s="4" t="str">
        <x:f>IFERROR(INDEX('Material routes'!$H$6:$H$1005,MATCH(U427,'Material routes'!$A$6:$A$1005,0)),"MISSING ID")</x:f>
        <x:v>Processed material</x:v>
      </x:c>
      <x:c r="D427" s="4" t="str">
        <x:f>IFERROR(INDEX('Material routes'!$G$6:$G$1005,MATCH(U427,'Material routes'!$A$6:$A$1005,0)),"MISSING ID")</x:f>
        <x:v>Resources</x:v>
      </x:c>
      <x:c r="E427" s="4" t="str">
        <x:f>IFERROR(INDEX('Material routes'!$C$6:$C$1005,MATCH(U427,'Material routes'!$A$6:$A$1005,0)),"MISSING ID")</x:f>
        <x:v>Ingredient candidate</x:v>
      </x:c>
      <x:c r="F427" s="4" t="str">
        <x:f>IFERROR(INDEX('Material routes'!$E$6:$E$1005,MATCH(V427,'Material routes'!$A$6:$A$1005,0)),"MISSING ID")</x:f>
        <x:v>Prepared electrical insulation stock</x:v>
      </x:c>
      <x:c r="G427" s="4" t="str">
        <x:f>IFERROR(INDEX('Material routes'!$F$6:$F$1005,MATCH(V427,'Material routes'!$A$6:$A$1005,0)),"MISSING ID")</x:f>
        <x:v>T3</x:v>
      </x:c>
      <x:c r="H427" s="4" t="str">
        <x:f>IFERROR(INDEX('Material routes'!$H$6:$H$1005,MATCH(V427,'Material routes'!$A$6:$A$1005,0)),"MISSING ID")</x:f>
        <x:v>Processed material</x:v>
      </x:c>
      <x:c r="I427" s="4" t="str">
        <x:f>IFERROR(INDEX('Material routes'!$G$6:$G$1005,MATCH(V427,'Material routes'!$A$6:$A$1005,0)),"MISSING ID")</x:f>
        <x:v>Resources</x:v>
      </x:c>
      <x:c r="J427" s="4" t="str">
        <x:f>IFERROR(INDEX('Material routes'!$B$6:$B$1005,MATCH(U427,'Material routes'!$A$6:$A$1005,0)),"MISSING ID")</x:f>
        <x:v>design.review.author_electrical_insulation_stock</x:v>
      </x:c>
      <x:c r="K427" s="4" t="str">
        <x:f>IFERROR(INDEX('Crafting recipes'!$C$6:$C$1005,MATCH(J427,'Crafting recipes'!$A$6:$A$1005,0)),"MISSING ID")</x:f>
        <x:v>Material refinement</x:v>
      </x:c>
      <x:c r="L427" s="4" t="str">
        <x:f>IFERROR(INDEX('Material routes'!$K$6:$K$1005,MATCH(U427,'Material routes'!$A$6:$A$1005,0)),"MISSING ID")</x:f>
        <x:v>Proposal</x:v>
      </x:c>
      <x:c r="M427" s="4" t="str">
        <x:f>IFERROR(INDEX('Material routes'!$M$6:$M$1005,MATCH(U427,'Material routes'!$A$6:$A$1005,0)),"MISSING ID")</x:f>
        <x:v>Partial proposal</x:v>
      </x:c>
      <x:c r="N427" s="4" t="str">
        <x:f>IF(IFERROR(INDEX('Material routes'!$I$6:$I$1005,MATCH(U427,'Material routes'!$A$6:$A$1005,0)),"MISSING ID")=0,"",IFERROR(INDEX('Material routes'!$I$6:$I$1005,MATCH(U427,'Material routes'!$A$6:$A$1005,0)),"MISSING ID"))</x:f>
      </x:c>
      <x:c r="O427" s="4" t="str">
        <x:f>IFERROR(INDEX('Material routes'!$J$6:$J$1005,MATCH(U427,'Material routes'!$A$6:$A$1005,0)),"MISSING ID")</x:f>
        <x:v>Unspecified</x:v>
      </x:c>
      <x:c r="P427" s="4" t="str">
        <x:f>IF(IFERROR(INDEX('Material routes'!$I$6:$I$1005,MATCH(V427,'Material routes'!$A$6:$A$1005,0)),"MISSING ID")=0,"",IFERROR(INDEX('Material routes'!$I$6:$I$1005,MATCH(V427,'Material routes'!$A$6:$A$1005,0)),"MISSING ID"))</x:f>
      </x:c>
      <x:c r="Q427" s="4" t="str">
        <x:f>IFERROR(INDEX('Material routes'!$J$6:$J$1005,MATCH(V427,'Material routes'!$A$6:$A$1005,0)),"MISSING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routes'!$D$6:$D$1005,MATCH(U427,'Material routes'!$A$6:$A$1005,0)),"MISSING ID")</x:f>
        <x:v>proposal.branch.mica_sheet</x:v>
      </x:c>
      <x:c r="T427" s="4" t="str">
        <x:f>IFERROR(INDEX('Material routes'!$D$6:$D$1005,MATCH(V427,'Material routes'!$A$6:$A$1005,0)),"MISSING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routes'!$E$6:$E$1005,MATCH(U428,'Material routes'!$A$6:$A$1005,0)),"MISSING ID")</x:f>
        <x:v>Flexible membrane-bonding compound</x:v>
      </x:c>
      <x:c r="B428" s="4" t="str">
        <x:f>IFERROR(INDEX('Material routes'!$F$6:$F$1005,MATCH(U428,'Material routes'!$A$6:$A$1005,0)),"MISSING ID")</x:f>
        <x:v>T2</x:v>
      </x:c>
      <x:c r="C428" s="4" t="str">
        <x:f>IFERROR(INDEX('Material routes'!$H$6:$H$1005,MATCH(U428,'Material routes'!$A$6:$A$1005,0)),"MISSING ID")</x:f>
        <x:v>Chemical material</x:v>
      </x:c>
      <x:c r="D428" s="4" t="str">
        <x:f>IFERROR(INDEX('Material routes'!$G$6:$G$1005,MATCH(U428,'Material routes'!$A$6:$A$1005,0)),"MISSING ID")</x:f>
        <x:v>Resources</x:v>
      </x:c>
      <x:c r="E428" s="4" t="str">
        <x:f>IFERROR(INDEX('Material routes'!$C$6:$C$1005,MATCH(U428,'Material routes'!$A$6:$A$1005,0)),"MISSING ID")</x:f>
        <x:v>Ingredient candidate</x:v>
      </x:c>
      <x:c r="F428" s="4" t="str">
        <x:f>IFERROR(INDEX('Material routes'!$E$6:$E$1005,MATCH(V428,'Material routes'!$A$6:$A$1005,0)),"MISSING ID")</x:f>
        <x:v>Prepared electrical insulation stock</x:v>
      </x:c>
      <x:c r="G428" s="4" t="str">
        <x:f>IFERROR(INDEX('Material routes'!$F$6:$F$1005,MATCH(V428,'Material routes'!$A$6:$A$1005,0)),"MISSING ID")</x:f>
        <x:v>T3</x:v>
      </x:c>
      <x:c r="H428" s="4" t="str">
        <x:f>IFERROR(INDEX('Material routes'!$H$6:$H$1005,MATCH(V428,'Material routes'!$A$6:$A$1005,0)),"MISSING ID")</x:f>
        <x:v>Processed material</x:v>
      </x:c>
      <x:c r="I428" s="4" t="str">
        <x:f>IFERROR(INDEX('Material routes'!$G$6:$G$1005,MATCH(V428,'Material routes'!$A$6:$A$1005,0)),"MISSING ID")</x:f>
        <x:v>Resources</x:v>
      </x:c>
      <x:c r="J428" s="4" t="str">
        <x:f>IFERROR(INDEX('Material routes'!$B$6:$B$1005,MATCH(U428,'Material routes'!$A$6:$A$1005,0)),"MISSING ID")</x:f>
        <x:v>design.review.author_electrical_insulation_stock</x:v>
      </x:c>
      <x:c r="K428" s="4" t="str">
        <x:f>IFERROR(INDEX('Crafting recipes'!$C$6:$C$1005,MATCH(J428,'Crafting recipes'!$A$6:$A$1005,0)),"MISSING ID")</x:f>
        <x:v>Material refinement</x:v>
      </x:c>
      <x:c r="L428" s="4" t="str">
        <x:f>IFERROR(INDEX('Material routes'!$K$6:$K$1005,MATCH(U428,'Material routes'!$A$6:$A$1005,0)),"MISSING ID")</x:f>
        <x:v>Proposal</x:v>
      </x:c>
      <x:c r="M428" s="4" t="str">
        <x:f>IFERROR(INDEX('Material routes'!$M$6:$M$1005,MATCH(U428,'Material routes'!$A$6:$A$1005,0)),"MISSING ID")</x:f>
        <x:v>Partial proposal</x:v>
      </x:c>
      <x:c r="N428" s="4" t="str">
        <x:f>IF(IFERROR(INDEX('Material routes'!$I$6:$I$1005,MATCH(U428,'Material routes'!$A$6:$A$1005,0)),"MISSING ID")=0,"",IFERROR(INDEX('Material routes'!$I$6:$I$1005,MATCH(U428,'Material routes'!$A$6:$A$1005,0)),"MISSING ID"))</x:f>
      </x:c>
      <x:c r="O428" s="4" t="str">
        <x:f>IFERROR(INDEX('Material routes'!$J$6:$J$1005,MATCH(U428,'Material routes'!$A$6:$A$1005,0)),"MISSING ID")</x:f>
        <x:v>Unspecified</x:v>
      </x:c>
      <x:c r="P428" s="4" t="str">
        <x:f>IF(IFERROR(INDEX('Material routes'!$I$6:$I$1005,MATCH(V428,'Material routes'!$A$6:$A$1005,0)),"MISSING ID")=0,"",IFERROR(INDEX('Material routes'!$I$6:$I$1005,MATCH(V428,'Material routes'!$A$6:$A$1005,0)),"MISSING ID"))</x:f>
      </x:c>
      <x:c r="Q428" s="4" t="str">
        <x:f>IFERROR(INDEX('Material routes'!$J$6:$J$1005,MATCH(V428,'Material routes'!$A$6:$A$1005,0)),"MISSING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routes'!$D$6:$D$1005,MATCH(U428,'Material routes'!$A$6:$A$1005,0)),"MISSING ID")</x:f>
        <x:v>proposal.branch.flex_bond</x:v>
      </x:c>
      <x:c r="T428" s="4" t="str">
        <x:f>IFERROR(INDEX('Material routes'!$D$6:$D$1005,MATCH(V428,'Material routes'!$A$6:$A$1005,0)),"MISSING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routes'!$E$6:$E$1005,MATCH(U429,'Material routes'!$A$6:$A$1005,0)),"MISSING ID")</x:f>
        <x:v>Insulating ceramic blanks</x:v>
      </x:c>
      <x:c r="B429" s="4" t="str">
        <x:f>IFERROR(INDEX('Material routes'!$F$6:$F$1005,MATCH(U429,'Material routes'!$A$6:$A$1005,0)),"MISSING ID")</x:f>
        <x:v>T2</x:v>
      </x:c>
      <x:c r="C429" s="4" t="str">
        <x:f>IFERROR(INDEX('Material routes'!$H$6:$H$1005,MATCH(U429,'Material routes'!$A$6:$A$1005,0)),"MISSING ID")</x:f>
        <x:v>Processed material</x:v>
      </x:c>
      <x:c r="D429" s="4" t="str">
        <x:f>IFERROR(INDEX('Material routes'!$G$6:$G$1005,MATCH(U429,'Material routes'!$A$6:$A$1005,0)),"MISSING ID")</x:f>
        <x:v>Resources</x:v>
      </x:c>
      <x:c r="E429" s="4" t="str">
        <x:f>IFERROR(INDEX('Material routes'!$C$6:$C$1005,MATCH(U429,'Material routes'!$A$6:$A$1005,0)),"MISSING ID")</x:f>
        <x:v>Ingredient candidate</x:v>
      </x:c>
      <x:c r="F429" s="4" t="str">
        <x:f>IFERROR(INDEX('Material routes'!$E$6:$E$1005,MATCH(V429,'Material routes'!$A$6:$A$1005,0)),"MISSING ID")</x:f>
        <x:v>Prepared electrical insulation stock</x:v>
      </x:c>
      <x:c r="G429" s="4" t="str">
        <x:f>IFERROR(INDEX('Material routes'!$F$6:$F$1005,MATCH(V429,'Material routes'!$A$6:$A$1005,0)),"MISSING ID")</x:f>
        <x:v>T3</x:v>
      </x:c>
      <x:c r="H429" s="4" t="str">
        <x:f>IFERROR(INDEX('Material routes'!$H$6:$H$1005,MATCH(V429,'Material routes'!$A$6:$A$1005,0)),"MISSING ID")</x:f>
        <x:v>Processed material</x:v>
      </x:c>
      <x:c r="I429" s="4" t="str">
        <x:f>IFERROR(INDEX('Material routes'!$G$6:$G$1005,MATCH(V429,'Material routes'!$A$6:$A$1005,0)),"MISSING ID")</x:f>
        <x:v>Resources</x:v>
      </x:c>
      <x:c r="J429" s="4" t="str">
        <x:f>IFERROR(INDEX('Material routes'!$B$6:$B$1005,MATCH(U429,'Material routes'!$A$6:$A$1005,0)),"MISSING ID")</x:f>
        <x:v>design.review.author_electrical_insulation_stock</x:v>
      </x:c>
      <x:c r="K429" s="4" t="str">
        <x:f>IFERROR(INDEX('Crafting recipes'!$C$6:$C$1005,MATCH(J429,'Crafting recipes'!$A$6:$A$1005,0)),"MISSING ID")</x:f>
        <x:v>Material refinement</x:v>
      </x:c>
      <x:c r="L429" s="4" t="str">
        <x:f>IFERROR(INDEX('Material routes'!$K$6:$K$1005,MATCH(U429,'Material routes'!$A$6:$A$1005,0)),"MISSING ID")</x:f>
        <x:v>Proposal</x:v>
      </x:c>
      <x:c r="M429" s="4" t="str">
        <x:f>IFERROR(INDEX('Material routes'!$M$6:$M$1005,MATCH(U429,'Material routes'!$A$6:$A$1005,0)),"MISSING ID")</x:f>
        <x:v>Partial proposal</x:v>
      </x:c>
      <x:c r="N429" s="4" t="str">
        <x:f>IF(IFERROR(INDEX('Material routes'!$I$6:$I$1005,MATCH(U429,'Material routes'!$A$6:$A$1005,0)),"MISSING ID")=0,"",IFERROR(INDEX('Material routes'!$I$6:$I$1005,MATCH(U429,'Material routes'!$A$6:$A$1005,0)),"MISSING ID"))</x:f>
      </x:c>
      <x:c r="O429" s="4" t="str">
        <x:f>IFERROR(INDEX('Material routes'!$J$6:$J$1005,MATCH(U429,'Material routes'!$A$6:$A$1005,0)),"MISSING ID")</x:f>
        <x:v>Unspecified</x:v>
      </x:c>
      <x:c r="P429" s="4" t="str">
        <x:f>IF(IFERROR(INDEX('Material routes'!$I$6:$I$1005,MATCH(V429,'Material routes'!$A$6:$A$1005,0)),"MISSING ID")=0,"",IFERROR(INDEX('Material routes'!$I$6:$I$1005,MATCH(V429,'Material routes'!$A$6:$A$1005,0)),"MISSING ID"))</x:f>
      </x:c>
      <x:c r="Q429" s="4" t="str">
        <x:f>IFERROR(INDEX('Material routes'!$J$6:$J$1005,MATCH(V429,'Material routes'!$A$6:$A$1005,0)),"MISSING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routes'!$D$6:$D$1005,MATCH(U429,'Material routes'!$A$6:$A$1005,0)),"MISSING ID")</x:f>
        <x:v>proposal.natural.ceramic</x:v>
      </x:c>
      <x:c r="T429" s="4" t="str">
        <x:f>IFERROR(INDEX('Material routes'!$D$6:$D$1005,MATCH(V429,'Material routes'!$A$6:$A$1005,0)),"MISSING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routes'!$E$6:$E$1005,MATCH(U430,'Material routes'!$A$6:$A$1005,0)),"MISSING ID")</x:f>
        <x:v>Selected oxide-reactive faunal fraction</x:v>
      </x:c>
      <x:c r="B430" s="4" t="str">
        <x:f>IFERROR(INDEX('Material routes'!$F$6:$F$1005,MATCH(U430,'Material routes'!$A$6:$A$1005,0)),"MISSING ID")</x:f>
        <x:v>T1</x:v>
      </x:c>
      <x:c r="C430" s="4" t="str">
        <x:f>IFERROR(INDEX('Material routes'!$H$6:$H$1005,MATCH(U430,'Material routes'!$A$6:$A$1005,0)),"MISSING ID")</x:f>
        <x:v>Chemical material</x:v>
      </x:c>
      <x:c r="D430" s="4" t="str">
        <x:f>IFERROR(INDEX('Material routes'!$G$6:$G$1005,MATCH(U430,'Material routes'!$A$6:$A$1005,0)),"MISSING ID")</x:f>
        <x:v>Resources</x:v>
      </x:c>
      <x:c r="E430" s="4" t="str">
        <x:f>IFERROR(INDEX('Material routes'!$C$6:$C$1005,MATCH(U430,'Material routes'!$A$6:$A$1005,0)),"MISSING ID")</x:f>
        <x:v>Ingredient candidate</x:v>
      </x:c>
      <x:c r="F430" s="4" t="str">
        <x:f>IFERROR(INDEX('Material routes'!$E$6:$E$1005,MATCH(V430,'Material routes'!$A$6:$A$1005,0)),"MISSING ID")</x:f>
        <x:v>Rust-conversion treatment</x:v>
      </x:c>
      <x:c r="G430" s="4" t="str">
        <x:f>IFERROR(INDEX('Material routes'!$F$6:$F$1005,MATCH(V430,'Material routes'!$A$6:$A$1005,0)),"MISSING ID")</x:f>
        <x:v>T2</x:v>
      </x:c>
      <x:c r="H430" s="4" t="str">
        <x:f>IFERROR(INDEX('Material routes'!$H$6:$H$1005,MATCH(V430,'Material routes'!$A$6:$A$1005,0)),"MISSING ID")</x:f>
        <x:v>Chemical material</x:v>
      </x:c>
      <x:c r="I430" s="4" t="str">
        <x:f>IFERROR(INDEX('Material routes'!$G$6:$G$1005,MATCH(V430,'Material routes'!$A$6:$A$1005,0)),"MISSING ID")</x:f>
        <x:v>Resources</x:v>
      </x:c>
      <x:c r="J430" s="4" t="str">
        <x:f>IFERROR(INDEX('Material routes'!$B$6:$B$1005,MATCH(U430,'Material routes'!$A$6:$A$1005,0)),"MISSING ID")</x:f>
        <x:v>design.review.proposal_corrosion_converter</x:v>
      </x:c>
      <x:c r="K430" s="4" t="str">
        <x:f>IFERROR(INDEX('Crafting recipes'!$C$6:$C$1005,MATCH(J430,'Crafting recipes'!$A$6:$A$1005,0)),"MISSING ID")</x:f>
        <x:v>Material refinement</x:v>
      </x:c>
      <x:c r="L430" s="4" t="str">
        <x:f>IFERROR(INDEX('Material routes'!$K$6:$K$1005,MATCH(U430,'Material routes'!$A$6:$A$1005,0)),"MISSING ID")</x:f>
        <x:v>Proposal</x:v>
      </x:c>
      <x:c r="M430" s="4" t="str">
        <x:f>IFERROR(INDEX('Material routes'!$M$6:$M$1005,MATCH(U430,'Material routes'!$A$6:$A$1005,0)),"MISSING ID")</x:f>
        <x:v>Partial proposal</x:v>
      </x:c>
      <x:c r="N430" s="4" t="str">
        <x:f>IF(IFERROR(INDEX('Material routes'!$I$6:$I$1005,MATCH(U430,'Material routes'!$A$6:$A$1005,0)),"MISSING ID")=0,"",IFERROR(INDEX('Material routes'!$I$6:$I$1005,MATCH(U430,'Material routes'!$A$6:$A$1005,0)),"MISSING ID"))</x:f>
      </x:c>
      <x:c r="O430" s="4" t="str">
        <x:f>IFERROR(INDEX('Material routes'!$J$6:$J$1005,MATCH(U430,'Material routes'!$A$6:$A$1005,0)),"MISSING ID")</x:f>
        <x:v>Unspecified</x:v>
      </x:c>
      <x:c r="P430" s="4" t="str">
        <x:f>IF(IFERROR(INDEX('Material routes'!$I$6:$I$1005,MATCH(V430,'Material routes'!$A$6:$A$1005,0)),"MISSING ID")=0,"",IFERROR(INDEX('Material routes'!$I$6:$I$1005,MATCH(V430,'Material routes'!$A$6:$A$1005,0)),"MISSING ID"))</x:f>
      </x:c>
      <x:c r="Q430" s="4" t="str">
        <x:f>IFERROR(INDEX('Material routes'!$J$6:$J$1005,MATCH(V430,'Material routes'!$A$6:$A$1005,0)),"MISSING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routes'!$D$6:$D$1005,MATCH(U430,'Material routes'!$A$6:$A$1005,0)),"MISSING ID")</x:f>
        <x:v>proposal.review.oxide_reactive_fraction</x:v>
      </x:c>
      <x:c r="T430" s="4" t="str">
        <x:f>IFERROR(INDEX('Material routes'!$D$6:$D$1005,MATCH(V430,'Material routes'!$A$6:$A$1005,0)),"MISSING ID")</x:f>
        <x:v>proposal.corrosion.converter</x:v>
      </x:c>
      <x:c r="U430" s="4" t="str">
        <x:v>design.review.proposal_corrosion_converter.in.1</x:v>
      </x:c>
      <x:c r="V430" s="4" t="str">
        <x:v>design.review.proposal_corrosion_converter.out</x:v>
      </x:c>
    </x:row>
    <x:row r="431" ht="115" customHeight="1">
      <x:c r="A431" s="4" t="str">
        <x:f>IFERROR(INDEX('Material routes'!$E$6:$E$1005,MATCH(U431,'Material routes'!$A$6:$A$1005,0)),"MISSING ID")</x:f>
        <x:v>Selected faunal carrier fraction</x:v>
      </x:c>
      <x:c r="B431" s="4" t="str">
        <x:f>IFERROR(INDEX('Material routes'!$F$6:$F$1005,MATCH(U431,'Material routes'!$A$6:$A$1005,0)),"MISSING ID")</x:f>
        <x:v>T1</x:v>
      </x:c>
      <x:c r="C431" s="4" t="str">
        <x:f>IFERROR(INDEX('Material routes'!$H$6:$H$1005,MATCH(U431,'Material routes'!$A$6:$A$1005,0)),"MISSING ID")</x:f>
        <x:v>Chemical material</x:v>
      </x:c>
      <x:c r="D431" s="4" t="str">
        <x:f>IFERROR(INDEX('Material routes'!$G$6:$G$1005,MATCH(U431,'Material routes'!$A$6:$A$1005,0)),"MISSING ID")</x:f>
        <x:v>Resources</x:v>
      </x:c>
      <x:c r="E431" s="4" t="str">
        <x:f>IFERROR(INDEX('Material routes'!$C$6:$C$1005,MATCH(U431,'Material routes'!$A$6:$A$1005,0)),"MISSING ID")</x:f>
        <x:v>Ingredient candidate</x:v>
      </x:c>
      <x:c r="F431" s="4" t="str">
        <x:f>IFERROR(INDEX('Material routes'!$E$6:$E$1005,MATCH(V431,'Material routes'!$A$6:$A$1005,0)),"MISSING ID")</x:f>
        <x:v>Rust-conversion treatment</x:v>
      </x:c>
      <x:c r="G431" s="4" t="str">
        <x:f>IFERROR(INDEX('Material routes'!$F$6:$F$1005,MATCH(V431,'Material routes'!$A$6:$A$1005,0)),"MISSING ID")</x:f>
        <x:v>T2</x:v>
      </x:c>
      <x:c r="H431" s="4" t="str">
        <x:f>IFERROR(INDEX('Material routes'!$H$6:$H$1005,MATCH(V431,'Material routes'!$A$6:$A$1005,0)),"MISSING ID")</x:f>
        <x:v>Chemical material</x:v>
      </x:c>
      <x:c r="I431" s="4" t="str">
        <x:f>IFERROR(INDEX('Material routes'!$G$6:$G$1005,MATCH(V431,'Material routes'!$A$6:$A$1005,0)),"MISSING ID")</x:f>
        <x:v>Resources</x:v>
      </x:c>
      <x:c r="J431" s="4" t="str">
        <x:f>IFERROR(INDEX('Material routes'!$B$6:$B$1005,MATCH(U431,'Material routes'!$A$6:$A$1005,0)),"MISSING ID")</x:f>
        <x:v>design.review.proposal_corrosion_converter</x:v>
      </x:c>
      <x:c r="K431" s="4" t="str">
        <x:f>IFERROR(INDEX('Crafting recipes'!$C$6:$C$1005,MATCH(J431,'Crafting recipes'!$A$6:$A$1005,0)),"MISSING ID")</x:f>
        <x:v>Material refinement</x:v>
      </x:c>
      <x:c r="L431" s="4" t="str">
        <x:f>IFERROR(INDEX('Material routes'!$K$6:$K$1005,MATCH(U431,'Material routes'!$A$6:$A$1005,0)),"MISSING ID")</x:f>
        <x:v>Proposal</x:v>
      </x:c>
      <x:c r="M431" s="4" t="str">
        <x:f>IFERROR(INDEX('Material routes'!$M$6:$M$1005,MATCH(U431,'Material routes'!$A$6:$A$1005,0)),"MISSING ID")</x:f>
        <x:v>Partial proposal</x:v>
      </x:c>
      <x:c r="N431" s="4" t="str">
        <x:f>IF(IFERROR(INDEX('Material routes'!$I$6:$I$1005,MATCH(U431,'Material routes'!$A$6:$A$1005,0)),"MISSING ID")=0,"",IFERROR(INDEX('Material routes'!$I$6:$I$1005,MATCH(U431,'Material routes'!$A$6:$A$1005,0)),"MISSING ID"))</x:f>
      </x:c>
      <x:c r="O431" s="4" t="str">
        <x:f>IFERROR(INDEX('Material routes'!$J$6:$J$1005,MATCH(U431,'Material routes'!$A$6:$A$1005,0)),"MISSING ID")</x:f>
        <x:v>Unspecified</x:v>
      </x:c>
      <x:c r="P431" s="4" t="str">
        <x:f>IF(IFERROR(INDEX('Material routes'!$I$6:$I$1005,MATCH(V431,'Material routes'!$A$6:$A$1005,0)),"MISSING ID")=0,"",IFERROR(INDEX('Material routes'!$I$6:$I$1005,MATCH(V431,'Material routes'!$A$6:$A$1005,0)),"MISSING ID"))</x:f>
      </x:c>
      <x:c r="Q431" s="4" t="str">
        <x:f>IFERROR(INDEX('Material routes'!$J$6:$J$1005,MATCH(V431,'Material routes'!$A$6:$A$1005,0)),"MISSING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routes'!$D$6:$D$1005,MATCH(U431,'Material routes'!$A$6:$A$1005,0)),"MISSING ID")</x:f>
        <x:v>proposal.t1.faunal_carrier</x:v>
      </x:c>
      <x:c r="T431" s="4" t="str">
        <x:f>IFERROR(INDEX('Material routes'!$D$6:$D$1005,MATCH(V431,'Material routes'!$A$6:$A$1005,0)),"MISSING ID")</x:f>
        <x:v>proposal.corrosion.converter</x:v>
      </x:c>
      <x:c r="U431" s="4" t="str">
        <x:v>design.review.proposal_corrosion_converter.in.2</x:v>
      </x:c>
      <x:c r="V431" s="4" t="str">
        <x:v>design.review.proposal_corrosion_converter.out</x:v>
      </x:c>
    </x:row>
    <x:row r="432" ht="115" customHeight="1">
      <x:c r="A432" s="4" t="str">
        <x:f>IFERROR(INDEX('Material routes'!$E$6:$E$1005,MATCH(U432,'Material routes'!$A$6:$A$1005,0)),"MISSING ID")</x:f>
        <x:v>Prepared flexible faunal binder</x:v>
      </x:c>
      <x:c r="B432" s="4" t="str">
        <x:f>IFERROR(INDEX('Material routes'!$F$6:$F$1005,MATCH(U432,'Material routes'!$A$6:$A$1005,0)),"MISSING ID")</x:f>
        <x:v>T1</x:v>
      </x:c>
      <x:c r="C432" s="4" t="str">
        <x:f>IFERROR(INDEX('Material routes'!$H$6:$H$1005,MATCH(U432,'Material routes'!$A$6:$A$1005,0)),"MISSING ID")</x:f>
        <x:v>Chemical material</x:v>
      </x:c>
      <x:c r="D432" s="4" t="str">
        <x:f>IFERROR(INDEX('Material routes'!$G$6:$G$1005,MATCH(U432,'Material routes'!$A$6:$A$1005,0)),"MISSING ID")</x:f>
        <x:v>Resources</x:v>
      </x:c>
      <x:c r="E432" s="4" t="str">
        <x:f>IFERROR(INDEX('Material routes'!$C$6:$C$1005,MATCH(U432,'Material routes'!$A$6:$A$1005,0)),"MISSING ID")</x:f>
        <x:v>Ingredient candidate</x:v>
      </x:c>
      <x:c r="F432" s="4" t="str">
        <x:f>IFERROR(INDEX('Material routes'!$E$6:$E$1005,MATCH(V432,'Material routes'!$A$6:$A$1005,0)),"MISSING ID")</x:f>
        <x:v>Corrosion-inhibiting finish</x:v>
      </x:c>
      <x:c r="G432" s="4" t="str">
        <x:f>IFERROR(INDEX('Material routes'!$F$6:$F$1005,MATCH(V432,'Material routes'!$A$6:$A$1005,0)),"MISSING ID")</x:f>
        <x:v>T2</x:v>
      </x:c>
      <x:c r="H432" s="4" t="str">
        <x:f>IFERROR(INDEX('Material routes'!$H$6:$H$1005,MATCH(V432,'Material routes'!$A$6:$A$1005,0)),"MISSING ID")</x:f>
        <x:v>Chemical material</x:v>
      </x:c>
      <x:c r="I432" s="4" t="str">
        <x:f>IFERROR(INDEX('Material routes'!$G$6:$G$1005,MATCH(V432,'Material routes'!$A$6:$A$1005,0)),"MISSING ID")</x:f>
        <x:v>Resources</x:v>
      </x:c>
      <x:c r="J432" s="4" t="str">
        <x:f>IFERROR(INDEX('Material routes'!$B$6:$B$1005,MATCH(U432,'Material routes'!$A$6:$A$1005,0)),"MISSING ID")</x:f>
        <x:v>design.review.proposal_corrosion_inhibitor</x:v>
      </x:c>
      <x:c r="K432" s="4" t="str">
        <x:f>IFERROR(INDEX('Crafting recipes'!$C$6:$C$1005,MATCH(J432,'Crafting recipes'!$A$6:$A$1005,0)),"MISSING ID")</x:f>
        <x:v>Material refinement</x:v>
      </x:c>
      <x:c r="L432" s="4" t="str">
        <x:f>IFERROR(INDEX('Material routes'!$K$6:$K$1005,MATCH(U432,'Material routes'!$A$6:$A$1005,0)),"MISSING ID")</x:f>
        <x:v>Proposal</x:v>
      </x:c>
      <x:c r="M432" s="4" t="str">
        <x:f>IFERROR(INDEX('Material routes'!$M$6:$M$1005,MATCH(U432,'Material routes'!$A$6:$A$1005,0)),"MISSING ID")</x:f>
        <x:v>Partial proposal</x:v>
      </x:c>
      <x:c r="N432" s="4" t="str">
        <x:f>IF(IFERROR(INDEX('Material routes'!$I$6:$I$1005,MATCH(U432,'Material routes'!$A$6:$A$1005,0)),"MISSING ID")=0,"",IFERROR(INDEX('Material routes'!$I$6:$I$1005,MATCH(U432,'Material routes'!$A$6:$A$1005,0)),"MISSING ID"))</x:f>
      </x:c>
      <x:c r="O432" s="4" t="str">
        <x:f>IFERROR(INDEX('Material routes'!$J$6:$J$1005,MATCH(U432,'Material routes'!$A$6:$A$1005,0)),"MISSING ID")</x:f>
        <x:v>Unspecified</x:v>
      </x:c>
      <x:c r="P432" s="4" t="str">
        <x:f>IF(IFERROR(INDEX('Material routes'!$I$6:$I$1005,MATCH(V432,'Material routes'!$A$6:$A$1005,0)),"MISSING ID")=0,"",IFERROR(INDEX('Material routes'!$I$6:$I$1005,MATCH(V432,'Material routes'!$A$6:$A$1005,0)),"MISSING ID"))</x:f>
      </x:c>
      <x:c r="Q432" s="4" t="str">
        <x:f>IFERROR(INDEX('Material routes'!$J$6:$J$1005,MATCH(V432,'Material routes'!$A$6:$A$1005,0)),"MISSING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routes'!$D$6:$D$1005,MATCH(U432,'Material routes'!$A$6:$A$1005,0)),"MISSING ID")</x:f>
        <x:v>proposal.branch.flex_binder</x:v>
      </x:c>
      <x:c r="T432" s="4" t="str">
        <x:f>IFERROR(INDEX('Material routes'!$D$6:$D$1005,MATCH(V432,'Material routes'!$A$6:$A$1005,0)),"MISSING ID")</x:f>
        <x:v>proposal.corrosion.inhibitor</x:v>
      </x:c>
      <x:c r="U432" s="4" t="str">
        <x:v>design.review.proposal_corrosion_inhibitor.in.1</x:v>
      </x:c>
      <x:c r="V432" s="4" t="str">
        <x:v>design.review.proposal_corrosion_inhibitor.out</x:v>
      </x:c>
    </x:row>
    <x:row r="433" ht="115" customHeight="1">
      <x:c r="A433" s="4" t="str">
        <x:f>IFERROR(INDEX('Material routes'!$E$6:$E$1005,MATCH(U433,'Material routes'!$A$6:$A$1005,0)),"MISSING ID")</x:f>
        <x:v>Selected faunal carrier fraction</x:v>
      </x:c>
      <x:c r="B433" s="4" t="str">
        <x:f>IFERROR(INDEX('Material routes'!$F$6:$F$1005,MATCH(U433,'Material routes'!$A$6:$A$1005,0)),"MISSING ID")</x:f>
        <x:v>T1</x:v>
      </x:c>
      <x:c r="C433" s="4" t="str">
        <x:f>IFERROR(INDEX('Material routes'!$H$6:$H$1005,MATCH(U433,'Material routes'!$A$6:$A$1005,0)),"MISSING ID")</x:f>
        <x:v>Chemical material</x:v>
      </x:c>
      <x:c r="D433" s="4" t="str">
        <x:f>IFERROR(INDEX('Material routes'!$G$6:$G$1005,MATCH(U433,'Material routes'!$A$6:$A$1005,0)),"MISSING ID")</x:f>
        <x:v>Resources</x:v>
      </x:c>
      <x:c r="E433" s="4" t="str">
        <x:f>IFERROR(INDEX('Material routes'!$C$6:$C$1005,MATCH(U433,'Material routes'!$A$6:$A$1005,0)),"MISSING ID")</x:f>
        <x:v>Ingredient candidate</x:v>
      </x:c>
      <x:c r="F433" s="4" t="str">
        <x:f>IFERROR(INDEX('Material routes'!$E$6:$E$1005,MATCH(V433,'Material routes'!$A$6:$A$1005,0)),"MISSING ID")</x:f>
        <x:v>Corrosion-inhibiting finish</x:v>
      </x:c>
      <x:c r="G433" s="4" t="str">
        <x:f>IFERROR(INDEX('Material routes'!$F$6:$F$1005,MATCH(V433,'Material routes'!$A$6:$A$1005,0)),"MISSING ID")</x:f>
        <x:v>T2</x:v>
      </x:c>
      <x:c r="H433" s="4" t="str">
        <x:f>IFERROR(INDEX('Material routes'!$H$6:$H$1005,MATCH(V433,'Material routes'!$A$6:$A$1005,0)),"MISSING ID")</x:f>
        <x:v>Chemical material</x:v>
      </x:c>
      <x:c r="I433" s="4" t="str">
        <x:f>IFERROR(INDEX('Material routes'!$G$6:$G$1005,MATCH(V433,'Material routes'!$A$6:$A$1005,0)),"MISSING ID")</x:f>
        <x:v>Resources</x:v>
      </x:c>
      <x:c r="J433" s="4" t="str">
        <x:f>IFERROR(INDEX('Material routes'!$B$6:$B$1005,MATCH(U433,'Material routes'!$A$6:$A$1005,0)),"MISSING ID")</x:f>
        <x:v>design.review.proposal_corrosion_inhibitor</x:v>
      </x:c>
      <x:c r="K433" s="4" t="str">
        <x:f>IFERROR(INDEX('Crafting recipes'!$C$6:$C$1005,MATCH(J433,'Crafting recipes'!$A$6:$A$1005,0)),"MISSING ID")</x:f>
        <x:v>Material refinement</x:v>
      </x:c>
      <x:c r="L433" s="4" t="str">
        <x:f>IFERROR(INDEX('Material routes'!$K$6:$K$1005,MATCH(U433,'Material routes'!$A$6:$A$1005,0)),"MISSING ID")</x:f>
        <x:v>Proposal</x:v>
      </x:c>
      <x:c r="M433" s="4" t="str">
        <x:f>IFERROR(INDEX('Material routes'!$M$6:$M$1005,MATCH(U433,'Material routes'!$A$6:$A$1005,0)),"MISSING ID")</x:f>
        <x:v>Partial proposal</x:v>
      </x:c>
      <x:c r="N433" s="4" t="str">
        <x:f>IF(IFERROR(INDEX('Material routes'!$I$6:$I$1005,MATCH(U433,'Material routes'!$A$6:$A$1005,0)),"MISSING ID")=0,"",IFERROR(INDEX('Material routes'!$I$6:$I$1005,MATCH(U433,'Material routes'!$A$6:$A$1005,0)),"MISSING ID"))</x:f>
      </x:c>
      <x:c r="O433" s="4" t="str">
        <x:f>IFERROR(INDEX('Material routes'!$J$6:$J$1005,MATCH(U433,'Material routes'!$A$6:$A$1005,0)),"MISSING ID")</x:f>
        <x:v>Unspecified</x:v>
      </x:c>
      <x:c r="P433" s="4" t="str">
        <x:f>IF(IFERROR(INDEX('Material routes'!$I$6:$I$1005,MATCH(V433,'Material routes'!$A$6:$A$1005,0)),"MISSING ID")=0,"",IFERROR(INDEX('Material routes'!$I$6:$I$1005,MATCH(V433,'Material routes'!$A$6:$A$1005,0)),"MISSING ID"))</x:f>
      </x:c>
      <x:c r="Q433" s="4" t="str">
        <x:f>IFERROR(INDEX('Material routes'!$J$6:$J$1005,MATCH(V433,'Material routes'!$A$6:$A$1005,0)),"MISSING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routes'!$D$6:$D$1005,MATCH(U433,'Material routes'!$A$6:$A$1005,0)),"MISSING ID")</x:f>
        <x:v>proposal.t1.faunal_carrier</x:v>
      </x:c>
      <x:c r="T433" s="4" t="str">
        <x:f>IFERROR(INDEX('Material routes'!$D$6:$D$1005,MATCH(V433,'Material routes'!$A$6:$A$1005,0)),"MISSING ID")</x:f>
        <x:v>proposal.corrosion.inhibitor</x:v>
      </x:c>
      <x:c r="U433" s="4" t="str">
        <x:v>design.review.proposal_corrosion_inhibitor.in.2</x:v>
      </x:c>
      <x:c r="V433" s="4" t="str">
        <x:v>design.review.proposal_corrosion_inhibitor.out</x:v>
      </x:c>
    </x:row>
    <x:row r="434" ht="115" customHeight="1">
      <x:c r="A434" s="4" t="str">
        <x:f>IFERROR(INDEX('Material routes'!$E$6:$E$1005,MATCH(U434,'Material routes'!$A$6:$A$1005,0)),"MISSING ID")</x:f>
        <x:v>Graded mineral filler</x:v>
      </x:c>
      <x:c r="B434" s="4" t="str">
        <x:f>IFERROR(INDEX('Material routes'!$F$6:$F$1005,MATCH(U434,'Material routes'!$A$6:$A$1005,0)),"MISSING ID")</x:f>
        <x:v>T1</x:v>
      </x:c>
      <x:c r="C434" s="4" t="str">
        <x:f>IFERROR(INDEX('Material routes'!$H$6:$H$1005,MATCH(U434,'Material routes'!$A$6:$A$1005,0)),"MISSING ID")</x:f>
        <x:v>Processed material</x:v>
      </x:c>
      <x:c r="D434" s="4" t="str">
        <x:f>IFERROR(INDEX('Material routes'!$G$6:$G$1005,MATCH(U434,'Material routes'!$A$6:$A$1005,0)),"MISSING ID")</x:f>
        <x:v>Resources</x:v>
      </x:c>
      <x:c r="E434" s="4" t="str">
        <x:f>IFERROR(INDEX('Material routes'!$C$6:$C$1005,MATCH(U434,'Material routes'!$A$6:$A$1005,0)),"MISSING ID")</x:f>
        <x:v>Ingredient candidate</x:v>
      </x:c>
      <x:c r="F434" s="4" t="str">
        <x:f>IFERROR(INDEX('Material routes'!$E$6:$E$1005,MATCH(V434,'Material routes'!$A$6:$A$1005,0)),"MISSING ID")</x:f>
        <x:v>Corrosion-inhibiting finish</x:v>
      </x:c>
      <x:c r="G434" s="4" t="str">
        <x:f>IFERROR(INDEX('Material routes'!$F$6:$F$1005,MATCH(V434,'Material routes'!$A$6:$A$1005,0)),"MISSING ID")</x:f>
        <x:v>T2</x:v>
      </x:c>
      <x:c r="H434" s="4" t="str">
        <x:f>IFERROR(INDEX('Material routes'!$H$6:$H$1005,MATCH(V434,'Material routes'!$A$6:$A$1005,0)),"MISSING ID")</x:f>
        <x:v>Chemical material</x:v>
      </x:c>
      <x:c r="I434" s="4" t="str">
        <x:f>IFERROR(INDEX('Material routes'!$G$6:$G$1005,MATCH(V434,'Material routes'!$A$6:$A$1005,0)),"MISSING ID")</x:f>
        <x:v>Resources</x:v>
      </x:c>
      <x:c r="J434" s="4" t="str">
        <x:f>IFERROR(INDEX('Material routes'!$B$6:$B$1005,MATCH(U434,'Material routes'!$A$6:$A$1005,0)),"MISSING ID")</x:f>
        <x:v>design.review.proposal_corrosion_inhibitor</x:v>
      </x:c>
      <x:c r="K434" s="4" t="str">
        <x:f>IFERROR(INDEX('Crafting recipes'!$C$6:$C$1005,MATCH(J434,'Crafting recipes'!$A$6:$A$1005,0)),"MISSING ID")</x:f>
        <x:v>Material refinement</x:v>
      </x:c>
      <x:c r="L434" s="4" t="str">
        <x:f>IFERROR(INDEX('Material routes'!$K$6:$K$1005,MATCH(U434,'Material routes'!$A$6:$A$1005,0)),"MISSING ID")</x:f>
        <x:v>Proposal</x:v>
      </x:c>
      <x:c r="M434" s="4" t="str">
        <x:f>IFERROR(INDEX('Material routes'!$M$6:$M$1005,MATCH(U434,'Material routes'!$A$6:$A$1005,0)),"MISSING ID")</x:f>
        <x:v>Partial proposal</x:v>
      </x:c>
      <x:c r="N434" s="4" t="str">
        <x:f>IF(IFERROR(INDEX('Material routes'!$I$6:$I$1005,MATCH(U434,'Material routes'!$A$6:$A$1005,0)),"MISSING ID")=0,"",IFERROR(INDEX('Material routes'!$I$6:$I$1005,MATCH(U434,'Material routes'!$A$6:$A$1005,0)),"MISSING ID"))</x:f>
      </x:c>
      <x:c r="O434" s="4" t="str">
        <x:f>IFERROR(INDEX('Material routes'!$J$6:$J$1005,MATCH(U434,'Material routes'!$A$6:$A$1005,0)),"MISSING ID")</x:f>
        <x:v>Unspecified</x:v>
      </x:c>
      <x:c r="P434" s="4" t="str">
        <x:f>IF(IFERROR(INDEX('Material routes'!$I$6:$I$1005,MATCH(V434,'Material routes'!$A$6:$A$1005,0)),"MISSING ID")=0,"",IFERROR(INDEX('Material routes'!$I$6:$I$1005,MATCH(V434,'Material routes'!$A$6:$A$1005,0)),"MISSING ID"))</x:f>
      </x:c>
      <x:c r="Q434" s="4" t="str">
        <x:f>IFERROR(INDEX('Material routes'!$J$6:$J$1005,MATCH(V434,'Material routes'!$A$6:$A$1005,0)),"MISSING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routes'!$D$6:$D$1005,MATCH(U434,'Material routes'!$A$6:$A$1005,0)),"MISSING ID")</x:f>
        <x:v>proposal.t1.mineral_filler</x:v>
      </x:c>
      <x:c r="T434" s="4" t="str">
        <x:f>IFERROR(INDEX('Material routes'!$D$6:$D$1005,MATCH(V434,'Material routes'!$A$6:$A$1005,0)),"MISSING ID")</x:f>
        <x:v>proposal.corrosion.inhibitor</x:v>
      </x:c>
      <x:c r="U434" s="4" t="str">
        <x:v>design.review.proposal_corrosion_inhibitor.in.3</x:v>
      </x:c>
      <x:c r="V434" s="4" t="str">
        <x:v>design.review.proposal_corrosion_inhibitor.out</x:v>
      </x:c>
    </x:row>
    <x:row r="435" ht="115" customHeight="1">
      <x:c r="A435" s="4" t="str">
        <x:f>IFERROR(INDEX('Material routes'!$E$6:$E$1005,MATCH(U435,'Material routes'!$A$6:$A$1005,0)),"MISSING ID")</x:f>
        <x:v>Faunal chemical material (unspecified)</x:v>
      </x:c>
      <x:c r="B435" s="4" t="str">
        <x:f>IFERROR(INDEX('Material routes'!$F$6:$F$1005,MATCH(U435,'Material routes'!$A$6:$A$1005,0)),"MISSING ID")</x:f>
        <x:v>T0</x:v>
      </x:c>
      <x:c r="C435" s="4" t="str">
        <x:f>IFERROR(INDEX('Material routes'!$H$6:$H$1005,MATCH(U435,'Material routes'!$A$6:$A$1005,0)),"MISSING ID")</x:f>
        <x:v>Chemical material</x:v>
      </x:c>
      <x:c r="D435" s="4" t="str">
        <x:f>IFERROR(INDEX('Material routes'!$G$6:$G$1005,MATCH(U435,'Material routes'!$A$6:$A$1005,0)),"MISSING ID")</x:f>
        <x:v>Resources</x:v>
      </x:c>
      <x:c r="E435" s="4" t="str">
        <x:f>IFERROR(INDEX('Material routes'!$C$6:$C$1005,MATCH(U435,'Material routes'!$A$6:$A$1005,0)),"MISSING ID")</x:f>
        <x:v>Ingredient candidate</x:v>
      </x:c>
      <x:c r="F435" s="4" t="str">
        <x:f>IFERROR(INDEX('Material routes'!$E$6:$E$1005,MATCH(V435,'Material routes'!$A$6:$A$1005,0)),"MISSING ID")</x:f>
        <x:v>Selected oxide-reactive faunal fraction</x:v>
      </x:c>
      <x:c r="G435" s="4" t="str">
        <x:f>IFERROR(INDEX('Material routes'!$F$6:$F$1005,MATCH(V435,'Material routes'!$A$6:$A$1005,0)),"MISSING ID")</x:f>
        <x:v>T1</x:v>
      </x:c>
      <x:c r="H435" s="4" t="str">
        <x:f>IFERROR(INDEX('Material routes'!$H$6:$H$1005,MATCH(V435,'Material routes'!$A$6:$A$1005,0)),"MISSING ID")</x:f>
        <x:v>Chemical material</x:v>
      </x:c>
      <x:c r="I435" s="4" t="str">
        <x:f>IFERROR(INDEX('Material routes'!$G$6:$G$1005,MATCH(V435,'Material routes'!$A$6:$A$1005,0)),"MISSING ID")</x:f>
        <x:v>Resources</x:v>
      </x:c>
      <x:c r="J435" s="4" t="str">
        <x:f>IFERROR(INDEX('Material routes'!$B$6:$B$1005,MATCH(U435,'Material routes'!$A$6:$A$1005,0)),"MISSING ID")</x:f>
        <x:v>design.review.proposal_review_oxide_reactive_fraction</x:v>
      </x:c>
      <x:c r="K435" s="4" t="str">
        <x:f>IFERROR(INDEX('Crafting recipes'!$C$6:$C$1005,MATCH(J435,'Crafting recipes'!$A$6:$A$1005,0)),"MISSING ID")</x:f>
        <x:v>Material refinement</x:v>
      </x:c>
      <x:c r="L435" s="4" t="str">
        <x:f>IFERROR(INDEX('Material routes'!$K$6:$K$1005,MATCH(U435,'Material routes'!$A$6:$A$1005,0)),"MISSING ID")</x:f>
        <x:v>Proposal</x:v>
      </x:c>
      <x:c r="M435" s="4" t="str">
        <x:f>IFERROR(INDEX('Material routes'!$M$6:$M$1005,MATCH(U435,'Material routes'!$A$6:$A$1005,0)),"MISSING ID")</x:f>
        <x:v>Partial proposal</x:v>
      </x:c>
      <x:c r="N435" s="4" t="str">
        <x:f>IF(IFERROR(INDEX('Material routes'!$I$6:$I$1005,MATCH(U435,'Material routes'!$A$6:$A$1005,0)),"MISSING ID")=0,"",IFERROR(INDEX('Material routes'!$I$6:$I$1005,MATCH(U435,'Material routes'!$A$6:$A$1005,0)),"MISSING ID"))</x:f>
      </x:c>
      <x:c r="O435" s="4" t="str">
        <x:f>IFERROR(INDEX('Material routes'!$J$6:$J$1005,MATCH(U435,'Material routes'!$A$6:$A$1005,0)),"MISSING ID")</x:f>
        <x:v>Unspecified</x:v>
      </x:c>
      <x:c r="P435" s="4" t="str">
        <x:f>IF(IFERROR(INDEX('Material routes'!$I$6:$I$1005,MATCH(V435,'Material routes'!$A$6:$A$1005,0)),"MISSING ID")=0,"",IFERROR(INDEX('Material routes'!$I$6:$I$1005,MATCH(V435,'Material routes'!$A$6:$A$1005,0)),"MISSING ID"))</x:f>
      </x:c>
      <x:c r="Q435" s="4" t="str">
        <x:f>IFERROR(INDEX('Material routes'!$J$6:$J$1005,MATCH(V435,'Material routes'!$A$6:$A$1005,0)),"MISSING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routes'!$D$6:$D$1005,MATCH(U435,'Material routes'!$A$6:$A$1005,0)),"MISSING ID")</x:f>
        <x:v>proposal.bio.chemical_material</x:v>
      </x:c>
      <x:c r="T435" s="4" t="str">
        <x:f>IFERROR(INDEX('Material routes'!$D$6:$D$1005,MATCH(V435,'Material routes'!$A$6:$A$1005,0)),"MISSING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routes'!$E$6:$E$1005,MATCH(U436,'Material routes'!$A$6:$A$1005,0)),"MISSING ID")</x:f>
        <x:v>Dry mineral salts</x:v>
      </x:c>
      <x:c r="B436" s="4" t="str">
        <x:f>IFERROR(INDEX('Material routes'!$F$6:$F$1005,MATCH(U436,'Material routes'!$A$6:$A$1005,0)),"MISSING ID")</x:f>
        <x:v>T0</x:v>
      </x:c>
      <x:c r="C436" s="4" t="str">
        <x:f>IFERROR(INDEX('Material routes'!$H$6:$H$1005,MATCH(U436,'Material routes'!$A$6:$A$1005,0)),"MISSING ID")</x:f>
        <x:v>Raw material</x:v>
      </x:c>
      <x:c r="D436" s="4" t="str">
        <x:f>IFERROR(INDEX('Material routes'!$G$6:$G$1005,MATCH(U436,'Material routes'!$A$6:$A$1005,0)),"MISSING ID")</x:f>
        <x:v>Resources</x:v>
      </x:c>
      <x:c r="E436" s="4" t="str">
        <x:f>IFERROR(INDEX('Material routes'!$C$6:$C$1005,MATCH(U436,'Material routes'!$A$6:$A$1005,0)),"MISSING ID")</x:f>
        <x:v>Ingredient candidate</x:v>
      </x:c>
      <x:c r="F436" s="4" t="str">
        <x:f>IFERROR(INDEX('Material routes'!$E$6:$E$1005,MATCH(V436,'Material routes'!$A$6:$A$1005,0)),"MISSING ID")</x:f>
        <x:v>Selected oxide-reactive faunal fraction</x:v>
      </x:c>
      <x:c r="G436" s="4" t="str">
        <x:f>IFERROR(INDEX('Material routes'!$F$6:$F$1005,MATCH(V436,'Material routes'!$A$6:$A$1005,0)),"MISSING ID")</x:f>
        <x:v>T1</x:v>
      </x:c>
      <x:c r="H436" s="4" t="str">
        <x:f>IFERROR(INDEX('Material routes'!$H$6:$H$1005,MATCH(V436,'Material routes'!$A$6:$A$1005,0)),"MISSING ID")</x:f>
        <x:v>Chemical material</x:v>
      </x:c>
      <x:c r="I436" s="4" t="str">
        <x:f>IFERROR(INDEX('Material routes'!$G$6:$G$1005,MATCH(V436,'Material routes'!$A$6:$A$1005,0)),"MISSING ID")</x:f>
        <x:v>Resources</x:v>
      </x:c>
      <x:c r="J436" s="4" t="str">
        <x:f>IFERROR(INDEX('Material routes'!$B$6:$B$1005,MATCH(U436,'Material routes'!$A$6:$A$1005,0)),"MISSING ID")</x:f>
        <x:v>design.review.proposal_review_oxide_reactive_fraction</x:v>
      </x:c>
      <x:c r="K436" s="4" t="str">
        <x:f>IFERROR(INDEX('Crafting recipes'!$C$6:$C$1005,MATCH(J436,'Crafting recipes'!$A$6:$A$1005,0)),"MISSING ID")</x:f>
        <x:v>Material refinement</x:v>
      </x:c>
      <x:c r="L436" s="4" t="str">
        <x:f>IFERROR(INDEX('Material routes'!$K$6:$K$1005,MATCH(U436,'Material routes'!$A$6:$A$1005,0)),"MISSING ID")</x:f>
        <x:v>Proposal</x:v>
      </x:c>
      <x:c r="M436" s="4" t="str">
        <x:f>IFERROR(INDEX('Material routes'!$M$6:$M$1005,MATCH(U436,'Material routes'!$A$6:$A$1005,0)),"MISSING ID")</x:f>
        <x:v>Partial proposal</x:v>
      </x:c>
      <x:c r="N436" s="4" t="str">
        <x:f>IF(IFERROR(INDEX('Material routes'!$I$6:$I$1005,MATCH(U436,'Material routes'!$A$6:$A$1005,0)),"MISSING ID")=0,"",IFERROR(INDEX('Material routes'!$I$6:$I$1005,MATCH(U436,'Material routes'!$A$6:$A$1005,0)),"MISSING ID"))</x:f>
      </x:c>
      <x:c r="O436" s="4" t="str">
        <x:f>IFERROR(INDEX('Material routes'!$J$6:$J$1005,MATCH(U436,'Material routes'!$A$6:$A$1005,0)),"MISSING ID")</x:f>
        <x:v>Unspecified</x:v>
      </x:c>
      <x:c r="P436" s="4" t="str">
        <x:f>IF(IFERROR(INDEX('Material routes'!$I$6:$I$1005,MATCH(V436,'Material routes'!$A$6:$A$1005,0)),"MISSING ID")=0,"",IFERROR(INDEX('Material routes'!$I$6:$I$1005,MATCH(V436,'Material routes'!$A$6:$A$1005,0)),"MISSING ID"))</x:f>
      </x:c>
      <x:c r="Q436" s="4" t="str">
        <x:f>IFERROR(INDEX('Material routes'!$J$6:$J$1005,MATCH(V436,'Material routes'!$A$6:$A$1005,0)),"MISSING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routes'!$D$6:$D$1005,MATCH(U436,'Material routes'!$A$6:$A$1005,0)),"MISSING ID")</x:f>
        <x:v>proposal.natural.salts</x:v>
      </x:c>
      <x:c r="T436" s="4" t="str">
        <x:f>IFERROR(INDEX('Material routes'!$D$6:$D$1005,MATCH(V436,'Material routes'!$A$6:$A$1005,0)),"MISSING ID")</x:f>
        <x:v>proposal.review.oxide_reactive_fraction</x:v>
      </x:c>
      <x:c r="U436" s="4" t="str">
        <x:v>design.review.proposal_review_oxide_reactive_fraction.in.2</x:v>
      </x:c>
      <x:c r="V436" s="4" t="str">
        <x:v>design.review.proposal_review_oxide_reactive_fraction.out</x:v>
      </x:c>
    </x:row>
  </x:sheetData>
  <x:pageMargins left="0.7" right="0.7" top="0.75" bottom="0.75" header="0.3" footer="0.3"/>
  <x:tableParts count="1">
    <x:tablePart xmlns:r="http://schemas.openxmlformats.org/officeDocument/2006/relationships" r:id="R16b66b03f7c94aba"/>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dc113bdffc8342e5"/>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a0587aea2eda483b"/>
  </x:tableParts>
</x:worksheet>
</file>