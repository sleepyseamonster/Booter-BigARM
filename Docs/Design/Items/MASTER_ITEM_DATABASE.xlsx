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e12c36d8c8a4825" /></Relationships>
</file>

<file path=xl/workbook.xml><?xml version="1.0" encoding="utf-8"?>
<x:workbook xmlns:x="http://schemas.openxmlformats.org/spreadsheetml/2006/main">
  <x:sheets>
    <x:sheet xmlns:r="http://schemas.openxmlformats.org/officeDocument/2006/relationships" name="Items" sheetId="1" r:id="R88591b5a728e4604"/>
    <x:sheet xmlns:r="http://schemas.openxmlformats.org/officeDocument/2006/relationships" name="Variants" sheetId="2" r:id="R2454f2ae713d48b2"/>
    <x:sheet xmlns:r="http://schemas.openxmlformats.org/officeDocument/2006/relationships" name="Recipes" sheetId="3" r:id="R4936551bf90b40d6"/>
    <x:sheet xmlns:r="http://schemas.openxmlformats.org/officeDocument/2006/relationships" name="Categories" sheetId="4" r:id="R9b16a1d1ee3040c6"/>
    <x:sheet xmlns:r="http://schemas.openxmlformats.org/officeDocument/2006/relationships" name="Guide" sheetId="5" r:id="R38b3bf21c68440a2"/>
    <x:sheet xmlns:r="http://schemas.openxmlformats.org/officeDocument/2006/relationships" name="Resource chains" sheetId="6" r:id="R2b3b9880e9d4493c"/>
    <x:sheet xmlns:r="http://schemas.openxmlformats.org/officeDocument/2006/relationships" name="Creature concepts" sheetId="7" r:id="R7f05e57765fb4660"/>
    <x:sheet xmlns:r="http://schemas.openxmlformats.org/officeDocument/2006/relationships" name="Chemical concepts" sheetId="8" r:id="Ra0f8c55000c34733"/>
    <x:sheet xmlns:r="http://schemas.openxmlformats.org/officeDocument/2006/relationships" name="Container concepts" sheetId="9" r:id="Rae5b6feb8fb548f0"/>
    <x:sheet xmlns:r="http://schemas.openxmlformats.org/officeDocument/2006/relationships" name="Equipment concepts" sheetId="10" r:id="R89cb2e4e30ca4bd9"/>
    <x:sheet xmlns:r="http://schemas.openxmlformats.org/officeDocument/2006/relationships" name="Canister concepts" sheetId="11" r:id="R1f0a7bec0d644b68"/>
    <x:sheet xmlns:r="http://schemas.openxmlformats.org/officeDocument/2006/relationships" name="Taxonomy" sheetId="12" r:id="R96c4ebcf05784d3a"/>
    <x:sheet xmlns:r="http://schemas.openxmlformats.org/officeDocument/2006/relationships" name="Item uses" sheetId="13" r:id="Rf0f09ecc79bb4cf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1">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ac4183103144367" /><Relationship Type="http://schemas.openxmlformats.org/officeDocument/2006/relationships/theme" Target="/xl/theme/theme1.xml" Id="R42be014349e04692" /><Relationship Type="http://schemas.microsoft.com/office/2022/11/relationships/FeaturePropertyBag" Target="/xl/featurePropertyBag/featurePropertyBag.xml" Id="Rec3b19efd5944d77" /><Relationship Type="http://schemas.openxmlformats.org/officeDocument/2006/relationships/sharedStrings" Target="/xl/sharedStrings.xml" Id="Rfae6b5fce6704a79" /><Relationship Type="http://schemas.openxmlformats.org/officeDocument/2006/relationships/worksheet" Target="/xl/worksheets/sheet1.xml" Id="R88591b5a728e4604" /><Relationship Type="http://schemas.openxmlformats.org/officeDocument/2006/relationships/worksheet" Target="/xl/worksheets/sheet2.xml" Id="R2454f2ae713d48b2" /><Relationship Type="http://schemas.openxmlformats.org/officeDocument/2006/relationships/worksheet" Target="/xl/worksheets/sheet3.xml" Id="R4936551bf90b40d6" /><Relationship Type="http://schemas.openxmlformats.org/officeDocument/2006/relationships/worksheet" Target="/xl/worksheets/sheet4.xml" Id="R9b16a1d1ee3040c6" /><Relationship Type="http://schemas.openxmlformats.org/officeDocument/2006/relationships/worksheet" Target="/xl/worksheets/sheet5.xml" Id="R38b3bf21c68440a2" /><Relationship Type="http://schemas.openxmlformats.org/officeDocument/2006/relationships/worksheet" Target="/xl/worksheets/sheet6.xml" Id="R2b3b9880e9d4493c" /><Relationship Type="http://schemas.openxmlformats.org/officeDocument/2006/relationships/worksheet" Target="/xl/worksheets/sheet7.xml" Id="R7f05e57765fb4660" /><Relationship Type="http://schemas.openxmlformats.org/officeDocument/2006/relationships/worksheet" Target="/xl/worksheets/sheet8.xml" Id="Ra0f8c55000c34733" /><Relationship Type="http://schemas.openxmlformats.org/officeDocument/2006/relationships/worksheet" Target="/xl/worksheets/sheet9.xml" Id="Rae5b6feb8fb548f0" /><Relationship Type="http://schemas.openxmlformats.org/officeDocument/2006/relationships/worksheet" Target="/xl/worksheets/sheet10.xml" Id="R89cb2e4e30ca4bd9" /><Relationship Type="http://schemas.openxmlformats.org/officeDocument/2006/relationships/worksheet" Target="/xl/worksheets/sheet11.xml" Id="R1f0a7bec0d644b68" /><Relationship Type="http://schemas.openxmlformats.org/officeDocument/2006/relationships/worksheet" Target="/xl/worksheets/sheet12.xml" Id="R96c4ebcf05784d3a" /><Relationship Type="http://schemas.openxmlformats.org/officeDocument/2006/relationships/worksheet" Target="/xl/worksheets/sheet13.xml" Id="Rf0f09ecc79bb4cf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2" name="ItemsTable" displayName="ItemsTable" ref="A5:AE181" headerRowCount="1" totalsRowCount="0" totalsRowShown="0">
  <x:autoFilter ref="A5:AE181"/>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Column21"/>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4" name="CategoriesTable" displayName="CategoriesTable" ref="A5:D30" headerRowCount="1" totalsRowCount="0" totalsRowShown="0">
  <x:tableColumns count="4">
    <x:tableColumn id="1" name="Category"/>
    <x:tableColumn id="2" name="Current coverage"/>
    <x:tableColumn id="3" name="Existing basis"/>
    <x:tableColumn id="4" name="Later brainstorm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04"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5" name="ItemTaxonomy" displayName="ItemTaxonomy" ref="A5:C163" headerRowCount="1" totalsRowCount="0" totalsRowShown="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236" headerRowCount="1" totalsRowCount="0" totalsRowShown="0">
  <x:autoFilter ref="A5:F23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c4c813a8d3b4dca" /></Relationships>
</file>

<file path=xl/worksheets/_rels/sheet2.xml.rels>&#65279;<?xml version="1.0" encoding="utf-8"?><Relationships xmlns="http://schemas.openxmlformats.org/package/2006/relationships"><Relationship Type="http://schemas.openxmlformats.org/officeDocument/2006/relationships/table" Target="/xl/tables/table2.xml" Id="R7ffb57d55c5b49f2" /></Relationships>
</file>

<file path=xl/worksheets/_rels/sheet3.xml.rels>&#65279;<?xml version="1.0" encoding="utf-8"?><Relationships xmlns="http://schemas.openxmlformats.org/package/2006/relationships"><Relationship Type="http://schemas.openxmlformats.org/officeDocument/2006/relationships/table" Target="/xl/tables/table3.xml" Id="R1c6c44d5f58a481a" /></Relationships>
</file>

<file path=xl/worksheets/_rels/sheet4.xml.rels>&#65279;<?xml version="1.0" encoding="utf-8"?><Relationships xmlns="http://schemas.openxmlformats.org/package/2006/relationships"><Relationship Type="http://schemas.openxmlformats.org/officeDocument/2006/relationships/table" Target="/xl/tables/table4.xml" Id="Rc619958b5f65455d" /></Relationships>
</file>

<file path=xl/worksheets/_rels/sheet5.xml.rels>&#65279;<?xml version="1.0" encoding="utf-8"?><Relationships xmlns="http://schemas.openxmlformats.org/package/2006/relationships"><Relationship Type="http://schemas.openxmlformats.org/officeDocument/2006/relationships/table" Target="/xl/tables/table5.xml" Id="Rdd392db2f205452d" /></Relationships>
</file>

<file path=xl/worksheets/_rels/sheet6.xml.rels>&#65279;<?xml version="1.0" encoding="utf-8"?><Relationships xmlns="http://schemas.openxmlformats.org/package/2006/relationships"><Relationship Type="http://schemas.openxmlformats.org/officeDocument/2006/relationships/table" Target="/xl/tables/table6.xml" Id="Ra99fcbc1ef344f98" /></Relationships>
</file>

<file path=xl/worksheets/_rels/sheet7.xml.rels>&#65279;<?xml version="1.0" encoding="utf-8"?><Relationships xmlns="http://schemas.openxmlformats.org/package/2006/relationships"><Relationship Type="http://schemas.openxmlformats.org/officeDocument/2006/relationships/table" Target="/xl/tables/table7.xml" Id="R8e4c29491b2e400b" /></Relationships>
</file>

<file path=xl/worksheets/_rels/sheet8.xml.rels>&#65279;<?xml version="1.0" encoding="utf-8"?><Relationships xmlns="http://schemas.openxmlformats.org/package/2006/relationships"><Relationship Type="http://schemas.openxmlformats.org/officeDocument/2006/relationships/table" Target="/xl/tables/table8.xml" Id="R055768a65c56464e" /></Relationships>
</file>

<file path=xl/worksheets/_rels/sheet9.xml.rels>&#65279;<?xml version="1.0" encoding="utf-8"?><Relationships xmlns="http://schemas.openxmlformats.org/package/2006/relationships"><Relationship Type="http://schemas.openxmlformats.org/officeDocument/2006/relationships/table" Target="/xl/tables/table9.xml" Id="R7b719cebe1f34775" /></Relationships>
</file>

<file path=xl/worksheets/_rels/sheet10.xml.rels>&#65279;<?xml version="1.0" encoding="utf-8"?><Relationships xmlns="http://schemas.openxmlformats.org/package/2006/relationships"><Relationship Type="http://schemas.openxmlformats.org/officeDocument/2006/relationships/table" Target="/xl/tables/table10.xml" Id="R0ea629fbf35241f2" /></Relationships>
</file>

<file path=xl/worksheets/_rels/sheet11.xml.rels>&#65279;<?xml version="1.0" encoding="utf-8"?><Relationships xmlns="http://schemas.openxmlformats.org/package/2006/relationships"><Relationship Type="http://schemas.openxmlformats.org/officeDocument/2006/relationships/table" Target="/xl/tables/table11.xml" Id="R8309fcd26d924935" /></Relationships>
</file>

<file path=xl/worksheets/_rels/sheet12.xml.rels>&#65279;<?xml version="1.0" encoding="utf-8"?><Relationships xmlns="http://schemas.openxmlformats.org/package/2006/relationships"><Relationship Type="http://schemas.openxmlformats.org/officeDocument/2006/relationships/table" Target="/xl/tables/table12.xml" Id="R5d78aae0c5b44e0f" /></Relationships>
</file>

<file path=xl/worksheets/_rels/sheet13.xml.rels>&#65279;<?xml version="1.0" encoding="utf-8"?><Relationships xmlns="http://schemas.openxmlformats.org/package/2006/relationships"><Relationship Type="http://schemas.openxmlformats.org/officeDocument/2006/relationships/table" Target="/xl/tables/table13.xml" Id="Rd8eee2912255424f"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3"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176 items. Filter W:AC for type, stage, origin, use, material, form and status. Search AD; use Item uses for multiple purposes.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10"/>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v>lab salvage drive assembly; drive assembly; crafting components; salvage; machinery repair; crafting component; recovered part; recovered machinery; machinery repair; mixed / unresolved; assembly; existing definition</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v>lab salvage metal plate; metal plate; crafting components; salvage; fabrication; crafting component; recovered part; recovered machinery; fabrication; metal; solid part; existing definition</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v>lab salvage wire bundle; wire bundle; crafting components; salvage; electrical work; crafting component; recovered part; recovered machinery; electrical work; metal; bundle; existing definition</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v>equipment algae canister; algae canister; equipment; survival; survival provision; injury treatment; container; finished item; living culture; survival provision; mixed / unresolved; assembly; existing definition</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v>equipment cloak; cloak; equipment; clothing; camp rest; wearable; finished item; unresolved; clothing; unresolved; garment; existing definition</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v>equipment digging tool; digging shovel axe; equipment; excavation; tool; finished item; unresolved; excavation; mixed / unresolved; assembly; existing definition</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v>tool micro dust harvester; dust canister; equipment; harvesting; resource collection; tool; finished item; unresolved; resource collection; mixed / unresolved; assembly; existing definition</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v>equipment grappling hook; grappling hook; equipment; traversal; tool; finished item; unresolved; traversal; mixed / unresolved; assembly; existing definition</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v>equipment jacket; jacket; equipment; clothing; wearable; finished item; unresolved; clothing; unresolved; garment; existing definition</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v>equipment arc battery charged; charged arc battery; field supplies; energy container; energy storage; energy storage; finished item; manufactured / unresolved; energy storage; mixed / unresolved; assembly; existing definition</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v>equipment arc battery empty; empty arc battery; field supplies; energy container; energy storage; energy processing; energy storage; finished item; manufactured / unresolved; energy storage; mixed / unresolved; assembly; existing definition</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v>tool popup camp; pop-up camp; field supplies; camp bundle; camp rest; sun shading; vertical sun shade shelter; shelter kit; finished item; unresolved; camp rest; mixed / unresolved; assembly; existing definition</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v>resource airborne dust; airborne dust; resources; airborne resource; energy processing; raw material; raw; atmospheric; energy processing; unresolved; particles; existing definition</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v>lab ironstone aggregate; coarse aggregate; resources; processed mineral; use unresolved; processed material; processed intermediate; geological; use unresolved; mineral; particles; existing definition</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v>lab ironstone concentrate; iron-rich concentrate; resources; processed mineral; metal refining; processed material; processed intermediate; geological; metal refining; mineral; particles; existing definition</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v>resource ironstone ore; ironstone ore; resources; raw mineral; metal refining; fabrication; unprocessed iron rich stone; raw material; raw; geological; metal refining; mineral; rock; existing definition</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v>lab ironstone mineral dust; mineral dust; resources; processed mineral; use unresolved; processed material; processed intermediate; geological; use unresolved; mineral; particles; existing definition</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v>lab ironstone sand; mineral sand; resources; processed mineral; use unresolved; processed material; processed intermediate; geological; use unresolved; mineral; particles; existing definition</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23"/>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v>proposal gear magnets; field magnets; equipment; magnetic recovery; resource collection; work holding; tool; finished item; manufactured / unresolved; resource collection; mixed / unresolved; assembly; author direction</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23"/>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v>proposal gear grounding kit; static grounding kit; equipment; charge management; static management; tool; finished item; manufactured / unresolved; static management; mixed / unresolved; assembly; author direction</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23"/>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v>proposal natural magnetite; magnetite-rich stone; resources; raw mineral; metal refining; magnetic tools; raw material; raw; geological; metal refining; mineral; rock; proposal</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23"/>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v>proposal natural silica; silica-rich grit; resources; raw mineral; surface finishing; glass and ceramics; raw material; raw; geological; surface finishing; mineral; particles; proposal</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23"/>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v>proposal natural alumina; alumina-rich rock; resources; raw mineral; glass and ceramics; electrical insulation; raw material; raw; geological; glass and ceramics; mineral; rock; proposal</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23"/>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v>proposal natural claystone; claystone; resources; raw mineral; glass and ceramics; raw material; raw; geological; glass and ceramics; mineral; rock; proposal</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23"/>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v>proposal natural carbonate; carbonate stone; resources; raw mineral; binding and construction; raw material; raw; geological; binding and construction; mineral; rock; proposal</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23"/>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v>proposal natural salts; dry mineral salts; resources; raw mineral; culture support; raw material; raw; geological; culture support; mineral; particles; proposal</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23"/>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v>proposal natural graphite; graphite-bearing stone; resources; raw mineral; lubrication; electrical conduction; raw material; raw; geological; lubrication; mineral; particles; proposal</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23"/>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v>proposal natural mica; mica sheets; resources; raw mineral; electrical insulation; protective fabrication; raw material; raw; geological; electrical insulation; mineral; sheet; proposal</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23"/>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v>proposal natural iron feed; iron-rich mineral feed; resources; processed mineral; metal refining; processed material; processed intermediate; geological; metal refining; mineral; particles; proposal</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23"/>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v>proposal natural iron stock; worked iron stock; resources; processed mineral; fabrication; equipment repair; processed material; processed intermediate; geological; fabrication; mineral; solid part; proposal</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23"/>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v>proposal natural abrasive; graded abrasive grit; resources; processed mineral; surface finishing; processed material; processed intermediate; geological; surface finishing; mineral; particles; proposal</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23"/>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Mineral</x:v>
      </x:c>
      <x:c r="AB37" s="4" t="str">
        <x:v>Solid part</x:v>
      </x:c>
      <x:c r="AC37" s="4" t="str">
        <x:v>Proposal</x:v>
      </x:c>
      <x:c r="AD37" s="4" t="str">
        <x:v>proposal natural ceramic; insulating ceramic blanks; resources; processed mineral; electrical insulation; protective fabrication; processed material; processed intermediate; geological; electrical insulation; mineral; solid part; proposal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23"/>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v>proposal natural lime; calcined mineral binder; resources; processed mineral; binding and construction; processed material; processed intermediate; geological; binding and construction; mineral; particles; proposal</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23"/>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v>proposal natural carbon; graded graphite flakes; resources; processed mineral; lubrication; electrical conduction; processed material; processed intermediate; geological; lubrication; mineral; particles; proposal</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23"/>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v>proposal bio shell; shell husks / shed plates; resources; molted exoskeleton; fabrication; fiber processing; raw material; raw; fauna; fabrication; shell / chitin; shell plate; author direction</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23"/>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v>proposal bio tendon; dried tendon bundles; resources; connective tissue; binding and construction; raw material; raw; fauna; binding and construction; faunal tissue; bundle; proposal</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23"/>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v>proposal bio bristles; coarse sensory bristles; resources; dry fibers; dust exclusion; raw material; raw; fauna; dust exclusion; faunal fiber; fiber; proposal</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23"/>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v>proposal bio underfur; shed underfur; resources; dry fibers; textile processing; raw material; raw; fauna; textile processing; fur; fiber; proposal</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23"/>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v>proposal bio jaw; dense jaw plates; resources; hard tissue; tool fabrication; raw material; raw; fauna; tool fabrication; faunal tissue; solid piece; proposal</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23"/>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v>proposal bio membrane; dried joint membrane; resources; flexible tissue; sealing; equipment repair; raw material; processed intermediate; fauna; sealing; faunal membrane; sheet; proposal</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23"/>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v>proposal bio fat; unverified fat-like tissue concept; resources; perishable tissue; use unresolved; raw material; unresolved; fauna; use unresolved; unresolved; unresolved; withheld assumption</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23"/>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v>proposal bio organ; charge-organ tissue; resources; specialized tissue; electrical work; raw material; raw; fauna; electrical work; faunal tissue; solid piece; proposal</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23"/>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v>proposal bio laminate; shell laminate; crafting components; processed biological; protective fabrication; crafting component; processed intermediate; fauna; protective fabrication; shell / chitin; panel; proposal</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23"/>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v>proposal bio cord; tendon cord; crafting components; processed biological; binding and construction; equipment repair; crafting component; processed intermediate; fauna; binding and construction; faunal tissue; cord; proposal</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23"/>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v>proposal bio brush; bristle brush strips; crafting components; processed biological; dust exclusion; crafting component; processed intermediate; fauna; dust exclusion; faunal fiber; strip; proposal</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23"/>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v>proposal bio liner; pressed fur-fiber material; crafting components; processed biological; textile processing; processed material; processed intermediate; fauna; textile processing; fur; unresolved; proposal</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23"/>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v>proposal bio insert; jaw cutting insert; crafting components; processed biological; tool fabrication; crafting component; processed intermediate; fauna; tool fabrication; faunal tissue; solid part; proposal</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23"/>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v>proposal bio seal; membrane seal patches; crafting components; processed biological; sealing; equipment repair; crafting component; processed intermediate; fauna; sealing; faunal membrane; patch; proposal</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23"/>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v>proposal bio wax; solid biological wax; crafting components; processed biological; use unresolved; processed material; unresolved; fauna; use unresolved; biological chemical; solid piece; withheld assumption</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23"/>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v>proposal bio electrode; dry organ electrode scaffold; crafting components; processed biological; electrical work; crafting component; processed intermediate; fauna; electrical work; faunal tissue; solid part; proposal</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27"/>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v>proposal natural charcoal; charcoal; resources; processed fuel; fuel; metal refining; processed material; processed intermediate; unresolved; fuel; carbonaceous material; particles; author direction</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27"/>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v>proposal natural copper stone; unprocessed copper-rich stone; resources; raw mineral; metal refining; raw material; raw; geological; metal refining; mineral; rock; author direction</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27"/>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v>proposal natural copper ore; copper ore; resources; sorted ore; metal refining; raw material; processed intermediate; geological; metal refining; mineral; rock; author direction</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27"/>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v>proposal natural raw copper; raw copper lump; resources; unworked metal; electrical conduction; fabrication; processed material; unworked metal; geological; electrical conduction; metal; solid piece; author direction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27"/>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v>proposal natural tungsten ore; tungsten-bearing ore; resources; raw mineral; metal refining; tool fabrication; raw material; raw; geological; metal refining; mineral; rock; author direction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27"/>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v>proposal natural magnesium rock; magnesium-bearing rock; resources; raw mineral; metal refining; raw material; raw; geological; metal refining; mineral; rock; author direction</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27"/>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v>proposal natural raw magnesium; raw magnesium metal; resources; unworked metal; fabrication; processed material; unworked metal; geological; fabrication; metal; solid piece; author direction</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27"/>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v>proposal natural hematite; raw hematite; resources; iron oxide mineral; metal refining; raw material; raw; geological; metal refining; mineral; rock; author direction</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27"/>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v>proposal natural sulfur; raw sulfur; resources; native nonmetal; chemical processing; raw material; raw; geological; chemical processing; mineral; rock; author direction</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27"/>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v>proposal natural borate; raw borate minerals; resources; evaporite mineral; glass and ceramics; raw material; raw; geological; glass and ceramics; mineral; rock; proposal</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27"/>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v>proposal natural gypsum; raw gypsum; resources; sulfate mineral; glass and ceramics; raw material; raw; geological; glass and ceramics; mineral; rock; proposal</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27"/>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v>proposal natural talc; raw talc; resources; industrial mineral; glass and ceramics; surface finishing; raw material; raw; geological; glass and ceramics; mineral; rock; proposal</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27"/>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v>proposal natural manganese ore; manganese-bearing ore; resources; raw mineral; metal refining; decoration; raw material; raw; geological; metal refining; mineral; rock; proposal</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27"/>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v>proposal natural lead ore; lead-bearing ore; resources; raw mineral; metal refining; raw material; raw; geological; metal refining; mineral; rock; proposal</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27"/>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v>proposal natural zinc ore; zinc-bearing ore; resources; raw mineral; metal refining; raw material; raw; geological; metal refining; mineral; rock; proposal</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27"/>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v>proposal natural silver ore; silver-bearing ore; resources; raw mineral; metal refining; electrical conduction; raw material; raw; geological; metal refining; mineral; rock; proposal</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27"/>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v>proposal natural gold rock; gold-bearing rock; resources; raw mineral; metal refining; decoration; raw material; raw; geological; metal refining; mineral; rock; proposal</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27"/>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v>proposal natural fluorite; raw fluorite; resources; industrial mineral; glass and ceramics; metal refining; raw material; raw; geological; glass and ceramics; mineral; rock; proposal</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27"/>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v>proposal natural antimony ore; antimony-bearing ore; resources; raw mineral; metal refining; raw material; raw; geological; metal refining; mineral; rock; proposal</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29"/>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v>proposal bio chitin fibers; scraped chitin fibers; resources; raw husk fiber; paper making; textile processing; raw material; raw; fauna; paper making; shell / chitin; fiber; author direction</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29"/>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v>proposal bio icore fibers; scraped icore fibers; resources; raw husk fiber; paper making; textile processing; icore husk fibers not liquid ichor; raw material; raw; fauna; paper making; husk fiber; fiber; author direction</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29"/>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v>proposal bio husk paper; husk-fiber paper; crafting components; paper; writing and records; paper stationery; processed material; processed intermediate; fauna; writing and records; husk fiber; sheet; author direction</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29"/>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v>proposal bio pressed husk; pressed husk-fiber textile material; crafting components; pressed textile material; clothing fabrication; processed material; processed intermediate; fauna; clothing fabrication; husk fiber; sheet; author direction</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29"/>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v>proposal bio hide; raw hide; resources; animal hide; textile processing; raw material; raw; fauna; textile processing; hide; sheet; author direction</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29"/>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v>proposal bio hide material; processed hide material; crafting components; processed biological; clothing fabrication; processed material; processed intermediate; fauna; clothing fabrication; hide; sheet; author direction</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3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v>proposal bio edible fraction; edible fauna fraction (species tbd); resources; food candidate; nutrition; food material; unresolved; fauna; nutrition; faunal tissue; unresolved; author direction</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3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v>proposal bio chemical material; faunal chemical material (unspecified); resources; chemical material; chemical processing; chemical material; unresolved; fauna; chemical processing; biological chemical; unresolved; author direction</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3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v>proposal bio liquid material; faunal liquid material (unspecified); resources; biological liquid material; chemical processing; chemical material; extracted material; fauna; chemical processing; biological chemical; liquid; author direction</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33"/>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v>proposal chemical digestive etchant; digestive etchant; resources; faunal chemical concept; chemical processing; surface finishing; chemical material; extracted material; fauna; chemical processing; biological chemical; unresolved; proposal</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33"/>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v>proposal chemical husk enzyme; husk-separation enzyme; resources; faunal chemical concept; fiber processing; paper making; textile processing; chemical material; extracted material; fauna; fiber processing; biological chemical; unresolved; proposal</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33"/>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v>proposal chemical shell binder; shell-binding secretion; resources; faunal chemical concept; binding and construction; protective fabrication; textile processing; chemical material; extracted material; fauna; binding and construction; biological chemical; unresolved; proposal</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33"/>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v>proposal chemical clotting compound; mineral clotting compound; resources; faunal chemical concept; equipment repair; sealing; chemical material; extracted material; fauna; equipment repair; biological chemical; unresolved; proposal</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33"/>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v>proposal chemical mineral ichor; mineral-rich ichor; resources; faunal chemical concept; chemical processing; decoration; ichor liquid not icore fiber; chemical material; extracted material; fauna; chemical processing; biological chemical; liquid; proposal</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33"/>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v>proposal chemical joint lubricant; joint-lubricating secretion; resources; faunal chemical concept; lubrication; sealing; chemical material; extracted material; fauna; lubrication; biological chemical; unresolved; proposal</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33"/>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v>proposal chemical insulating secretion; insulating secretion; resources; faunal chemical concept; electrical insulation; chemical material; extracted material; fauna; electrical insulation; biological chemical; unresolved; proposal</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33"/>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v>proposal chemical conductive gel; charge-conducting gel; resources; faunal chemical concept; electrical conduction; chemical material; extracted material; fauna; electrical conduction; biological chemical; gel; proposal</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33"/>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v>proposal chemical molt release; molt-release compound; resources; faunal chemical concept; surface finishing; fiber processing; chemical material; extracted material; fauna; surface finishing; biological chemical; unresolved; proposal</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33"/>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v>proposal chemical defensive irritant; defensive irritant secretion; resources; faunal chemical concept; material exclusion; chemical material; extracted material; fauna; material exclusion; biological chemical; unresolved; proposal</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33"/>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v>proposal chemical disabling venom; disabling venom fraction; resources; faunal chemical concept; specialist samples; chemical material; extracted material; fauna; specialist samples; biological chemical; unresolved; proposal</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33"/>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v>proposal chemical scent marker; chemical scent marker; resources; faunal chemical concept; fauna interaction; chemical material; extracted material; fauna; fauna interaction; biological chemical; unresolved; proposal</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37"/>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v>proposal container sample vial; clear sample vial; containers; primary vessel; liquid and bulk containment; inspection; container; finished item; manufactured / unresolved; liquid and bulk containment; glass; solid part; proposal</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37"/>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v>proposal container reagent bottle; opaque reagent bottle; containers; primary vessel; liquid and bulk containment; container; finished item; manufactured / unresolved; liquid and bulk containment; glass; solid part; proposal</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37"/>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v>proposal container wide jar; wide-mouth sample jar; containers; primary vessel; liquid and bulk containment; container; finished item; manufactured / unresolved; liquid and bulk containment; glass; solid part; proposal</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37"/>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v>proposal container ampoule; sealed sample ampoule; containers; primary vessel; liquid and bulk containment; container; finished item; manufactured / unresolved; liquid and bulk containment; glass; solid part; proposal</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37"/>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v>proposal container marked flask; marked glass flask; containers; primary vessel; liquid and bulk containment; inspection; container; finished item; manufactured / unresolved; liquid and bulk containment; glass; solid part; proposal</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37"/>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v>proposal container shell cage; shell-caged glass flask; containers; protected vessel assembly; liquid and bulk containment; container; finished item; manufactured / unresolved; liquid and bulk containment; glass and shell; assembly; proposal</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37"/>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v>proposal container lined canister; glass-lined haul canister; containers; protected vessel assembly; liquid and bulk containment; container; finished item; manufactured / unresolved; liquid and bulk containment; glass with unresolved casing; assembly; proposal</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37"/>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v>proposal container ceramic jar; glazed ceramic reagent jar; containers; primary vessel; liquid and bulk containment; container; finished item; manufactured / unresolved; liquid and bulk containment; ceramic; solid part; proposal</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37"/>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v>proposal container bulk ichor; bulk ichor vessel; containers; primary vessel; liquid and bulk containment; container; finished item; manufactured / unresolved; liquid and bulk containment; mixed / unresolved; assembly; proposal</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37"/>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v>proposal container vial case; divided vial case; containers; protective carrier; cargo organization; carrier; finished item; manufactured / unresolved; cargo organization; mixed / unresolved; assembly; proposal</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37"/>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v>proposal container sealed box; sealed cargo box; containers; protective carrier; cargo organization; carrier; finished item; manufactured / unresolved; cargo organization; mixed / unresolved; assembly; proposal</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37"/>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v>proposal container field chest; locking field chest; containers; storage object candidate; cargo organization; container; finished item; manufactured / unresolved; cargo organization; mixed / unresolved; assembly; proposal</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37"/>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v>proposal container funnel; glass transfer funnel; containers; transfer glassware; material transfer; tool; finished item; manufactured / unresolved; material transfer; glass; solid part; proposal</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37"/>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v>proposal container draw tube; glass draw tube; containers; transfer glassware; material transfer; tool; finished item; manufactured / unresolved; material transfer; glass; solid part; proposal</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37"/>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v>proposal container glass stopper; matched glass stopper; containers; closure component; sealing; container part; processed intermediate; manufactured / unresolved; sealing; glass; solid part; proposal</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37"/>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v>proposal container seal collar; compression seal collar; containers; closure component; sealing; container part; processed intermediate; manufactured / unresolved; sealing; mixed / unresolved; solid part; proposal</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43"/>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v>proposal gear mail shirt; chainmail shirt; equipment; torso layer; clothing; protection; chain mail shirt; armor; finished item; manufactured / unresolved; clothing; metal; garment; author direction</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43"/>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v>proposal gear metal armor set; assembled metal armor; equipment; whole-body assembly candidate; protection; armor; finished item; manufactured / unresolved; protection; metal; assembly; author direction</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43"/>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v>proposal gear chest armor; chest armor; equipment; torso plate; protection; armor; finished item; manufactured / unresolved; protection; metal; assembly; author direction</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43"/>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v>proposal gear helmet; helmet; equipment; head; protection; armor; finished item; manufactured / unresolved; protection; metal; assembly; author direction</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43"/>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v>proposal gear leg armor; leg armor; equipment; lower limbs; protection; armor; finished item; manufactured / unresolved; protection; metal; assembly; author direction</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43"/>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v>proposal gear boots; boots; equipment; feet; protection; traversal; wearable; finished item; manufactured / unresolved; protection; mixed / unresolved; garment; author direction</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43"/>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v>proposal gear gloves; gloves; equipment; hands; protection; wearable; finished item; manufactured / unresolved; protection; mixed / unresolved; garment; author direction</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43"/>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v>proposal gear backpack; backpack; equipment; back-mounted carrier; cargo organization; carrier; finished item; manufactured / unresolved; cargo organization; mixed / unresolved; assembly; author direction</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43"/>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v>proposal gear special plates; specialized armor plates; equipment; modular protection; protection; armor; finished item; manufactured / unresolved; protection; metal; assembly; author direction</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43"/>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v>proposal gear shield; shield; equipment; held / mounted defensive gear; protection; shield; finished item; manufactured / unresolved; protection; mixed / unresolved; assembly; author direction</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v>proposal weapon caltrops; caltrops; weapons; trip-ups; area denial; trip hazard; finished item; manufactured / unresolved; area denial; unresolved; solid part; author direction</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v>proposal ancient carbon composite; ancient carbon composite; resources; ancient manufactured material; use unresolved; processed material; ancient manufactured; ancient technology; use unresolved; ancient composite; unresolved; author direction</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v>proposal ancient nanocarbon; ancient nanocarbon material; resources; ancient manufactured material; use unresolved; processed material; ancient manufactured; ancient technology; use unresolved; ancient composite; unresolved; author direction</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v>proposal ancient plasteel; ancient plasteel material; resources; ancient manufactured material; use unresolved; processed material; ancient manufactured; ancient technology; use unresolved; ancient composite; unresolved; author direction</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v>proposal fashion special spectacles; specialized spectacles; equipment; specialist eyewear; vision; wearable; finished item; manufactured / unresolved; vision; mixed / unresolved; assembly; author direction</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v>proposal fashion eyeglasses; eyeglasses; equipment; eyewear; vision; wearable; finished item; manufactured / unresolved; vision; mixed / unresolved; assembly; author direction</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v>proposal fashion hat; hat; equipment; headwear; clothing; fashion; wearable; finished item; manufactured / unresolved; clothing; mixed / unresolved; garment; author direction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v>proposal fashion husk garment; elaborate husk-fiber wear; equipment; fashion garment; fashion; wearable; finished item; manufactured / unresolved; fashion; husk fiber; garment; author direction</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v>proposal fashion fur garment; elaborate fur wear; equipment; fashion garment; fashion; wearable; finished item; manufactured / unresolved; fashion; fur; garment; author direction</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v>proposal fashion hide garment; elaborate hide wear; equipment; fashion garment; fashion; wearable; finished item; manufactured / unresolved; fashion; hide; garment; author direction</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49"/>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v>proposal gem clear quartz; clear quartz; resources; gemstone concept; decoration; gem material; unresolved; geological; decoration; gemstone; unresolved; proposal</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49"/>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v>proposal gem smoky quartz; smoky quartz; resources; gemstone concept; decoration; gem material; unresolved; geological; decoration; gemstone; unresolved; proposal</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49"/>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v>proposal gem garnet; garnet; resources; gemstone concept; decoration; gem material; unresolved; geological; decoration; gemstone; unresolved; proposal</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49"/>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v>proposal gem spinel; spinel; resources; gemstone concept; decoration; gem material; unresolved; geological; decoration; gemstone; unresolved; proposal</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49"/>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v>proposal gem peridot; peridot; resources; gemstone concept; decoration; gem material; unresolved; geological; decoration; gemstone; unresolved; proposal</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49"/>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v>proposal gem corundum; ruby / sapphire corundum; resources; gemstone concept; decoration; gem material; unresolved; geological; decoration; gemstone; unresolved; proposal</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49"/>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v>proposal gem tourmaline; tourmaline; resources; gemstone concept; decoration; gem material; unresolved; geological; decoration; gemstone; unresolved; proposal</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49"/>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v>proposal gem zircon; zircon; resources; gemstone concept; decoration; gem material; unresolved; geological; decoration; gemstone; unresolved; proposal</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v>proposal gear simple wraps; simple everyday wraps; equipment; everyday clothing; clothing; wearable; finished item; manufactured / unresolved; clothing; mixed / unresolved; garment; author direction</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v>proposal bio inner wing; delicate inner wing; resources; wing material; sun shading; raw material; raw; fauna; sun shading; wing membrane; membrane; author direction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v>proposal bio wing panel; prepared wing shade panel; crafting components; wing material; sun shading; crafting component; processed intermediate; fauna; sun shading; wing membrane; panel; proposal</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v>proposal canister body blank; canister body blank; crafting components; canister economy concept; liquid and bulk containment; container part; processed intermediate; manufactured / unresolved; liquid and bulk containment; mixed / unresolved; solid part; proposal</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v>proposal canister seal ring; replacement seal ring; crafting components; canister economy concept; sealing; gasket; container part; processed intermediate; manufactured / unresolved; sealing; mixed / unresolved; solid part; proposal</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v>proposal canister seal seat; fitted seal seat; crafting components; canister economy concept; sealing; container part; processed intermediate; manufactured / unresolved; sealing; mixed / unresolved; solid part; proposal</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v>proposal canister sealant; canister joint sealant; crafting components; canister economy concept; sealing; chemical material; processed intermediate; manufactured / unresolved; sealing; mixed / unresolved; unresolved; proposal</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v>proposal canister feed line; feed-line section; crafting components; canister economy concept; material transfer; container part; processed intermediate; manufactured / unresolved; material transfer; mixed / unresolved; solid part; proposal</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v>proposal canister coupling; feed-line coupling; crafting components; canister economy concept; material transfer; sealing; container part; processed intermediate; manufactured / unresolved; material transfer; mixed / unresolved; solid part; proposal</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v>proposal canister mouthpiece; canister mouthpiece interface; crafting components; canister economy concept; survival provision; container part; processed intermediate; manufactured / unresolved; survival provision; mixed / unresolved; solid part; proposal</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v>proposal canister window; canister viewing-port insert; crafting components; canister economy concept; inspection; container part; processed intermediate; manufactured / unresolved; inspection; glass; solid part; proposal</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v>proposal canister mount; canister mounting bracket; crafting components; canister economy concept; equipment mounting; container part; processed intermediate; manufactured / unresolved; equipment mounting; mixed / unresolved; solid part; proposal</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v>proposal canister harness; fitted canister harness; equipment; canister economy concept; equipment mounting; carrier; finished item; manufactured / unresolved; equipment mounting; mixed / unresolved; assembly; proposal</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v>proposal canister inspection gauge; seal inspection gauge; equipment; canister economy concept; inspection; tool; finished item; manufactured / unresolved; inspection; mixed / unresolved; assembly; proposal</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v>proposal canister service kit; canister service kit; field supplies; canister economy concept; equipment repair; sealing; service kit; finished item; manufactured / unresolved; equipment repair; mixed / unresolved; assembly; proposal</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v>proposal canister maker plate; canister maker plate; crafting components; canister economy concept; provenance; decoration; crafting component; processed intermediate; manufactured / unresolved; provenance; mixed / unresolved; solid part; proposal</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v>proposal canister trim; decorative canister panel; crafting components; canister economy concept; decoration; crafting component; processed intermediate; manufactured / unresolved; decoration; mixed / unresolved; solid part; proposal</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v>proposal canister endcap; canister protective endcap; crafting components; canister economy concept; protection; dust exclusion; container part; processed intermediate; manufactured / unresolved; protection; mixed / unresolved; solid part; proposal</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v>proposal culture icon; preserver icon token; cultural objects; religious; devotion; cultural object; finished item; manufactured / unresolved; devotion; metal or shell; solid piece; proposal</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v>proposal culture shrine; household shrine plaque; cultural objects; religious; devotion; cultural object; finished item; manufactured / unresolved; devotion; metal or shell; panel; proposal</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v>proposal culture altar vial; altar display vial; cultural objects; religious; ceremony; liquid and bulk containment; container; finished item; manufactured / unresolved; ceremony; glass and metal; assembly; proposal</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v>proposal culture reliquary; relic case; cultural objects; religious; devotion; keepsake storage; container; finished item; manufactured / unresolved; devotion; metal or shell; assembly; proposal</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v>proposal culture prayer leaf; husk-paper prayer leaf; cultural objects; religious; devotion; writing and records; document; finished item; manufactured / unresolved; devotion; husk fiber; sheet; proposal</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v>proposal culture offering; votive shell token; cultural objects; religious; devotion; cultural object; finished item; manufactured / unresolved; devotion; shell / chitin; solid piece; proposal</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v>proposal culture badge; civic office badge; cultural objects; political / civic; civic identification; cultural object; finished item; manufactured / unresolved; civic identification; metal or shell; solid piece; proposal</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v>proposal culture stamp; official seal stamp; cultural objects; political / civic; writing and records; civic identification; document authentication stamp not pressure seal; tool; finished item; manufactured / unresolved; writing and records; metal; solid part; proposal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v>proposal culture register; civic register folio; cultural objects; political / civic; writing and records; civic recognition; document; finished item; manufactured / unresolved; writing and records; husk fiber and shell; folio; proposal</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v>proposal culture notice; public notice plate; cultural objects; political / civic; public communication; document; finished item; manufactured / unresolved; public communication; metal or shell; panel; proposal</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v>proposal culture petition; petition leaf; cultural objects; political / civic; public communication; document; finished item; manufactured / unresolved; public communication; husk fiber; sheet; proposal</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v>proposal culture commendation; community service medallion; cultural objects; political / civic; civic recognition; cultural object; finished item; manufactured / unresolved; civic recognition; metal; solid piece; proposal</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v>proposal culture pilgrim die; pilgrimage marking die; cultural objects; ritual; ceremony; provenance; tool; finished item; manufactured / unresolved; ceremony; metal; solid part; proposal</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v>proposal culture memorial; memorial name plate; cultural objects; ritual; remembrance; cultural object; finished item; manufactured / unresolved; remembrance; metal or shell; panel; proposal</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v>proposal culture oath ring; oath exchange ring; cultural objects; ritual; ceremony; cultural object; finished item; manufactured / unresolved; ceremony; metal; solid piece; proposal</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v>proposal culture milestone; life-event charm; cultural objects; ritual; remembrance; ceremony; cultural object; finished item; manufactured / unresolved; remembrance; metal or shell; solid piece; proposal</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v>proposal culture rattle; ceremonial shell rattle; cultural objects; ritual; ceremony; music; musical instrument; finished item; manufactured / unresolved; ceremony; shell and mineral; assembly; proposal</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v>proposal culture gift case; ceremonial gift case; cultural objects; ritual; ceremony; keepsake storage; container; finished item; manufactured / unresolved; ceremony; metal or shell; assembly; proposal</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v>proposal culture bowl; everyday shell bowl; everyday objects; everyday household; food service; household utensil; finished item; manufactured / unresolved; food service; metal or shell; solid piece; proposal</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v>proposal culture spoon; algae spoon / scraper; everyday objects; everyday household; food service; household utensil; finished item; manufactured / unresolved; food service; metal or shell; solid piece; proposal</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v>proposal culture brush; dust brush; everyday objects; everyday household; cleaning; tool; finished item; manufactured / unresolved; cleaning; faunal fiber and shell; assembly; proposal</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v>proposal culture comb; shell comb; everyday objects; everyday household; grooming; household utensil; finished item; manufactured / unresolved; grooming; metal or shell; solid piece; proposal</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v>proposal culture tablet; reusable tally tablet; everyday objects; everyday household; writing and records; document; finished item; manufactured / unresolved; writing and records; mineral or shell; solid piece; proposal</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v>proposal culture stylus; marking stylus; everyday objects; everyday household; writing and records; tool; finished item; manufactured / unresolved; writing and records; metal and shell; solid part; proposal</x:v>
      </x:c>
      <x:c r="AE181" s="4" t="str">
        <x:v>From current item description. Proposed uses retain their existing approval status.</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'Taxonomy'!$B$6:$B$13</x:formula1>
    </x:dataValidation>
    <x:dataValidation type="list" sqref="W6:W1005">
      <x:formula1>'Taxonomy'!$B$14:$B$34</x:formula1>
    </x:dataValidation>
    <x:dataValidation type="list" sqref="X6:X1005">
      <x:formula1>'Taxonomy'!$B$35:$B$42</x:formula1>
    </x:dataValidation>
    <x:dataValidation type="list" sqref="Y6:Y1005">
      <x:formula1>'Taxonomy'!$B$43:$B$50</x:formula1>
    </x:dataValidation>
    <x:dataValidation type="list" sqref="Z6:Z1005">
      <x:formula1>'Taxonomy'!$B$51:$B$113</x:formula1>
    </x:dataValidation>
    <x:dataValidation type="list" sqref="AA6:AA1005">
      <x:formula1>'Taxonomy'!$B$114:$B$140</x:formula1>
    </x:dataValidation>
    <x:dataValidation type="list" sqref="AB6:AB1005">
      <x:formula1>'Taxonomy'!$B$141:$B$159</x:formula1>
    </x:dataValidation>
    <x:dataValidation type="list" sqref="AC6:AC1005">
      <x:formula1>'Taxonomy'!$B$160:$B$163</x:formula1>
    </x:dataValidation>
  </x:dataValidations>
  <x:pageMargins left="0.7" right="0.7" top="0.75" bottom="0.75" header="0.3" footer="0.3"/>
  <x:tableParts count="1">
    <x:tablePart xmlns:r="http://schemas.openxmlformats.org/officeDocument/2006/relationships" r:id="Rbc4c813a8d3b4dca"/>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7ffb57d55c5b49f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1c6c44d5f58a481a"/>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s>
  <x:sheetData>
    <x:row r="1">
      <x:c r="A1" s="1"/>
      <x:c r="B1" s="1"/>
      <x:c r="C1" s="1"/>
      <x:c r="D1" s="1"/>
    </x:row>
    <x:row r="2">
      <x:c r="A2" s="2" t="str">
        <x:v>Item categories and roster gaps</x:v>
      </x:c>
      <x:c r="B2" s="1"/>
      <x:c r="C2" s="1"/>
      <x:c r="D2" s="1"/>
    </x:row>
    <x:row r="3">
      <x:c r="A3" s="1"/>
      <x:c r="B3" s="1"/>
      <x:c r="C3" s="1"/>
      <x:c r="D3" s="1"/>
    </x:row>
    <x:row r="4">
      <x:c r="A4" s="1"/>
      <x:c r="B4" s="1"/>
      <x:c r="C4" s="1"/>
      <x:c r="D4" s="1"/>
    </x:row>
    <x:row r="5" ht="32" customHeight="1">
      <x:c r="A5" s="8" t="str">
        <x:v>Category</x:v>
      </x:c>
      <x:c r="B5" s="8" t="str">
        <x:v>Current coverage</x:v>
      </x:c>
      <x:c r="C5" s="8" t="str">
        <x:v>Existing basis</x:v>
      </x:c>
      <x:c r="D5" s="8" t="str">
        <x:v>Later brainstorming</x:v>
      </x:c>
    </x:row>
    <x:row r="6" ht="48" customHeight="1">
      <x:c r="A6" s="9" t="str">
        <x:v>Equipment</x:v>
      </x:c>
      <x:c r="B6" s="9" t="n">
        <x:f>COUNTIF(Items!$C$6:$C$1005,A6)</x:f>
        <x:v>27</x:v>
      </x:c>
      <x:c r="C6" s="9" t="str">
        <x:v>Existing gear plus armor, carriers, rare eyewear/headwear and very rare fashion families</x:v>
      </x:c>
      <x:c r="D6" s="9" t="str">
        <x:v>New equipment concepts have no implemented slots, effects or layering rules</x:v>
      </x:c>
    </x:row>
    <x:row r="7" ht="48" customHeight="1">
      <x:c r="A7" s="4" t="str">
        <x:v>Field supplies</x:v>
      </x:c>
      <x:c r="B7" s="4" t="n">
        <x:f>COUNTIF(Items!$C$6:$C$1005,A7)</x:f>
        <x:v>4</x:v>
      </x:c>
      <x:c r="C7" s="4" t="str">
        <x:v>Pop-up camp and two battery states</x:v>
      </x:c>
      <x:c r="D7" s="4" t="str">
        <x:v>Additional supplies await later design</x:v>
      </x:c>
    </x:row>
    <x:row r="8" ht="48" customHeight="1">
      <x:c r="A8" s="9" t="str">
        <x:v>Resources</x:v>
      </x:c>
      <x:c r="B8" s="9" t="n">
        <x:f>COUNTIF(Items!$C$6:$C$1005,A8)</x:f>
        <x:v>77</x:v>
      </x:c>
      <x:c r="C8" s="9" t="str">
        <x:v>Minerals, biological resources, generic chemistry placeholders and twelve new chemical concepts</x:v>
      </x:c>
      <x:c r="D8" s="9" t="str">
        <x:v>Some concepts may merge: etchant/enzyme/molt agent, or binder/clot compound. No new canon.</x:v>
      </x:c>
    </x:row>
    <x:row r="9" ht="48" customHeight="1">
      <x:c r="A9" s="4" t="str">
        <x:v>Crafting components</x:v>
      </x:c>
      <x:c r="B9" s="4" t="n">
        <x:f>COUNTIF(Items!$C$6:$C$1005,A9)</x:f>
        <x:v>27</x:v>
      </x:c>
      <x:c r="C9" s="4" t="str">
        <x:v>Existing salvage and proposed materials, including husk-fiber paper and difficult pressed textiles</x:v>
      </x:c>
      <x:c r="D9" s="4" t="str">
        <x:v>No cloth. Hide/fur conversion yields extremely little usable material.</x:v>
      </x:c>
    </x:row>
    <x:row r="10" ht="48" customHeight="1">
      <x:c r="A10" s="9" t="str">
        <x:v>Survival contents</x:v>
      </x:c>
      <x:c r="B10" s="9" t="str">
        <x:v>Not discrete items</x:v>
      </x:c>
      <x:c r="C10" s="9" t="str">
        <x:v>Living algae in its attached personal canister</x:v>
      </x:c>
      <x:c r="D10" s="9" t="str">
        <x:v>Do not create a duplicate algae stack</x:v>
      </x:c>
    </x:row>
    <x:row r="11" ht="48" customHeight="1">
      <x:c r="A11" s="4" t="str">
        <x:v>Energy</x:v>
      </x:c>
      <x:c r="B11" s="4" t="str">
        <x:v>Not discrete items</x:v>
      </x:c>
      <x:c r="C11" s="4" t="str">
        <x:v>Arc Energy contained by charged batteries</x:v>
      </x:c>
      <x:c r="D11" s="4" t="str">
        <x:v>No separate energy inventory definition</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row>
    <x:row r="14" ht="48" customHeight="1">
      <x:c r="A14" s="9" t="str">
        <x:v>Companion gear and upgrades</x:v>
      </x:c>
      <x:c r="B14" s="9" t="str">
        <x:v>No current item definitions</x:v>
      </x:c>
      <x:c r="C14" s="9" t="str">
        <x:v>Legger has finite cargo; upgrades are a core-loop direction</x:v>
      </x:c>
      <x:c r="D14" s="9" t="str">
        <x:v>Legger is a companion, not an inventory item or crafting platform</x:v>
      </x:c>
    </x:row>
    <x:row r="15" ht="48" customHeight="1">
      <x:c r="A15" s="4" t="str">
        <x:v>Trade and quest items</x:v>
      </x:c>
      <x:c r="B15" s="4" t="str">
        <x:v>No current item definitions</x:v>
      </x:c>
      <x:c r="C15" s="4" t="str">
        <x:v>Settlement trade is part of the core loop</x:v>
      </x:c>
      <x:c r="D15" s="4" t="str">
        <x:v>Currency, prices, quest-item roster and rarity remain open</x:v>
      </x:c>
    </x:row>
    <x:row r="16" ht="70" customHeight="1">
      <x:c r="A16" s="41" t="str">
        <x:v>Containers</x:v>
      </x:c>
      <x:c r="B16" s="41" t="n">
        <x:f>COUNTIF(Items!$C$6:$C$1005,A16)</x:f>
        <x:v>16</x:v>
      </x:c>
      <x:c r="C16" s="41" t="str">
        <x:v>Primary vessels, protective carriers, transfer glassware and closures</x:v>
      </x:c>
      <x:c r="D16" s="41" t="str">
        <x:v>16 proposals; form distinguishes actual vessels from boxes, tools and the possible fixed chest</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row>
    <x:row r="19" ht="60" customHeight="1">
      <x:c r="A19" s="4" t="str">
        <x:v>Traps</x:v>
      </x:c>
      <x:c r="B19" s="4" t="n">
        <x:f>COUNTIFS(Items!$C$6:$C$1005,"Weapons",Items!$D$6:$D$1005,A19)</x:f>
        <x:v>0</x:v>
      </x:c>
      <x:c r="C19" s="4" t="str">
        <x:v>Reserved category; no named trap added</x:v>
      </x:c>
      <x:c r="D19" s="4" t="str">
        <x:v>Targets, trigger, recovery and mechanics deferred</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row>
    <x:row r="21" ht="65" customHeight="1">
      <x:c r="A21" s="4" t="str">
        <x:v>Ancient technology materials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row>
    <x:row r="26" ht="85" customHeight="1">
      <x:c r="A26" s="4" t="str">
        <x:v>Megafauna wing materials</x:v>
      </x:c>
      <x:c r="B26" s="4" t="n">
        <x:f>COUNTIF(Items!$D$6:$D$1005,"Wing material")</x:f>
        <x:v>2</x:v>
      </x:c>
      <x:c r="C26" s="4" t="str">
        <x:v>Delicate inner wings and proposed prepared shade panels</x:v>
      </x:c>
      <x:c r="D26" s="4" t="str">
        <x:v>Vertical shade uses the existing popup-camp family. Ordinary shells separately become cheap bulk resource.</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row>
    <x:row r="30" ht="85" customHeight="1">
      <x:c r="A30" s="4" t="str">
        <x:v>Everyday household</x:v>
      </x:c>
      <x:c r="B30" s="4" t="n">
        <x:f>COUNTIF(Items!$D$6:$D$1005,"Everyday household")</x:f>
        <x:v>6</x:v>
      </x:c>
      <x:c r="C30" s="4" t="str">
        <x:v>Bowls, algae spoons, dust brushes, combs, tally tablets and marking tools</x:v>
      </x:c>
      <x:c r="D30" s="4" t="str">
        <x:v>Simple shell/metal forms; no wood or ordinary cloth assumed.</x:v>
      </x:c>
    </x:row>
  </x:sheetData>
  <x:pageMargins left="0.7" right="0.7" top="0.75" bottom="0.75" header="0.3" footer="0.3"/>
  <x:tableParts count="1">
    <x:tablePart xmlns:r="http://schemas.openxmlformats.org/officeDocument/2006/relationships" r:id="Rc619958b5f65455d"/>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v>176 design entries: 18 existing item IDs and 158 design concepts. Includes 24 religious, civic, ritual and everyday object proposals.</x:v>
      </x:c>
    </x:row>
    <x:row r="9" ht="38" customHeight="1">
      <x:c r="A9" s="4" t="str">
        <x:v>Variants</x:v>
      </x:c>
      <x:c r="B9" s="4" t="str">
        <x:v>All 20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 is one native filterable table, A5:AE181. Category and Subtype retain earlier detail. New fields W:AC separate item type, processing stage, origin, primary use, material, form and status. Search terms are in AD. Freeze panes keep IDs/names visible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across the workbook, or Text Filters &gt; Contains on Search terms (AD). These combine labels, stable IDs, use labels and selected synonyms. Controlled fields and Item uses support exact filters. Update Search terms when item descriptions or purposes change.</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 with a unique stable Item ID. Fill W:AC, Search terms and Classification basis. Add one Primary relationship in Item uses plus any Secondary rows, copying linked formulas from an existing row. Update item-ID validation range, counts, table ranges and search terms as the catalog grows.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sheetData>
  <x:pageMargins left="0.7" right="0.7" top="0.75" bottom="0.75" header="0.3" footer="0.3"/>
  <x:tableParts count="1">
    <x:tablePart xmlns:r="http://schemas.openxmlformats.org/officeDocument/2006/relationships" r:id="Rdd392db2f205452d"/>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a99fcbc1ef344f98"/>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8e4c29491b2e400b"/>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055768a65c56464e"/>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7b719cebe1f34775"/>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0ea629fbf35241f2"/>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8309fcd26d924935"/>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Containers</x:v>
      </x:c>
      <x:c r="C6" s="4" t="str">
        <x:v>Broad existing inventory/design grouping. One per master item.</x:v>
      </x:c>
    </x:row>
    <x:row r="7" ht="45" customHeight="1">
      <x:c r="A7" s="4" t="str">
        <x:v>Category</x:v>
      </x:c>
      <x:c r="B7" s="4" t="str">
        <x:v>Crafting components</x:v>
      </x:c>
      <x:c r="C7" s="4" t="str">
        <x:v>Broad existing inventory/design grouping. One per master item.</x:v>
      </x:c>
    </x:row>
    <x:row r="8" ht="45" customHeight="1">
      <x:c r="A8" s="4" t="str">
        <x:v>Category</x:v>
      </x:c>
      <x:c r="B8" s="4" t="str">
        <x:v>Cultural objects</x:v>
      </x:c>
      <x:c r="C8" s="4" t="str">
        <x:v>Broad existing inventory/design grouping. One per master item.</x:v>
      </x:c>
    </x:row>
    <x:row r="9" ht="45" customHeight="1">
      <x:c r="A9" s="4" t="str">
        <x:v>Category</x:v>
      </x:c>
      <x:c r="B9" s="4" t="str">
        <x:v>Equipment</x:v>
      </x:c>
      <x:c r="C9" s="4" t="str">
        <x:v>Broad existing inventory/design grouping. One per master item.</x:v>
      </x:c>
    </x:row>
    <x:row r="10" ht="45" customHeight="1">
      <x:c r="A10" s="4" t="str">
        <x:v>Category</x:v>
      </x:c>
      <x:c r="B10" s="4" t="str">
        <x:v>Everyday objects</x:v>
      </x:c>
      <x:c r="C10" s="4" t="str">
        <x:v>Broad existing inventory/design grouping. One per master item.</x:v>
      </x:c>
    </x:row>
    <x:row r="11" ht="45" customHeight="1">
      <x:c r="A11" s="4" t="str">
        <x:v>Category</x:v>
      </x:c>
      <x:c r="B11" s="4" t="str">
        <x:v>Field supplies</x:v>
      </x:c>
      <x:c r="C11" s="4" t="str">
        <x:v>Broad existing inventory/design grouping. One per master item.</x:v>
      </x:c>
    </x:row>
    <x:row r="12" ht="45" customHeight="1">
      <x:c r="A12" s="4" t="str">
        <x:v>Category</x:v>
      </x:c>
      <x:c r="B12" s="4" t="str">
        <x:v>Resources</x:v>
      </x:c>
      <x:c r="C12" s="4" t="str">
        <x:v>Broad existing inventory/design grouping. One per master item.</x:v>
      </x:c>
    </x:row>
    <x:row r="13" ht="45" customHeight="1">
      <x:c r="A13" s="4" t="str">
        <x:v>Category</x:v>
      </x:c>
      <x:c r="B13" s="4" t="str">
        <x:v>Weapons</x:v>
      </x:c>
      <x:c r="C13" s="4" t="str">
        <x:v>Broad existing inventory/design grouping. One per master item.</x:v>
      </x:c>
    </x:row>
    <x:row r="14" ht="45" customHeight="1">
      <x:c r="A14" s="4" t="str">
        <x:v>Item type</x:v>
      </x:c>
      <x:c r="B14" s="4" t="str">
        <x:v>Armor</x:v>
      </x:c>
      <x:c r="C14" s="4" t="str">
        <x:v>What the object is, independent of material, culture and use.</x:v>
      </x:c>
    </x:row>
    <x:row r="15" ht="45" customHeight="1">
      <x:c r="A15" s="4" t="str">
        <x:v>Item type</x:v>
      </x:c>
      <x:c r="B15" s="4" t="str">
        <x:v>Carrier</x:v>
      </x:c>
      <x:c r="C15" s="4" t="str">
        <x:v>What the object is, independent of material, culture and use.</x:v>
      </x:c>
    </x:row>
    <x:row r="16" ht="45" customHeight="1">
      <x:c r="A16" s="4" t="str">
        <x:v>Item type</x:v>
      </x:c>
      <x:c r="B16" s="4" t="str">
        <x:v>Chemical material</x:v>
      </x:c>
      <x:c r="C16" s="4" t="str">
        <x:v>What the object is, independent of material, culture and use.</x:v>
      </x:c>
    </x:row>
    <x:row r="17" ht="45" customHeight="1">
      <x:c r="A17" s="4" t="str">
        <x:v>Item type</x:v>
      </x:c>
      <x:c r="B17" s="4" t="str">
        <x:v>Container</x:v>
      </x:c>
      <x:c r="C17" s="4" t="str">
        <x:v>What the object is, independent of material, culture and use.</x:v>
      </x:c>
    </x:row>
    <x:row r="18" ht="45" customHeight="1">
      <x:c r="A18" s="4" t="str">
        <x:v>Item type</x:v>
      </x:c>
      <x:c r="B18" s="4" t="str">
        <x:v>Container part</x:v>
      </x:c>
      <x:c r="C18" s="4" t="str">
        <x:v>What the object is, independent of material, culture and use.</x:v>
      </x:c>
    </x:row>
    <x:row r="19" ht="45" customHeight="1">
      <x:c r="A19" s="4" t="str">
        <x:v>Item type</x:v>
      </x:c>
      <x:c r="B19" s="4" t="str">
        <x:v>Crafting component</x:v>
      </x:c>
      <x:c r="C19" s="4" t="str">
        <x:v>What the object is, independent of material, culture and use.</x:v>
      </x:c>
    </x:row>
    <x:row r="20" ht="45" customHeight="1">
      <x:c r="A20" s="4" t="str">
        <x:v>Item type</x:v>
      </x:c>
      <x:c r="B20" s="4" t="str">
        <x:v>Cultural object</x:v>
      </x:c>
      <x:c r="C20" s="4" t="str">
        <x:v>What the object is, independent of material, culture and use.</x:v>
      </x:c>
    </x:row>
    <x:row r="21" ht="45" customHeight="1">
      <x:c r="A21" s="4" t="str">
        <x:v>Item type</x:v>
      </x:c>
      <x:c r="B21" s="4" t="str">
        <x:v>Document</x:v>
      </x:c>
      <x:c r="C21" s="4" t="str">
        <x:v>What the object is, independent of material, culture and use.</x:v>
      </x:c>
    </x:row>
    <x:row r="22" ht="45" customHeight="1">
      <x:c r="A22" s="4" t="str">
        <x:v>Item type</x:v>
      </x:c>
      <x:c r="B22" s="4" t="str">
        <x:v>Energy storage</x:v>
      </x:c>
      <x:c r="C22" s="4" t="str">
        <x:v>What the object is, independent of material, culture and use.</x:v>
      </x:c>
    </x:row>
    <x:row r="23" ht="45" customHeight="1">
      <x:c r="A23" s="4" t="str">
        <x:v>Item type</x:v>
      </x:c>
      <x:c r="B23" s="4" t="str">
        <x:v>Food material</x:v>
      </x:c>
      <x:c r="C23" s="4" t="str">
        <x:v>What the object is, independent of material, culture and use.</x:v>
      </x:c>
    </x:row>
    <x:row r="24" ht="45" customHeight="1">
      <x:c r="A24" s="4" t="str">
        <x:v>Item type</x:v>
      </x:c>
      <x:c r="B24" s="4" t="str">
        <x:v>Gem material</x:v>
      </x:c>
      <x:c r="C24" s="4" t="str">
        <x:v>What the object is, independent of material, culture and use.</x:v>
      </x:c>
    </x:row>
    <x:row r="25" ht="45" customHeight="1">
      <x:c r="A25" s="4" t="str">
        <x:v>Item type</x:v>
      </x:c>
      <x:c r="B25" s="4" t="str">
        <x:v>Household utensil</x:v>
      </x:c>
      <x:c r="C25" s="4" t="str">
        <x:v>What the object is, independent of material, culture and use.</x:v>
      </x:c>
    </x:row>
    <x:row r="26" ht="45" customHeight="1">
      <x:c r="A26" s="4" t="str">
        <x:v>Item type</x:v>
      </x:c>
      <x:c r="B26" s="4" t="str">
        <x:v>Musical instrument</x:v>
      </x:c>
      <x:c r="C26" s="4" t="str">
        <x:v>What the object is, independent of material, culture and use.</x:v>
      </x:c>
    </x:row>
    <x:row r="27" ht="45" customHeight="1">
      <x:c r="A27" s="4" t="str">
        <x:v>Item type</x:v>
      </x:c>
      <x:c r="B27" s="4" t="str">
        <x:v>Processed material</x:v>
      </x:c>
      <x:c r="C27" s="4" t="str">
        <x:v>What the object is, independent of material, culture and use.</x:v>
      </x:c>
    </x:row>
    <x:row r="28" ht="45" customHeight="1">
      <x:c r="A28" s="4" t="str">
        <x:v>Item type</x:v>
      </x:c>
      <x:c r="B28" s="4" t="str">
        <x:v>Raw material</x:v>
      </x:c>
      <x:c r="C28" s="4" t="str">
        <x:v>What the object is, independent of material, culture and use.</x:v>
      </x:c>
    </x:row>
    <x:row r="29" ht="45" customHeight="1">
      <x:c r="A29" s="4" t="str">
        <x:v>Item type</x:v>
      </x:c>
      <x:c r="B29" s="4" t="str">
        <x:v>Service kit</x:v>
      </x:c>
      <x:c r="C29" s="4" t="str">
        <x:v>What the object is, independent of material, culture and use.</x:v>
      </x:c>
    </x:row>
    <x:row r="30" ht="45" customHeight="1">
      <x:c r="A30" s="4" t="str">
        <x:v>Item type</x:v>
      </x:c>
      <x:c r="B30" s="4" t="str">
        <x:v>Shelter kit</x:v>
      </x:c>
      <x:c r="C30" s="4" t="str">
        <x:v>What the object is, independent of material, culture and use.</x:v>
      </x:c>
    </x:row>
    <x:row r="31" ht="45" customHeight="1">
      <x:c r="A31" s="4" t="str">
        <x:v>Item type</x:v>
      </x:c>
      <x:c r="B31" s="4" t="str">
        <x:v>Shield</x:v>
      </x:c>
      <x:c r="C31" s="4" t="str">
        <x:v>What the object is, independent of material, culture and use.</x:v>
      </x:c>
    </x:row>
    <x:row r="32" ht="45" customHeight="1">
      <x:c r="A32" s="4" t="str">
        <x:v>Item type</x:v>
      </x:c>
      <x:c r="B32" s="4" t="str">
        <x:v>Tool</x:v>
      </x:c>
      <x:c r="C32" s="4" t="str">
        <x:v>What the object is, independent of material, culture and use.</x:v>
      </x:c>
    </x:row>
    <x:row r="33" ht="45" customHeight="1">
      <x:c r="A33" s="4" t="str">
        <x:v>Item type</x:v>
      </x:c>
      <x:c r="B33" s="4" t="str">
        <x:v>Trip hazard</x:v>
      </x:c>
      <x:c r="C33" s="4" t="str">
        <x:v>What the object is, independent of material, culture and use.</x:v>
      </x:c>
    </x:row>
    <x:row r="34" ht="45" customHeight="1">
      <x:c r="A34" s="4" t="str">
        <x:v>Item type</x:v>
      </x:c>
      <x:c r="B34" s="4" t="str">
        <x:v>Wearable</x:v>
      </x:c>
      <x:c r="C34" s="4" t="str">
        <x:v>What the object is, independent of material, culture and use.</x:v>
      </x:c>
    </x:row>
    <x:row r="35" ht="45" customHeight="1">
      <x:c r="A35" s="4" t="str">
        <x:v>Processing stage</x:v>
      </x:c>
      <x:c r="B35" s="4" t="str">
        <x:v>Ancient manufactured</x:v>
      </x:c>
      <x:c r="C35" s="4" t="str">
        <x:v>State of the listed item, not its next recipe. Stage unresolved means raw-versus-processed is undecided.</x:v>
      </x:c>
    </x:row>
    <x:row r="36" ht="45" customHeight="1">
      <x:c r="A36" s="4" t="str">
        <x:v>Processing stage</x:v>
      </x:c>
      <x:c r="B36" s="4" t="str">
        <x:v>Extracted material</x:v>
      </x:c>
      <x:c r="C36" s="4" t="str">
        <x:v>State of the listed item, not its next recipe. Stage unresolved means raw-versus-processed is undecided.</x:v>
      </x:c>
    </x:row>
    <x:row r="37" ht="45" customHeight="1">
      <x:c r="A37" s="4" t="str">
        <x:v>Processing stage</x:v>
      </x:c>
      <x:c r="B37" s="4" t="str">
        <x:v>Finished item</x:v>
      </x:c>
      <x:c r="C37" s="4" t="str">
        <x:v>State of the listed item, not its next recipe. Stage unresolved means raw-versus-processed is undecided.</x:v>
      </x:c>
    </x:row>
    <x:row r="38" ht="45" customHeight="1">
      <x:c r="A38" s="4" t="str">
        <x:v>Processing stage</x:v>
      </x:c>
      <x:c r="B38" s="4" t="str">
        <x:v>Processed intermediate</x:v>
      </x:c>
      <x:c r="C38" s="4" t="str">
        <x:v>State of the listed item, not its next recipe. Stage unresolved means raw-versus-processed is undecided.</x:v>
      </x:c>
    </x:row>
    <x:row r="39" ht="45" customHeight="1">
      <x:c r="A39" s="4" t="str">
        <x:v>Processing stage</x:v>
      </x:c>
      <x:c r="B39" s="4" t="str">
        <x:v>Raw</x:v>
      </x:c>
      <x:c r="C39" s="4" t="str">
        <x:v>State of the listed item, not its next recipe. Stage unresolved means raw-versus-processed is undecided.</x:v>
      </x:c>
    </x:row>
    <x:row r="40" ht="45" customHeight="1">
      <x:c r="A40" s="4" t="str">
        <x:v>Processing stage</x:v>
      </x:c>
      <x:c r="B40" s="4" t="str">
        <x:v>Recovered part</x:v>
      </x:c>
      <x:c r="C40" s="4" t="str">
        <x:v>State of the listed item, not its next recipe. Stage unresolved means raw-versus-processed is undecided.</x:v>
      </x:c>
    </x:row>
    <x:row r="41" ht="45" customHeight="1">
      <x:c r="A41" s="4" t="str">
        <x:v>Processing stage</x:v>
      </x:c>
      <x:c r="B41" s="4" t="str">
        <x:v>Unresolved</x:v>
      </x:c>
      <x:c r="C41" s="4" t="str">
        <x:v>State of the listed item, not its next recipe. Stage unresolved means raw-versus-processed is undecided.</x:v>
      </x:c>
    </x:row>
    <x:row r="42" ht="45" customHeight="1">
      <x:c r="A42" s="4" t="str">
        <x:v>Processing stage</x:v>
      </x:c>
      <x:c r="B42" s="4" t="str">
        <x:v>Unworked metal</x:v>
      </x:c>
      <x:c r="C42" s="4" t="str">
        <x:v>State of the listed item, not its next recipe. Stage unresolved means raw-versus-processed is undecided.</x:v>
      </x:c>
    </x:row>
    <x:row r="43" ht="45" customHeight="1">
      <x:c r="A43" s="4" t="str">
        <x:v>Origin family</x:v>
      </x:c>
      <x:c r="B43" s="4" t="str">
        <x:v>Ancient technology</x:v>
      </x:c>
      <x:c r="C43" s="4" t="str">
        <x:v>Broad provenance. Manufactured / unresolved does not identify raw ingredients.</x:v>
      </x:c>
    </x:row>
    <x:row r="44" ht="45" customHeight="1">
      <x:c r="A44" s="4" t="str">
        <x:v>Origin family</x:v>
      </x:c>
      <x:c r="B44" s="4" t="str">
        <x:v>Atmospheric</x:v>
      </x:c>
      <x:c r="C44" s="4" t="str">
        <x:v>Broad provenance. Manufactured / unresolved does not identify raw ingredients.</x:v>
      </x:c>
    </x:row>
    <x:row r="45" ht="45" customHeight="1">
      <x:c r="A45" s="4" t="str">
        <x:v>Origin family</x:v>
      </x:c>
      <x:c r="B45" s="4" t="str">
        <x:v>Fauna</x:v>
      </x:c>
      <x:c r="C45" s="4" t="str">
        <x:v>Broad provenance. Manufactured / unresolved does not identify raw ingredients.</x:v>
      </x:c>
    </x:row>
    <x:row r="46" ht="45" customHeight="1">
      <x:c r="A46" s="4" t="str">
        <x:v>Origin family</x:v>
      </x:c>
      <x:c r="B46" s="4" t="str">
        <x:v>Geological</x:v>
      </x:c>
      <x:c r="C46" s="4" t="str">
        <x:v>Broad provenance. Manufactured / unresolved does not identify raw ingredients.</x:v>
      </x:c>
    </x:row>
    <x:row r="47" ht="45" customHeight="1">
      <x:c r="A47" s="4" t="str">
        <x:v>Origin family</x:v>
      </x:c>
      <x:c r="B47" s="4" t="str">
        <x:v>Living culture</x:v>
      </x:c>
      <x:c r="C47" s="4" t="str">
        <x:v>Broad provenance. Manufactured / unresolved does not identify raw ingredients.</x:v>
      </x:c>
    </x:row>
    <x:row r="48" ht="45" customHeight="1">
      <x:c r="A48" s="4" t="str">
        <x:v>Origin family</x:v>
      </x:c>
      <x:c r="B48" s="4" t="str">
        <x:v>Manufactured / unresolved</x:v>
      </x:c>
      <x:c r="C48" s="4" t="str">
        <x:v>Broad provenance. Manufactured / unresolved does not identify raw ingredients.</x:v>
      </x:c>
    </x:row>
    <x:row r="49" ht="45" customHeight="1">
      <x:c r="A49" s="4" t="str">
        <x:v>Origin family</x:v>
      </x:c>
      <x:c r="B49" s="4" t="str">
        <x:v>Recovered machinery</x:v>
      </x:c>
      <x:c r="C49" s="4" t="str">
        <x:v>Broad provenance. Manufactured / unresolved does not identify raw ingredients.</x:v>
      </x:c>
    </x:row>
    <x:row r="50" ht="45" customHeight="1">
      <x:c r="A50" s="4" t="str">
        <x:v>Origin family</x:v>
      </x:c>
      <x:c r="B50" s="4" t="str">
        <x:v>Unresolved</x:v>
      </x:c>
      <x:c r="C50" s="4" t="str">
        <x:v>Broad provenance. Manufactured / unresolved does not identify raw ingredients.</x:v>
      </x:c>
    </x:row>
    <x:row r="51" ht="45" customHeight="1">
      <x:c r="A51" s="4" t="str">
        <x:v>Primary use</x:v>
      </x:c>
      <x:c r="B51" s="4" t="str">
        <x:v>Area denial</x:v>
      </x:c>
      <x:c r="C51" s="4" t="str">
        <x:v>Main catalog purpose. Item uses lists additional purposes as separate filterable rows.</x:v>
      </x:c>
    </x:row>
    <x:row r="52" ht="45" customHeight="1">
      <x:c r="A52" s="4" t="str">
        <x:v>Primary use</x:v>
      </x:c>
      <x:c r="B52" s="4" t="str">
        <x:v>Binding and construction</x:v>
      </x:c>
      <x:c r="C52" s="4" t="str">
        <x:v>Main catalog purpose. Item uses lists additional purposes as separate filterable rows.</x:v>
      </x:c>
    </x:row>
    <x:row r="53" ht="45" customHeight="1">
      <x:c r="A53" s="4" t="str">
        <x:v>Primary use</x:v>
      </x:c>
      <x:c r="B53" s="4" t="str">
        <x:v>Camp rest</x:v>
      </x:c>
      <x:c r="C53" s="4" t="str">
        <x:v>Main catalog purpose. Item uses lists additional purposes as separate filterable rows.</x:v>
      </x:c>
    </x:row>
    <x:row r="54" ht="45" customHeight="1">
      <x:c r="A54" s="4" t="str">
        <x:v>Primary use</x:v>
      </x:c>
      <x:c r="B54" s="4" t="str">
        <x:v>Cargo organization</x:v>
      </x:c>
      <x:c r="C54" s="4" t="str">
        <x:v>Main catalog purpose. Item uses lists additional purposes as separate filterable rows.</x:v>
      </x:c>
    </x:row>
    <x:row r="55" ht="45" customHeight="1">
      <x:c r="A55" s="4" t="str">
        <x:v>Primary use</x:v>
      </x:c>
      <x:c r="B55" s="4" t="str">
        <x:v>Ceremony</x:v>
      </x:c>
      <x:c r="C55" s="4" t="str">
        <x:v>Main catalog purpose. Item uses lists additional purposes as separate filterable rows.</x:v>
      </x:c>
    </x:row>
    <x:row r="56" ht="45" customHeight="1">
      <x:c r="A56" s="4" t="str">
        <x:v>Primary use</x:v>
      </x:c>
      <x:c r="B56" s="4" t="str">
        <x:v>Chemical processing</x:v>
      </x:c>
      <x:c r="C56" s="4" t="str">
        <x:v>Main catalog purpose. Item uses lists additional purposes as separate filterable rows.</x:v>
      </x:c>
    </x:row>
    <x:row r="57" ht="45" customHeight="1">
      <x:c r="A57" s="4" t="str">
        <x:v>Primary use</x:v>
      </x:c>
      <x:c r="B57" s="4" t="str">
        <x:v>Civic identification</x:v>
      </x:c>
      <x:c r="C57" s="4" t="str">
        <x:v>Main catalog purpose. Item uses lists additional purposes as separate filterable rows.</x:v>
      </x:c>
    </x:row>
    <x:row r="58" ht="45" customHeight="1">
      <x:c r="A58" s="4" t="str">
        <x:v>Primary use</x:v>
      </x:c>
      <x:c r="B58" s="4" t="str">
        <x:v>Civic recognition</x:v>
      </x:c>
      <x:c r="C58" s="4" t="str">
        <x:v>Main catalog purpose. Item uses lists additional purposes as separate filterable rows.</x:v>
      </x:c>
    </x:row>
    <x:row r="59" ht="45" customHeight="1">
      <x:c r="A59" s="4" t="str">
        <x:v>Primary use</x:v>
      </x:c>
      <x:c r="B59" s="4" t="str">
        <x:v>Cleaning</x:v>
      </x:c>
      <x:c r="C59" s="4" t="str">
        <x:v>Main catalog purpose. Item uses lists additional purposes as separate filterable rows.</x:v>
      </x:c>
    </x:row>
    <x:row r="60" ht="45" customHeight="1">
      <x:c r="A60" s="4" t="str">
        <x:v>Primary use</x:v>
      </x:c>
      <x:c r="B60" s="4" t="str">
        <x:v>Clothing</x:v>
      </x:c>
      <x:c r="C60" s="4" t="str">
        <x:v>Main catalog purpose. Item uses lists additional purposes as separate filterable rows.</x:v>
      </x:c>
    </x:row>
    <x:row r="61" ht="45" customHeight="1">
      <x:c r="A61" s="4" t="str">
        <x:v>Primary use</x:v>
      </x:c>
      <x:c r="B61" s="4" t="str">
        <x:v>Clothing fabrication</x:v>
      </x:c>
      <x:c r="C61" s="4" t="str">
        <x:v>Main catalog purpose. Item uses lists additional purposes as separate filterable rows.</x:v>
      </x:c>
    </x:row>
    <x:row r="62" ht="45" customHeight="1">
      <x:c r="A62" s="4" t="str">
        <x:v>Primary use</x:v>
      </x:c>
      <x:c r="B62" s="4" t="str">
        <x:v>Culture support</x:v>
      </x:c>
      <x:c r="C62" s="4" t="str">
        <x:v>Main catalog purpose. Item uses lists additional purposes as separate filterable rows.</x:v>
      </x:c>
    </x:row>
    <x:row r="63" ht="45" customHeight="1">
      <x:c r="A63" s="4" t="str">
        <x:v>Primary use</x:v>
      </x:c>
      <x:c r="B63" s="4" t="str">
        <x:v>Decoration</x:v>
      </x:c>
      <x:c r="C63" s="4" t="str">
        <x:v>Main catalog purpose. Item uses lists additional purposes as separate filterable rows.</x:v>
      </x:c>
    </x:row>
    <x:row r="64" ht="45" customHeight="1">
      <x:c r="A64" s="4" t="str">
        <x:v>Primary use</x:v>
      </x:c>
      <x:c r="B64" s="4" t="str">
        <x:v>Devotion</x:v>
      </x:c>
      <x:c r="C64" s="4" t="str">
        <x:v>Main catalog purpose. Item uses lists additional purposes as separate filterable rows.</x:v>
      </x:c>
    </x:row>
    <x:row r="65" ht="45" customHeight="1">
      <x:c r="A65" s="4" t="str">
        <x:v>Primary use</x:v>
      </x:c>
      <x:c r="B65" s="4" t="str">
        <x:v>Dust exclusion</x:v>
      </x:c>
      <x:c r="C65" s="4" t="str">
        <x:v>Main catalog purpose. Item uses lists additional purposes as separate filterable rows.</x:v>
      </x:c>
    </x:row>
    <x:row r="66" ht="45" customHeight="1">
      <x:c r="A66" s="4" t="str">
        <x:v>Primary use</x:v>
      </x:c>
      <x:c r="B66" s="4" t="str">
        <x:v>Electrical conduction</x:v>
      </x:c>
      <x:c r="C66" s="4" t="str">
        <x:v>Main catalog purpose. Item uses lists additional purposes as separate filterable rows.</x:v>
      </x:c>
    </x:row>
    <x:row r="67" ht="45" customHeight="1">
      <x:c r="A67" s="4" t="str">
        <x:v>Primary use</x:v>
      </x:c>
      <x:c r="B67" s="4" t="str">
        <x:v>Electrical insulation</x:v>
      </x:c>
      <x:c r="C67" s="4" t="str">
        <x:v>Main catalog purpose. Item uses lists additional purposes as separate filterable rows.</x:v>
      </x:c>
    </x:row>
    <x:row r="68" ht="45" customHeight="1">
      <x:c r="A68" s="4" t="str">
        <x:v>Primary use</x:v>
      </x:c>
      <x:c r="B68" s="4" t="str">
        <x:v>Electrical work</x:v>
      </x:c>
      <x:c r="C68" s="4" t="str">
        <x:v>Main catalog purpose. Item uses lists additional purposes as separate filterable rows.</x:v>
      </x:c>
    </x:row>
    <x:row r="69" ht="45" customHeight="1">
      <x:c r="A69" s="4" t="str">
        <x:v>Primary use</x:v>
      </x:c>
      <x:c r="B69" s="4" t="str">
        <x:v>Energy processing</x:v>
      </x:c>
      <x:c r="C69" s="4" t="str">
        <x:v>Main catalog purpose. Item uses lists additional purposes as separate filterable rows.</x:v>
      </x:c>
    </x:row>
    <x:row r="70" ht="45" customHeight="1">
      <x:c r="A70" s="4" t="str">
        <x:v>Primary use</x:v>
      </x:c>
      <x:c r="B70" s="4" t="str">
        <x:v>Energy storage</x:v>
      </x:c>
      <x:c r="C70" s="4" t="str">
        <x:v>Main catalog purpose. Item uses lists additional purposes as separate filterable rows.</x:v>
      </x:c>
    </x:row>
    <x:row r="71" ht="45" customHeight="1">
      <x:c r="A71" s="4" t="str">
        <x:v>Primary use</x:v>
      </x:c>
      <x:c r="B71" s="4" t="str">
        <x:v>Equipment mounting</x:v>
      </x:c>
      <x:c r="C71" s="4" t="str">
        <x:v>Main catalog purpose. Item uses lists additional purposes as separate filterable rows.</x:v>
      </x:c>
    </x:row>
    <x:row r="72" ht="45" customHeight="1">
      <x:c r="A72" s="4" t="str">
        <x:v>Primary use</x:v>
      </x:c>
      <x:c r="B72" s="4" t="str">
        <x:v>Equipment repair</x:v>
      </x:c>
      <x:c r="C72" s="4" t="str">
        <x:v>Main catalog purpose. Item uses lists additional purposes as separate filterable rows.</x:v>
      </x:c>
    </x:row>
    <x:row r="73" ht="45" customHeight="1">
      <x:c r="A73" s="4" t="str">
        <x:v>Primary use</x:v>
      </x:c>
      <x:c r="B73" s="4" t="str">
        <x:v>Excavation</x:v>
      </x:c>
      <x:c r="C73" s="4" t="str">
        <x:v>Main catalog purpose. Item uses lists additional purposes as separate filterable rows.</x:v>
      </x:c>
    </x:row>
    <x:row r="74" ht="45" customHeight="1">
      <x:c r="A74" s="4" t="str">
        <x:v>Primary use</x:v>
      </x:c>
      <x:c r="B74" s="4" t="str">
        <x:v>Fabrication</x:v>
      </x:c>
      <x:c r="C74" s="4" t="str">
        <x:v>Main catalog purpose. Item uses lists additional purposes as separate filterable rows.</x:v>
      </x:c>
    </x:row>
    <x:row r="75" ht="45" customHeight="1">
      <x:c r="A75" s="4" t="str">
        <x:v>Primary use</x:v>
      </x:c>
      <x:c r="B75" s="4" t="str">
        <x:v>Fashion</x:v>
      </x:c>
      <x:c r="C75" s="4" t="str">
        <x:v>Main catalog purpose. Item uses lists additional purposes as separate filterable rows.</x:v>
      </x:c>
    </x:row>
    <x:row r="76" ht="45" customHeight="1">
      <x:c r="A76" s="4" t="str">
        <x:v>Primary use</x:v>
      </x:c>
      <x:c r="B76" s="4" t="str">
        <x:v>Fauna interaction</x:v>
      </x:c>
      <x:c r="C76" s="4" t="str">
        <x:v>Main catalog purpose. Item uses lists additional purposes as separate filterable rows.</x:v>
      </x:c>
    </x:row>
    <x:row r="77" ht="45" customHeight="1">
      <x:c r="A77" s="4" t="str">
        <x:v>Primary use</x:v>
      </x:c>
      <x:c r="B77" s="4" t="str">
        <x:v>Fiber processing</x:v>
      </x:c>
      <x:c r="C77" s="4" t="str">
        <x:v>Main catalog purpose. Item uses lists additional purposes as separate filterable rows.</x:v>
      </x:c>
    </x:row>
    <x:row r="78" ht="45" customHeight="1">
      <x:c r="A78" s="4" t="str">
        <x:v>Primary use</x:v>
      </x:c>
      <x:c r="B78" s="4" t="str">
        <x:v>Food service</x:v>
      </x:c>
      <x:c r="C78" s="4" t="str">
        <x:v>Main catalog purpose. Item uses lists additional purposes as separate filterable rows.</x:v>
      </x:c>
    </x:row>
    <x:row r="79" ht="45" customHeight="1">
      <x:c r="A79" s="4" t="str">
        <x:v>Primary use</x:v>
      </x:c>
      <x:c r="B79" s="4" t="str">
        <x:v>Fuel</x:v>
      </x:c>
      <x:c r="C79" s="4" t="str">
        <x:v>Main catalog purpose. Item uses lists additional purposes as separate filterable rows.</x:v>
      </x:c>
    </x:row>
    <x:row r="80" ht="45" customHeight="1">
      <x:c r="A80" s="4" t="str">
        <x:v>Primary use</x:v>
      </x:c>
      <x:c r="B80" s="4" t="str">
        <x:v>Glass and ceramics</x:v>
      </x:c>
      <x:c r="C80" s="4" t="str">
        <x:v>Main catalog purpose. Item uses lists additional purposes as separate filterable rows.</x:v>
      </x:c>
    </x:row>
    <x:row r="81" ht="45" customHeight="1">
      <x:c r="A81" s="4" t="str">
        <x:v>Primary use</x:v>
      </x:c>
      <x:c r="B81" s="4" t="str">
        <x:v>Grooming</x:v>
      </x:c>
      <x:c r="C81" s="4" t="str">
        <x:v>Main catalog purpose. Item uses lists additional purposes as separate filterable rows.</x:v>
      </x:c>
    </x:row>
    <x:row r="82" ht="45" customHeight="1">
      <x:c r="A82" s="4" t="str">
        <x:v>Primary use</x:v>
      </x:c>
      <x:c r="B82" s="4" t="str">
        <x:v>Injury treatment</x:v>
      </x:c>
      <x:c r="C82" s="4" t="str">
        <x:v>Main catalog purpose. Item uses lists additional purposes as separate filterable rows.</x:v>
      </x:c>
    </x:row>
    <x:row r="83" ht="45" customHeight="1">
      <x:c r="A83" s="4" t="str">
        <x:v>Primary use</x:v>
      </x:c>
      <x:c r="B83" s="4" t="str">
        <x:v>Inspection</x:v>
      </x:c>
      <x:c r="C83" s="4" t="str">
        <x:v>Main catalog purpose. Item uses lists additional purposes as separate filterable rows.</x:v>
      </x:c>
    </x:row>
    <x:row r="84" ht="45" customHeight="1">
      <x:c r="A84" s="4" t="str">
        <x:v>Primary use</x:v>
      </x:c>
      <x:c r="B84" s="4" t="str">
        <x:v>Keepsake storage</x:v>
      </x:c>
      <x:c r="C84" s="4" t="str">
        <x:v>Main catalog purpose. Item uses lists additional purposes as separate filterable rows.</x:v>
      </x:c>
    </x:row>
    <x:row r="85" ht="45" customHeight="1">
      <x:c r="A85" s="4" t="str">
        <x:v>Primary use</x:v>
      </x:c>
      <x:c r="B85" s="4" t="str">
        <x:v>Liquid and bulk containment</x:v>
      </x:c>
      <x:c r="C85" s="4" t="str">
        <x:v>Main catalog purpose. Item uses lists additional purposes as separate filterable rows.</x:v>
      </x:c>
    </x:row>
    <x:row r="86" ht="45" customHeight="1">
      <x:c r="A86" s="4" t="str">
        <x:v>Primary use</x:v>
      </x:c>
      <x:c r="B86" s="4" t="str">
        <x:v>Lubrication</x:v>
      </x:c>
      <x:c r="C86" s="4" t="str">
        <x:v>Main catalog purpose. Item uses lists additional purposes as separate filterable rows.</x:v>
      </x:c>
    </x:row>
    <x:row r="87" ht="45" customHeight="1">
      <x:c r="A87" s="4" t="str">
        <x:v>Primary use</x:v>
      </x:c>
      <x:c r="B87" s="4" t="str">
        <x:v>Machinery repair</x:v>
      </x:c>
      <x:c r="C87" s="4" t="str">
        <x:v>Main catalog purpose. Item uses lists additional purposes as separate filterable rows.</x:v>
      </x:c>
    </x:row>
    <x:row r="88" ht="45" customHeight="1">
      <x:c r="A88" s="4" t="str">
        <x:v>Primary use</x:v>
      </x:c>
      <x:c r="B88" s="4" t="str">
        <x:v>Magnetic tools</x:v>
      </x:c>
      <x:c r="C88" s="4" t="str">
        <x:v>Main catalog purpose. Item uses lists additional purposes as separate filterable rows.</x:v>
      </x:c>
    </x:row>
    <x:row r="89" ht="45" customHeight="1">
      <x:c r="A89" s="4" t="str">
        <x:v>Primary use</x:v>
      </x:c>
      <x:c r="B89" s="4" t="str">
        <x:v>Material exclusion</x:v>
      </x:c>
      <x:c r="C89" s="4" t="str">
        <x:v>Main catalog purpose. Item uses lists additional purposes as separate filterable rows.</x:v>
      </x:c>
    </x:row>
    <x:row r="90" ht="45" customHeight="1">
      <x:c r="A90" s="4" t="str">
        <x:v>Primary use</x:v>
      </x:c>
      <x:c r="B90" s="4" t="str">
        <x:v>Material transfer</x:v>
      </x:c>
      <x:c r="C90" s="4" t="str">
        <x:v>Main catalog purpose. Item uses lists additional purposes as separate filterable rows.</x:v>
      </x:c>
    </x:row>
    <x:row r="91" ht="45" customHeight="1">
      <x:c r="A91" s="4" t="str">
        <x:v>Primary use</x:v>
      </x:c>
      <x:c r="B91" s="4" t="str">
        <x:v>Metal refining</x:v>
      </x:c>
      <x:c r="C91" s="4" t="str">
        <x:v>Main catalog purpose. Item uses lists additional purposes as separate filterable rows.</x:v>
      </x:c>
    </x:row>
    <x:row r="92" ht="45" customHeight="1">
      <x:c r="A92" s="4" t="str">
        <x:v>Primary use</x:v>
      </x:c>
      <x:c r="B92" s="4" t="str">
        <x:v>Music</x:v>
      </x:c>
      <x:c r="C92" s="4" t="str">
        <x:v>Main catalog purpose. Item uses lists additional purposes as separate filterable rows.</x:v>
      </x:c>
    </x:row>
    <x:row r="93" ht="45" customHeight="1">
      <x:c r="A93" s="4" t="str">
        <x:v>Primary use</x:v>
      </x:c>
      <x:c r="B93" s="4" t="str">
        <x:v>Nutrition</x:v>
      </x:c>
      <x:c r="C93" s="4" t="str">
        <x:v>Main catalog purpose. Item uses lists additional purposes as separate filterable rows.</x:v>
      </x:c>
    </x:row>
    <x:row r="94" ht="45" customHeight="1">
      <x:c r="A94" s="4" t="str">
        <x:v>Primary use</x:v>
      </x:c>
      <x:c r="B94" s="4" t="str">
        <x:v>Paper making</x:v>
      </x:c>
      <x:c r="C94" s="4" t="str">
        <x:v>Main catalog purpose. Item uses lists additional purposes as separate filterable rows.</x:v>
      </x:c>
    </x:row>
    <x:row r="95" ht="45" customHeight="1">
      <x:c r="A95" s="4" t="str">
        <x:v>Primary use</x:v>
      </x:c>
      <x:c r="B95" s="4" t="str">
        <x:v>Protection</x:v>
      </x:c>
      <x:c r="C95" s="4" t="str">
        <x:v>Main catalog purpose. Item uses lists additional purposes as separate filterable rows.</x:v>
      </x:c>
    </x:row>
    <x:row r="96" ht="45" customHeight="1">
      <x:c r="A96" s="4" t="str">
        <x:v>Primary use</x:v>
      </x:c>
      <x:c r="B96" s="4" t="str">
        <x:v>Protective fabrication</x:v>
      </x:c>
      <x:c r="C96" s="4" t="str">
        <x:v>Main catalog purpose. Item uses lists additional purposes as separate filterable rows.</x:v>
      </x:c>
    </x:row>
    <x:row r="97" ht="45" customHeight="1">
      <x:c r="A97" s="4" t="str">
        <x:v>Primary use</x:v>
      </x:c>
      <x:c r="B97" s="4" t="str">
        <x:v>Provenance</x:v>
      </x:c>
      <x:c r="C97" s="4" t="str">
        <x:v>Main catalog purpose. Item uses lists additional purposes as separate filterable rows.</x:v>
      </x:c>
    </x:row>
    <x:row r="98" ht="45" customHeight="1">
      <x:c r="A98" s="4" t="str">
        <x:v>Primary use</x:v>
      </x:c>
      <x:c r="B98" s="4" t="str">
        <x:v>Public communication</x:v>
      </x:c>
      <x:c r="C98" s="4" t="str">
        <x:v>Main catalog purpose. Item uses lists additional purposes as separate filterable rows.</x:v>
      </x:c>
    </x:row>
    <x:row r="99" ht="45" customHeight="1">
      <x:c r="A99" s="4" t="str">
        <x:v>Primary use</x:v>
      </x:c>
      <x:c r="B99" s="4" t="str">
        <x:v>Remembrance</x:v>
      </x:c>
      <x:c r="C99" s="4" t="str">
        <x:v>Main catalog purpose. Item uses lists additional purposes as separate filterable rows.</x:v>
      </x:c>
    </x:row>
    <x:row r="100" ht="45" customHeight="1">
      <x:c r="A100" s="4" t="str">
        <x:v>Primary use</x:v>
      </x:c>
      <x:c r="B100" s="4" t="str">
        <x:v>Resource collection</x:v>
      </x:c>
      <x:c r="C100" s="4" t="str">
        <x:v>Main catalog purpose. Item uses lists additional purposes as separate filterable rows.</x:v>
      </x:c>
    </x:row>
    <x:row r="101" ht="45" customHeight="1">
      <x:c r="A101" s="4" t="str">
        <x:v>Primary use</x:v>
      </x:c>
      <x:c r="B101" s="4" t="str">
        <x:v>Sealing</x:v>
      </x:c>
      <x:c r="C101" s="4" t="str">
        <x:v>Main catalog purpose. Item uses lists additional purposes as separate filterable rows.</x:v>
      </x:c>
    </x:row>
    <x:row r="102" ht="45" customHeight="1">
      <x:c r="A102" s="4" t="str">
        <x:v>Primary use</x:v>
      </x:c>
      <x:c r="B102" s="4" t="str">
        <x:v>Specialist samples</x:v>
      </x:c>
      <x:c r="C102" s="4" t="str">
        <x:v>Main catalog purpose. Item uses lists additional purposes as separate filterable rows.</x:v>
      </x:c>
    </x:row>
    <x:row r="103" ht="45" customHeight="1">
      <x:c r="A103" s="4" t="str">
        <x:v>Primary use</x:v>
      </x:c>
      <x:c r="B103" s="4" t="str">
        <x:v>Static management</x:v>
      </x:c>
      <x:c r="C103" s="4" t="str">
        <x:v>Main catalog purpose. Item uses lists additional purposes as separate filterable rows.</x:v>
      </x:c>
    </x:row>
    <x:row r="104" ht="45" customHeight="1">
      <x:c r="A104" s="4" t="str">
        <x:v>Primary use</x:v>
      </x:c>
      <x:c r="B104" s="4" t="str">
        <x:v>Sun shading</x:v>
      </x:c>
      <x:c r="C104" s="4" t="str">
        <x:v>Main catalog purpose. Item uses lists additional purposes as separate filterable rows.</x:v>
      </x:c>
    </x:row>
    <x:row r="105" ht="45" customHeight="1">
      <x:c r="A105" s="4" t="str">
        <x:v>Primary use</x:v>
      </x:c>
      <x:c r="B105" s="4" t="str">
        <x:v>Surface finishing</x:v>
      </x:c>
      <x:c r="C105" s="4" t="str">
        <x:v>Main catalog purpose. Item uses lists additional purposes as separate filterable rows.</x:v>
      </x:c>
    </x:row>
    <x:row r="106" ht="45" customHeight="1">
      <x:c r="A106" s="4" t="str">
        <x:v>Primary use</x:v>
      </x:c>
      <x:c r="B106" s="4" t="str">
        <x:v>Survival provision</x:v>
      </x:c>
      <x:c r="C106" s="4" t="str">
        <x:v>Main catalog purpose. Item uses lists additional purposes as separate filterable rows.</x:v>
      </x:c>
    </x:row>
    <x:row r="107" ht="45" customHeight="1">
      <x:c r="A107" s="4" t="str">
        <x:v>Primary use</x:v>
      </x:c>
      <x:c r="B107" s="4" t="str">
        <x:v>Textile processing</x:v>
      </x:c>
      <x:c r="C107" s="4" t="str">
        <x:v>Main catalog purpose. Item uses lists additional purposes as separate filterable rows.</x:v>
      </x:c>
    </x:row>
    <x:row r="108" ht="45" customHeight="1">
      <x:c r="A108" s="4" t="str">
        <x:v>Primary use</x:v>
      </x:c>
      <x:c r="B108" s="4" t="str">
        <x:v>Tool fabrication</x:v>
      </x:c>
      <x:c r="C108" s="4" t="str">
        <x:v>Main catalog purpose. Item uses lists additional purposes as separate filterable rows.</x:v>
      </x:c>
    </x:row>
    <x:row r="109" ht="45" customHeight="1">
      <x:c r="A109" s="4" t="str">
        <x:v>Primary use</x:v>
      </x:c>
      <x:c r="B109" s="4" t="str">
        <x:v>Traversal</x:v>
      </x:c>
      <x:c r="C109" s="4" t="str">
        <x:v>Main catalog purpose. Item uses lists additional purposes as separate filterable rows.</x:v>
      </x:c>
    </x:row>
    <x:row r="110" ht="45" customHeight="1">
      <x:c r="A110" s="4" t="str">
        <x:v>Primary use</x:v>
      </x:c>
      <x:c r="B110" s="4" t="str">
        <x:v>Use unresolved</x:v>
      </x:c>
      <x:c r="C110" s="4" t="str">
        <x:v>Main catalog purpose. Item uses lists additional purposes as separate filterable rows.</x:v>
      </x:c>
    </x:row>
    <x:row r="111" ht="45" customHeight="1">
      <x:c r="A111" s="4" t="str">
        <x:v>Primary use</x:v>
      </x:c>
      <x:c r="B111" s="4" t="str">
        <x:v>Vision</x:v>
      </x:c>
      <x:c r="C111" s="4" t="str">
        <x:v>Main catalog purpose. Item uses lists additional purposes as separate filterable rows.</x:v>
      </x:c>
    </x:row>
    <x:row r="112" ht="45" customHeight="1">
      <x:c r="A112" s="4" t="str">
        <x:v>Primary use</x:v>
      </x:c>
      <x:c r="B112" s="4" t="str">
        <x:v>Work holding</x:v>
      </x:c>
      <x:c r="C112" s="4" t="str">
        <x:v>Main catalog purpose. Item uses lists additional purposes as separate filterable rows.</x:v>
      </x:c>
    </x:row>
    <x:row r="113" ht="45" customHeight="1">
      <x:c r="A113" s="4" t="str">
        <x:v>Primary use</x:v>
      </x:c>
      <x:c r="B113" s="4" t="str">
        <x:v>Writing and records</x:v>
      </x:c>
      <x:c r="C113" s="4" t="str">
        <x:v>Main catalog purpose. Item uses lists additional purposes as separate filterable rows.</x:v>
      </x:c>
    </x:row>
    <x:row r="114" ht="45" customHeight="1">
      <x:c r="A114" s="4" t="str">
        <x:v>Material family</x:v>
      </x:c>
      <x:c r="B114" s="4" t="str">
        <x:v>Ancient composite</x:v>
      </x:c>
      <x:c r="C114" s="4" t="str">
        <x:v>Broad descriptive candidate. Mixed, alternative and unresolved values preserve uncertainty.</x:v>
      </x:c>
    </x:row>
    <x:row r="115" ht="45" customHeight="1">
      <x:c r="A115" s="4" t="str">
        <x:v>Material family</x:v>
      </x:c>
      <x:c r="B115" s="4" t="str">
        <x:v>Biological chemical</x:v>
      </x:c>
      <x:c r="C115" s="4" t="str">
        <x:v>Broad descriptive candidate. Mixed, alternative and unresolved values preserve uncertainty.</x:v>
      </x:c>
    </x:row>
    <x:row r="116" ht="45" customHeight="1">
      <x:c r="A116" s="4" t="str">
        <x:v>Material family</x:v>
      </x:c>
      <x:c r="B116" s="4" t="str">
        <x:v>Carbonaceous material</x:v>
      </x:c>
      <x:c r="C116" s="4" t="str">
        <x:v>Broad descriptive candidate. Mixed, alternative and unresolved values preserve uncertainty.</x:v>
      </x:c>
    </x:row>
    <x:row r="117" ht="45" customHeight="1">
      <x:c r="A117" s="4" t="str">
        <x:v>Material family</x:v>
      </x:c>
      <x:c r="B117" s="4" t="str">
        <x:v>Ceramic</x:v>
      </x:c>
      <x:c r="C117" s="4" t="str">
        <x:v>Broad descriptive candidate. Mixed, alternative and unresolved values preserve uncertainty.</x:v>
      </x:c>
    </x:row>
    <x:row r="118" ht="45" customHeight="1">
      <x:c r="A118" s="4" t="str">
        <x:v>Material family</x:v>
      </x:c>
      <x:c r="B118" s="4" t="str">
        <x:v>Faunal fiber</x:v>
      </x:c>
      <x:c r="C118" s="4" t="str">
        <x:v>Broad descriptive candidate. Mixed, alternative and unresolved values preserve uncertainty.</x:v>
      </x:c>
    </x:row>
    <x:row r="119" ht="45" customHeight="1">
      <x:c r="A119" s="4" t="str">
        <x:v>Material family</x:v>
      </x:c>
      <x:c r="B119" s="4" t="str">
        <x:v>Faunal fiber and shell</x:v>
      </x:c>
      <x:c r="C119" s="4" t="str">
        <x:v>Broad descriptive candidate. Mixed, alternative and unresolved values preserve uncertainty.</x:v>
      </x:c>
    </x:row>
    <x:row r="120" ht="45" customHeight="1">
      <x:c r="A120" s="4" t="str">
        <x:v>Material family</x:v>
      </x:c>
      <x:c r="B120" s="4" t="str">
        <x:v>Faunal membrane</x:v>
      </x:c>
      <x:c r="C120" s="4" t="str">
        <x:v>Broad descriptive candidate. Mixed, alternative and unresolved values preserve uncertainty.</x:v>
      </x:c>
    </x:row>
    <x:row r="121" ht="45" customHeight="1">
      <x:c r="A121" s="4" t="str">
        <x:v>Material family</x:v>
      </x:c>
      <x:c r="B121" s="4" t="str">
        <x:v>Faunal tissue</x:v>
      </x:c>
      <x:c r="C121" s="4" t="str">
        <x:v>Broad descriptive candidate. Mixed, alternative and unresolved values preserve uncertainty.</x:v>
      </x:c>
    </x:row>
    <x:row r="122" ht="45" customHeight="1">
      <x:c r="A122" s="4" t="str">
        <x:v>Material family</x:v>
      </x:c>
      <x:c r="B122" s="4" t="str">
        <x:v>Fur</x:v>
      </x:c>
      <x:c r="C122" s="4" t="str">
        <x:v>Broad descriptive candidate. Mixed, alternative and unresolved values preserve uncertainty.</x:v>
      </x:c>
    </x:row>
    <x:row r="123" ht="45" customHeight="1">
      <x:c r="A123" s="4" t="str">
        <x:v>Material family</x:v>
      </x:c>
      <x:c r="B123" s="4" t="str">
        <x:v>Gemstone</x:v>
      </x:c>
      <x:c r="C123" s="4" t="str">
        <x:v>Broad descriptive candidate. Mixed, alternative and unresolved values preserve uncertainty.</x:v>
      </x:c>
    </x:row>
    <x:row r="124" ht="45" customHeight="1">
      <x:c r="A124" s="4" t="str">
        <x:v>Material family</x:v>
      </x:c>
      <x:c r="B124" s="4" t="str">
        <x:v>Glass</x:v>
      </x:c>
      <x:c r="C124" s="4" t="str">
        <x:v>Broad descriptive candidate. Mixed, alternative and unresolved values preserve uncertainty.</x:v>
      </x:c>
    </x:row>
    <x:row r="125" ht="45" customHeight="1">
      <x:c r="A125" s="4" t="str">
        <x:v>Material family</x:v>
      </x:c>
      <x:c r="B125" s="4" t="str">
        <x:v>Glass and metal</x:v>
      </x:c>
      <x:c r="C125" s="4" t="str">
        <x:v>Broad descriptive candidate. Mixed, alternative and unresolved values preserve uncertainty.</x:v>
      </x:c>
    </x:row>
    <x:row r="126" ht="45" customHeight="1">
      <x:c r="A126" s="4" t="str">
        <x:v>Material family</x:v>
      </x:c>
      <x:c r="B126" s="4" t="str">
        <x:v>Glass and shell</x:v>
      </x:c>
      <x:c r="C126" s="4" t="str">
        <x:v>Broad descriptive candidate. Mixed, alternative and unresolved values preserve uncertainty.</x:v>
      </x:c>
    </x:row>
    <x:row r="127" ht="45" customHeight="1">
      <x:c r="A127" s="4" t="str">
        <x:v>Material family</x:v>
      </x:c>
      <x:c r="B127" s="4" t="str">
        <x:v>Glass with unresolved casing</x:v>
      </x:c>
      <x:c r="C127" s="4" t="str">
        <x:v>Broad descriptive candidate. Mixed, alternative and unresolved values preserve uncertainty.</x:v>
      </x:c>
    </x:row>
    <x:row r="128" ht="45" customHeight="1">
      <x:c r="A128" s="4" t="str">
        <x:v>Material family</x:v>
      </x:c>
      <x:c r="B128" s="4" t="str">
        <x:v>Hide</x:v>
      </x:c>
      <x:c r="C128" s="4" t="str">
        <x:v>Broad descriptive candidate. Mixed, alternative and unresolved values preserve uncertainty.</x:v>
      </x:c>
    </x:row>
    <x:row r="129" ht="45" customHeight="1">
      <x:c r="A129" s="4" t="str">
        <x:v>Material family</x:v>
      </x:c>
      <x:c r="B129" s="4" t="str">
        <x:v>Husk fiber</x:v>
      </x:c>
      <x:c r="C129" s="4" t="str">
        <x:v>Broad descriptive candidate. Mixed, alternative and unresolved values preserve uncertainty.</x:v>
      </x:c>
    </x:row>
    <x:row r="130" ht="45" customHeight="1">
      <x:c r="A130" s="4" t="str">
        <x:v>Material family</x:v>
      </x:c>
      <x:c r="B130" s="4" t="str">
        <x:v>Husk fiber and shell</x:v>
      </x:c>
      <x:c r="C130" s="4" t="str">
        <x:v>Broad descriptive candidate. Mixed, alternative and unresolved values preserve uncertainty.</x:v>
      </x:c>
    </x:row>
    <x:row r="131" ht="45" customHeight="1">
      <x:c r="A131" s="4" t="str">
        <x:v>Material family</x:v>
      </x:c>
      <x:c r="B131" s="4" t="str">
        <x:v>Metal</x:v>
      </x:c>
      <x:c r="C131" s="4" t="str">
        <x:v>Broad descriptive candidate. Mixed, alternative and unresolved values preserve uncertainty.</x:v>
      </x:c>
    </x:row>
    <x:row r="132" ht="45" customHeight="1">
      <x:c r="A132" s="4" t="str">
        <x:v>Material family</x:v>
      </x:c>
      <x:c r="B132" s="4" t="str">
        <x:v>Metal and shell</x:v>
      </x:c>
      <x:c r="C132" s="4" t="str">
        <x:v>Broad descriptive candidate. Mixed, alternative and unresolved values preserve uncertainty.</x:v>
      </x:c>
    </x:row>
    <x:row r="133" ht="45" customHeight="1">
      <x:c r="A133" s="4" t="str">
        <x:v>Material family</x:v>
      </x:c>
      <x:c r="B133" s="4" t="str">
        <x:v>Metal or shell</x:v>
      </x:c>
      <x:c r="C133" s="4" t="str">
        <x:v>Broad descriptive candidate. Mixed, alternative and unresolved values preserve uncertainty.</x:v>
      </x:c>
    </x:row>
    <x:row r="134" ht="45" customHeight="1">
      <x:c r="A134" s="4" t="str">
        <x:v>Material family</x:v>
      </x:c>
      <x:c r="B134" s="4" t="str">
        <x:v>Mineral</x:v>
      </x:c>
      <x:c r="C134" s="4" t="str">
        <x:v>Broad descriptive candidate. Mixed, alternative and unresolved values preserve uncertainty.</x:v>
      </x:c>
    </x:row>
    <x:row r="135" ht="45" customHeight="1">
      <x:c r="A135" s="4" t="str">
        <x:v>Material family</x:v>
      </x:c>
      <x:c r="B135" s="4" t="str">
        <x:v>Mineral or shell</x:v>
      </x:c>
      <x:c r="C135" s="4" t="str">
        <x:v>Broad descriptive candidate. Mixed, alternative and unresolved values preserve uncertainty.</x:v>
      </x:c>
    </x:row>
    <x:row r="136" ht="45" customHeight="1">
      <x:c r="A136" s="4" t="str">
        <x:v>Material family</x:v>
      </x:c>
      <x:c r="B136" s="4" t="str">
        <x:v>Mixed / unresolved</x:v>
      </x:c>
      <x:c r="C136" s="4" t="str">
        <x:v>Broad descriptive candidate. Mixed, alternative and unresolved values preserve uncertainty.</x:v>
      </x:c>
    </x:row>
    <x:row r="137" ht="45" customHeight="1">
      <x:c r="A137" s="4" t="str">
        <x:v>Material family</x:v>
      </x:c>
      <x:c r="B137" s="4" t="str">
        <x:v>Shell / chitin</x:v>
      </x:c>
      <x:c r="C137" s="4" t="str">
        <x:v>Broad descriptive candidate. Mixed, alternative and unresolved values preserve uncertainty.</x:v>
      </x:c>
    </x:row>
    <x:row r="138" ht="45" customHeight="1">
      <x:c r="A138" s="4" t="str">
        <x:v>Material family</x:v>
      </x:c>
      <x:c r="B138" s="4" t="str">
        <x:v>Shell and mineral</x:v>
      </x:c>
      <x:c r="C138" s="4" t="str">
        <x:v>Broad descriptive candidate. Mixed, alternative and unresolved values preserve uncertainty.</x:v>
      </x:c>
    </x:row>
    <x:row r="139" ht="45" customHeight="1">
      <x:c r="A139" s="4" t="str">
        <x:v>Material family</x:v>
      </x:c>
      <x:c r="B139" s="4" t="str">
        <x:v>Unresolved</x:v>
      </x:c>
      <x:c r="C139" s="4" t="str">
        <x:v>Broad descriptive candidate. Mixed, alternative and unresolved values preserve uncertainty.</x:v>
      </x:c>
    </x:row>
    <x:row r="140" ht="45" customHeight="1">
      <x:c r="A140" s="4" t="str">
        <x:v>Material family</x:v>
      </x:c>
      <x:c r="B140" s="4" t="str">
        <x:v>Wing membrane</x:v>
      </x:c>
      <x:c r="C140" s="4" t="str">
        <x:v>Broad descriptive candidate. Mixed, alternative and unresolved values preserve uncertainty.</x:v>
      </x:c>
    </x:row>
    <x:row r="141" ht="45" customHeight="1">
      <x:c r="A141" s="4" t="str">
        <x:v>Physical form</x:v>
      </x:c>
      <x:c r="B141" s="4" t="str">
        <x:v>Assembly</x:v>
      </x:c>
      <x:c r="C141" s="4" t="str">
        <x:v>Catalog shape/state only; Unresolved avoids inventing a physical or chemical property.</x:v>
      </x:c>
    </x:row>
    <x:row r="142" ht="45" customHeight="1">
      <x:c r="A142" s="4" t="str">
        <x:v>Physical form</x:v>
      </x:c>
      <x:c r="B142" s="4" t="str">
        <x:v>Bundle</x:v>
      </x:c>
      <x:c r="C142" s="4" t="str">
        <x:v>Catalog shape/state only; Unresolved avoids inventing a physical or chemical property.</x:v>
      </x:c>
    </x:row>
    <x:row r="143" ht="45" customHeight="1">
      <x:c r="A143" s="4" t="str">
        <x:v>Physical form</x:v>
      </x:c>
      <x:c r="B143" s="4" t="str">
        <x:v>Cord</x:v>
      </x:c>
      <x:c r="C143" s="4" t="str">
        <x:v>Catalog shape/state only; Unresolved avoids inventing a physical or chemical property.</x:v>
      </x:c>
    </x:row>
    <x:row r="144" ht="45" customHeight="1">
      <x:c r="A144" s="4" t="str">
        <x:v>Physical form</x:v>
      </x:c>
      <x:c r="B144" s="4" t="str">
        <x:v>Fiber</x:v>
      </x:c>
      <x:c r="C144" s="4" t="str">
        <x:v>Catalog shape/state only; Unresolved avoids inventing a physical or chemical property.</x:v>
      </x:c>
    </x:row>
    <x:row r="145" ht="45" customHeight="1">
      <x:c r="A145" s="4" t="str">
        <x:v>Physical form</x:v>
      </x:c>
      <x:c r="B145" s="4" t="str">
        <x:v>Folio</x:v>
      </x:c>
      <x:c r="C145" s="4" t="str">
        <x:v>Catalog shape/state only; Unresolved avoids inventing a physical or chemical property.</x:v>
      </x:c>
    </x:row>
    <x:row r="146" ht="45" customHeight="1">
      <x:c r="A146" s="4" t="str">
        <x:v>Physical form</x:v>
      </x:c>
      <x:c r="B146" s="4" t="str">
        <x:v>Garment</x:v>
      </x:c>
      <x:c r="C146" s="4" t="str">
        <x:v>Catalog shape/state only; Unresolved avoids inventing a physical or chemical property.</x:v>
      </x:c>
    </x:row>
    <x:row r="147" ht="45" customHeight="1">
      <x:c r="A147" s="4" t="str">
        <x:v>Physical form</x:v>
      </x:c>
      <x:c r="B147" s="4" t="str">
        <x:v>Gel</x:v>
      </x:c>
      <x:c r="C147" s="4" t="str">
        <x:v>Catalog shape/state only; Unresolved avoids inventing a physical or chemical property.</x:v>
      </x:c>
    </x:row>
    <x:row r="148" ht="45" customHeight="1">
      <x:c r="A148" s="4" t="str">
        <x:v>Physical form</x:v>
      </x:c>
      <x:c r="B148" s="4" t="str">
        <x:v>Liquid</x:v>
      </x:c>
      <x:c r="C148" s="4" t="str">
        <x:v>Catalog shape/state only; Unresolved avoids inventing a physical or chemical property.</x:v>
      </x:c>
    </x:row>
    <x:row r="149" ht="45" customHeight="1">
      <x:c r="A149" s="4" t="str">
        <x:v>Physical form</x:v>
      </x:c>
      <x:c r="B149" s="4" t="str">
        <x:v>Membrane</x:v>
      </x:c>
      <x:c r="C149" s="4" t="str">
        <x:v>Catalog shape/state only; Unresolved avoids inventing a physical or chemical property.</x:v>
      </x:c>
    </x:row>
    <x:row r="150" ht="45" customHeight="1">
      <x:c r="A150" s="4" t="str">
        <x:v>Physical form</x:v>
      </x:c>
      <x:c r="B150" s="4" t="str">
        <x:v>Panel</x:v>
      </x:c>
      <x:c r="C150" s="4" t="str">
        <x:v>Catalog shape/state only; Unresolved avoids inventing a physical or chemical property.</x:v>
      </x:c>
    </x:row>
    <x:row r="151" ht="45" customHeight="1">
      <x:c r="A151" s="4" t="str">
        <x:v>Physical form</x:v>
      </x:c>
      <x:c r="B151" s="4" t="str">
        <x:v>Particles</x:v>
      </x:c>
      <x:c r="C151" s="4" t="str">
        <x:v>Catalog shape/state only; Unresolved avoids inventing a physical or chemical property.</x:v>
      </x:c>
    </x:row>
    <x:row r="152" ht="45" customHeight="1">
      <x:c r="A152" s="4" t="str">
        <x:v>Physical form</x:v>
      </x:c>
      <x:c r="B152" s="4" t="str">
        <x:v>Patch</x:v>
      </x:c>
      <x:c r="C152" s="4" t="str">
        <x:v>Catalog shape/state only; Unresolved avoids inventing a physical or chemical property.</x:v>
      </x:c>
    </x:row>
    <x:row r="153" ht="45" customHeight="1">
      <x:c r="A153" s="4" t="str">
        <x:v>Physical form</x:v>
      </x:c>
      <x:c r="B153" s="4" t="str">
        <x:v>Rock</x:v>
      </x:c>
      <x:c r="C153" s="4" t="str">
        <x:v>Catalog shape/state only; Unresolved avoids inventing a physical or chemical property.</x:v>
      </x:c>
    </x:row>
    <x:row r="154" ht="45" customHeight="1">
      <x:c r="A154" s="4" t="str">
        <x:v>Physical form</x:v>
      </x:c>
      <x:c r="B154" s="4" t="str">
        <x:v>Sheet</x:v>
      </x:c>
      <x:c r="C154" s="4" t="str">
        <x:v>Catalog shape/state only; Unresolved avoids inventing a physical or chemical property.</x:v>
      </x:c>
    </x:row>
    <x:row r="155" ht="45" customHeight="1">
      <x:c r="A155" s="4" t="str">
        <x:v>Physical form</x:v>
      </x:c>
      <x:c r="B155" s="4" t="str">
        <x:v>Shell plate</x:v>
      </x:c>
      <x:c r="C155" s="4" t="str">
        <x:v>Catalog shape/state only; Unresolved avoids inventing a physical or chemical property.</x:v>
      </x:c>
    </x:row>
    <x:row r="156" ht="45" customHeight="1">
      <x:c r="A156" s="4" t="str">
        <x:v>Physical form</x:v>
      </x:c>
      <x:c r="B156" s="4" t="str">
        <x:v>Solid part</x:v>
      </x:c>
      <x:c r="C156" s="4" t="str">
        <x:v>Catalog shape/state only; Unresolved avoids inventing a physical or chemical property.</x:v>
      </x:c>
    </x:row>
    <x:row r="157" ht="45" customHeight="1">
      <x:c r="A157" s="4" t="str">
        <x:v>Physical form</x:v>
      </x:c>
      <x:c r="B157" s="4" t="str">
        <x:v>Solid piece</x:v>
      </x:c>
      <x:c r="C157" s="4" t="str">
        <x:v>Catalog shape/state only; Unresolved avoids inventing a physical or chemical property.</x:v>
      </x:c>
    </x:row>
    <x:row r="158" ht="45" customHeight="1">
      <x:c r="A158" s="4" t="str">
        <x:v>Physical form</x:v>
      </x:c>
      <x:c r="B158" s="4" t="str">
        <x:v>Strip</x:v>
      </x:c>
      <x:c r="C158" s="4" t="str">
        <x:v>Catalog shape/state only; Unresolved avoids inventing a physical or chemical property.</x:v>
      </x:c>
    </x:row>
    <x:row r="159" ht="45" customHeight="1">
      <x:c r="A159" s="4" t="str">
        <x:v>Physical form</x:v>
      </x:c>
      <x:c r="B159" s="4" t="str">
        <x:v>Unresolved</x:v>
      </x:c>
      <x:c r="C159" s="4" t="str">
        <x:v>Catalog shape/state only; Unresolved avoids inventing a physical or chemical property.</x:v>
      </x:c>
    </x:row>
    <x:row r="160" ht="45" customHeight="1">
      <x:c r="A160" s="4" t="str">
        <x:v>Design status</x:v>
      </x:c>
      <x:c r="B160" s="4" t="str">
        <x:v>Author direction</x:v>
      </x:c>
      <x:c r="C160" s="4" t="str">
        <x:v>Existing definition means serialized data, not proof all intended uses work. Author direction, Proposal and Withheld assumption remain distinct.</x:v>
      </x:c>
    </x:row>
    <x:row r="161" ht="45" customHeight="1">
      <x:c r="A161" s="4" t="str">
        <x:v>Design status</x:v>
      </x:c>
      <x:c r="B161" s="4" t="str">
        <x:v>Existing definition</x:v>
      </x:c>
      <x:c r="C161" s="4" t="str">
        <x:v>Existing definition means serialized data, not proof all intended uses work. Author direction, Proposal and Withheld assumption remain distinct.</x:v>
      </x:c>
    </x:row>
    <x:row r="162" ht="45" customHeight="1">
      <x:c r="A162" s="4" t="str">
        <x:v>Design status</x:v>
      </x:c>
      <x:c r="B162" s="4" t="str">
        <x:v>Proposal</x:v>
      </x:c>
      <x:c r="C162" s="4" t="str">
        <x:v>Existing definition means serialized data, not proof all intended uses work. Author direction, Proposal and Withheld assumption remain distinct.</x:v>
      </x:c>
    </x:row>
    <x:row r="163" ht="45" customHeight="1">
      <x:c r="A163" s="4" t="str">
        <x:v>Design status</x:v>
      </x:c>
      <x:c r="B163" s="4" t="str">
        <x:v>Withheld assumption</x:v>
      </x:c>
      <x:c r="C163"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5d78aae0c5b44e0f"/>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sheetData>
  <x:dataValidations count="3">
    <x:dataValidation type="list" sqref="A6:A1005">
      <x:formula1>'Items'!$A$6:$A$181</x:formula1>
    </x:dataValidation>
    <x:dataValidation type="list" sqref="D6:D1005">
      <x:formula1>"Primary,Secondary"</x:formula1>
    </x:dataValidation>
    <x:dataValidation type="list" sqref="E6:E1005">
      <x:formula1>'Taxonomy'!$B$51:$B$113</x:formula1>
    </x:dataValidation>
  </x:dataValidations>
  <x:pageMargins left="0.7" right="0.7" top="0.75" bottom="0.75" header="0.3" footer="0.3"/>
  <x:tableParts count="1">
    <x:tablePart xmlns:r="http://schemas.openxmlformats.org/officeDocument/2006/relationships" r:id="Rd8eee2912255424f"/>
  </x:tableParts>
</x:worksheet>
</file>