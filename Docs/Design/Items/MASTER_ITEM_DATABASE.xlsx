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fe70e694bd48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192f4debe9b9491b"/>
    <x:sheet xmlns:r="http://schemas.openxmlformats.org/officeDocument/2006/relationships" name="Variants" sheetId="2" r:id="R391de0ceb5614c7d"/>
    <x:sheet xmlns:r="http://schemas.openxmlformats.org/officeDocument/2006/relationships" name="Recipes" sheetId="3" r:id="R84bed178fb60476e"/>
    <x:sheet xmlns:r="http://schemas.openxmlformats.org/officeDocument/2006/relationships" name="Categories" sheetId="4" r:id="Rc122d9cfd57e44c4"/>
    <x:sheet xmlns:r="http://schemas.openxmlformats.org/officeDocument/2006/relationships" name="Guide" sheetId="5" r:id="R0c8868e27bbd403c"/>
    <x:sheet xmlns:r="http://schemas.openxmlformats.org/officeDocument/2006/relationships" name="Resource chains" sheetId="6" r:id="R4e373c608ef74687"/>
    <x:sheet xmlns:r="http://schemas.openxmlformats.org/officeDocument/2006/relationships" name="Creature concepts" sheetId="7" r:id="Rb889f8f5ebb244b5"/>
    <x:sheet xmlns:r="http://schemas.openxmlformats.org/officeDocument/2006/relationships" name="Chemical concepts" sheetId="8" r:id="R30c1c7f3817842c9"/>
    <x:sheet xmlns:r="http://schemas.openxmlformats.org/officeDocument/2006/relationships" name="Container concepts" sheetId="9" r:id="Rc13d4d9e6b2c4a88"/>
    <x:sheet xmlns:r="http://schemas.openxmlformats.org/officeDocument/2006/relationships" name="Equipment concepts" sheetId="10" r:id="Rfd7029adf03e4e00"/>
    <x:sheet xmlns:r="http://schemas.openxmlformats.org/officeDocument/2006/relationships" name="Canister concepts" sheetId="11" r:id="R1eff6102dc824e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3E9D2"/>
      </x:patternFill>
    </x:fill>
    <x:fill>
      <x:patternFill patternType="solid">
        <x:fgColor rgb="FFF3E9D2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  <x:xf numFmtId="0" fontId="1" fillId="25" borderId="0" xfId="0" applyNumberFormat="1" applyFont="1" applyFill="1" applyBorder="1" applyAlignment="1">
      <x:alignment vertical="top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7" borderId="0" xfId="0" applyNumberFormat="1" applyFont="1" applyFill="1" applyBorder="1" applyAlignment="1">
      <x:alignment vertical="top" wrapText="1"/>
    </x:xf>
    <x:xf numFmtId="0" fontId="1" fillId="28" borderId="0" xfId="0" applyNumberFormat="1" applyFont="1" applyFill="1" applyBorder="1" applyAlignment="1">
      <x:alignment vertical="top" wrapText="1"/>
    </x:xf>
    <x:xf numFmtId="0" fontId="3" fillId="28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fef0d4279f4700" /><Relationship Type="http://schemas.openxmlformats.org/officeDocument/2006/relationships/theme" Target="/xl/theme/theme1.xml" Id="Rc1579cc970c341bf" /><Relationship Type="http://schemas.microsoft.com/office/2022/11/relationships/FeaturePropertyBag" Target="/xl/featurePropertyBag/featurePropertyBag.xml" Id="R905b83058e0a4a21" /><Relationship Type="http://schemas.openxmlformats.org/officeDocument/2006/relationships/sharedStrings" Target="/xl/sharedStrings.xml" Id="R82538959935e4fc3" /><Relationship Type="http://schemas.openxmlformats.org/officeDocument/2006/relationships/worksheet" Target="/xl/worksheets/sheet1.xml" Id="R192f4debe9b9491b" /><Relationship Type="http://schemas.openxmlformats.org/officeDocument/2006/relationships/worksheet" Target="/xl/worksheets/sheet2.xml" Id="R391de0ceb5614c7d" /><Relationship Type="http://schemas.openxmlformats.org/officeDocument/2006/relationships/worksheet" Target="/xl/worksheets/sheet3.xml" Id="R84bed178fb60476e" /><Relationship Type="http://schemas.openxmlformats.org/officeDocument/2006/relationships/worksheet" Target="/xl/worksheets/sheet4.xml" Id="Rc122d9cfd57e44c4" /><Relationship Type="http://schemas.openxmlformats.org/officeDocument/2006/relationships/worksheet" Target="/xl/worksheets/sheet5.xml" Id="R0c8868e27bbd403c" /><Relationship Type="http://schemas.openxmlformats.org/officeDocument/2006/relationships/worksheet" Target="/xl/worksheets/sheet6.xml" Id="R4e373c608ef74687" /><Relationship Type="http://schemas.openxmlformats.org/officeDocument/2006/relationships/worksheet" Target="/xl/worksheets/sheet7.xml" Id="Rb889f8f5ebb244b5" /><Relationship Type="http://schemas.openxmlformats.org/officeDocument/2006/relationships/worksheet" Target="/xl/worksheets/sheet8.xml" Id="R30c1c7f3817842c9" /><Relationship Type="http://schemas.openxmlformats.org/officeDocument/2006/relationships/worksheet" Target="/xl/worksheets/sheet9.xml" Id="Rc13d4d9e6b2c4a88" /><Relationship Type="http://schemas.openxmlformats.org/officeDocument/2006/relationships/worksheet" Target="/xl/worksheets/sheet10.xml" Id="Rfd7029adf03e4e00" /><Relationship Type="http://schemas.openxmlformats.org/officeDocument/2006/relationships/worksheet" Target="/xl/worksheets/sheet11.xml" Id="R1eff6102dc824eb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181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30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96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ainerConceptsTable" displayName="ContainerConceptsTable" ref="A5:K21" headerRowCount="1" totalsRowCount="0" totalsRowShown="0">
  <x:tableColumns count="11">
    <x:tableColumn id="1" name="Concept ID"/>
    <x:tableColumn id="2" name="Working label"/>
    <x:tableColumn id="3" name="Form"/>
    <x:tableColumn id="4" name="Proposed materials"/>
    <x:tableColumn id="5" name="Purpose"/>
    <x:tableColumn id="6" name="Qualitative size"/>
    <x:tableColumn id="7" name="Closure concept"/>
    <x:tableColumn id="8" name="Contents / contact"/>
    <x:tableColumn id="9" name="Design constraint"/>
    <x:tableColumn id="10" name="Source relationship"/>
    <x:tableColumn id="11" name="Referenc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EquipmentConceptsTable" displayName="EquipmentConceptsTable" ref="A5:J22" headerRowCount="1" totalsRowCount="0" totalsRowShown="0">
  <x:tableColumns count="10">
    <x:tableColumn id="1" name="Concept ID"/>
    <x:tableColumn id="2" name="Item family"/>
    <x:tableColumn id="3" name="Region / form"/>
    <x:tableColumn id="4" name="Crude concept"/>
    <x:tableColumn id="5" name="Serviceable concept"/>
    <x:tableColumn id="6" name="Elaborate concept"/>
    <x:tableColumn id="7" name="Material candidates"/>
    <x:tableColumn id="8" name="Design purpose"/>
    <x:tableColumn id="9" name="Open compatibility / ownership"/>
    <x:tableColumn id="10" name="Status / basi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nisterConceptsTable" displayName="CanisterConceptsTable" ref="A5:H20" headerRowCount="1" totalsRowCount="0" totalsRowShown="0">
  <x:tableColumns count="8">
    <x:tableColumn id="1" name="Concept ID"/>
    <x:tableColumn id="2" name="Part / item"/>
    <x:tableColumn id="3" name="Category"/>
    <x:tableColumn id="4" name="Proposed role"/>
    <x:tableColumn id="5" name="Source relationship"/>
    <x:tableColumn id="6" name="Material candidates"/>
    <x:tableColumn id="7" name="Compatibility / boundary"/>
    <x:tableColumn id="8" name="Source propos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312667e2254ae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aca4e4c034246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3dfa8e5dad041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0cb6e8346d64b5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d2e10e8dd704e1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7ab387b92dd42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cd0e37c2502478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053911fcd78e407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b050816035a4ce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7f30ee417c894df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3407710b21c9458b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design; author shade-material direction: delicate inner wings. Existing prototype art/recipe unchanged; no duplicate shade item.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User direction; not implemented</x:v>
      </x:c>
      <x:c r="F40" s="9" t="str">
        <x:v>Cheap raw shell/husk material; source of scraped fibers and candidate basic casing/guards.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Ordinary raw shells are cheap bulk material. Processed fibers, exceptional selected material and precision finished parts have separate value; no numeric price set.</x:v>
      </x:c>
      <x:c r="U40" s="23"/>
      <x:c r="V40" s="9" t="str">
        <x:v>Direct author direction October 14, 2026; Docs/WORLD_BASIS.md#material-culture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yield; fashion-crafting input: high sale-value intent; large material/time demand; exact prices and quantities TBD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superseded; fashion-crafting input: high sale-value intent; large material/time demand; exact prices and quantities TBD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processing; fashion-crafting input: high sale-value intent; large material/time demand; exact prices and quantities TBD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types; fashion-crafting input: high sale-value intent; large material/time demand; exact prices and quantities TBD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properties; fashion-crafting input: high sale-value intent; large material/time demand; exact prices and quantities TBD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forms; fashion-crafting input: high sale-value intent; large material/time demand; exact prices and quantities TBD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balance; fashion-crafting input: high sale-value intent; large material/time demand; exact prices and quantities TBD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6" ht="100" customHeight="1">
      <x:c r="A96" s="9" t="str">
        <x:v>proposal.container.sample_vial</x:v>
      </x:c>
      <x:c r="B96" s="9" t="str">
        <x:v>Clear sample vial</x:v>
      </x:c>
      <x:c r="C96" s="9" t="str">
        <x:v>Containers</x:v>
      </x:c>
      <x:c r="D96" s="9" t="str">
        <x:v>Primary vessel</x:v>
      </x:c>
      <x:c r="E96" s="9" t="str">
        <x:v>New proposal</x:v>
      </x:c>
      <x:c r="F96" s="9" t="str">
        <x:v>Inspect a small ichor or chemical sample without opening it</x:v>
      </x:c>
      <x:c r="G96" s="9" t="str">
        <x:v>None</x:v>
      </x:c>
      <x:c r="H96" s="9" t="str">
        <x:v>Filled raw-resource vessel: Legger/local owner; other carrier eligibility TBD</x:v>
      </x:c>
      <x:c r="I96" s="13"/>
      <x:c r="J96" s="15"/>
      <x:c r="K96" s="9" t="str">
        <x:v>Glassworker/fabricator or salvage candidate; no recipe authored</x:v>
      </x:c>
      <x:c r="L96" s="9" t="str">
        <x:v>Materials: Scarce clear glass</x:v>
      </x:c>
      <x:c r="M96" s="9" t="str">
        <x:v>Not implemented</x:v>
      </x:c>
      <x:c r="N96" s="9" t="str">
        <x:v>Clear glass cost; liquid compatibility and fill limit unapproved</x:v>
      </x:c>
      <x:c r="O96" s="36"/>
      <x:c r="P96" s="36"/>
      <x:c r="Q96" s="36"/>
      <x:c r="R96" s="36"/>
      <x:c r="S96" s="36"/>
      <x:c r="T96" s="9" t="str">
        <x:v>Qualitative size: Small sample. Closure: Matched stopper with retained cover proposed. Contents: Species-tagged ichor; compatible chemical samples</x:v>
      </x:c>
      <x:c r="U96" s="37"/>
      <x:c r="V96" s="9" t="str">
        <x:v>New game proposal, October 14, 2026. Glass draft supports costly transparent material; this vessel is a new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7" ht="100" customHeight="1">
      <x:c r="A97" s="9" t="str">
        <x:v>proposal.container.reagent_bottle</x:v>
      </x:c>
      <x:c r="B97" s="9" t="str">
        <x:v>Opaque reagent bottle</x:v>
      </x:c>
      <x:c r="C97" s="9" t="str">
        <x:v>Containers</x:v>
      </x:c>
      <x:c r="D97" s="9" t="str">
        <x:v>Primary vessel</x:v>
      </x:c>
      <x:c r="E97" s="9" t="str">
        <x:v>New proposal</x:v>
      </x:c>
      <x:c r="F97" s="9" t="str">
        <x:v>Everyday transport of one known material</x:v>
      </x:c>
      <x:c r="G97" s="9" t="str">
        <x:v>None</x:v>
      </x:c>
      <x:c r="H97" s="9" t="str">
        <x:v>Filled raw-resource vessel: Legger/local owner; other carrier eligibility TBD</x:v>
      </x:c>
      <x:c r="I97" s="13"/>
      <x:c r="J97" s="15"/>
      <x:c r="K97" s="9" t="str">
        <x:v>Glassworker/fabricator or salvage candidate; no recipe authored</x:v>
      </x:c>
      <x:c r="L97" s="9" t="str">
        <x:v>Materials: Opaque mineral glass; shell/metal cap</x:v>
      </x:c>
      <x:c r="M97" s="9" t="str">
        <x:v>Not implemented</x:v>
      </x:c>
      <x:c r="N97" s="9" t="str">
        <x:v>Cannot inspect contents through the wall; external identity label matters</x:v>
      </x:c>
      <x:c r="O97" s="36"/>
      <x:c r="P97" s="36"/>
      <x:c r="Q97" s="36"/>
      <x:c r="R97" s="36"/>
      <x:c r="S97" s="36"/>
      <x:c r="T97" s="9" t="str">
        <x:v>Qualitative size: Hand-sized. Closure: Compression cap and compatible seat proposed. Contents: One identified ichor or reagent batch</x:v>
      </x:c>
      <x:c r="U97" s="37"/>
      <x:c r="V97" s="9" t="str">
        <x:v>New game proposal, October 14, 2026. Standard opaque glass vessels have a source-draft basis; exact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8" ht="100" customHeight="1">
      <x:c r="A98" s="9" t="str">
        <x:v>proposal.container.wide_jar</x:v>
      </x:c>
      <x:c r="B98" s="9" t="str">
        <x:v>Wide-mouth sample jar</x:v>
      </x:c>
      <x:c r="C98" s="9" t="str">
        <x:v>Containers</x:v>
      </x:c>
      <x:c r="D98" s="9" t="str">
        <x:v>Primary vessel</x:v>
      </x:c>
      <x:c r="E98" s="9" t="str">
        <x:v>New proposal</x:v>
      </x:c>
      <x:c r="F98" s="9" t="str">
        <x:v>Carry thick gels, clot samples and mineral-rich slurry</x:v>
      </x:c>
      <x:c r="G98" s="9" t="str">
        <x:v>None</x:v>
      </x:c>
      <x:c r="H98" s="9" t="str">
        <x:v>Filled raw-resource vessel: Legger/local owner; other carrier eligibility TBD</x:v>
      </x:c>
      <x:c r="I98" s="13"/>
      <x:c r="J98" s="15"/>
      <x:c r="K98" s="9" t="str">
        <x:v>Glassworker/fabricator or salvage candidate; no recipe authored</x:v>
      </x:c>
      <x:c r="L98" s="9" t="str">
        <x:v>Materials: Glass body; rigid broad lid</x:v>
      </x:c>
      <x:c r="M98" s="9" t="str">
        <x:v>Not implemented</x:v>
      </x:c>
      <x:c r="N98" s="9" t="str">
        <x:v>Wide opening aids access but makes transfers less controlled; no scoop rules set</x:v>
      </x:c>
      <x:c r="O98" s="36"/>
      <x:c r="P98" s="36"/>
      <x:c r="Q98" s="36"/>
      <x:c r="R98" s="36"/>
      <x:c r="S98" s="36"/>
      <x:c r="T98" s="9" t="str">
        <x:v>Qualitative size: Small to medium. Closure: Broad fitted lid with compatible sealing seat. Contents: Viscous material or solid/liquid sample</x:v>
      </x:c>
      <x:c r="U98" s="37"/>
      <x:c r="V98" s="9" t="str">
        <x:v>New game proposal, October 14, 2026. Glass vessel basis; wide-mouth item and uses proposed.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9" ht="100" customHeight="1">
      <x:c r="A99" s="9" t="str">
        <x:v>proposal.container.ampoule</x:v>
      </x:c>
      <x:c r="B99" s="9" t="str">
        <x:v>Sealed sample ampoule</x:v>
      </x:c>
      <x:c r="C99" s="9" t="str">
        <x:v>Containers</x:v>
      </x:c>
      <x:c r="D99" s="9" t="str">
        <x:v>Primary vessel</x:v>
      </x:c>
      <x:c r="E99" s="9" t="str">
        <x:v>New proposal</x:v>
      </x:c>
      <x:c r="F99" s="9" t="str">
        <x:v>Preserve an isolated small specimen for later analysis or trade</x:v>
      </x:c>
      <x:c r="G99" s="9" t="str">
        <x:v>None</x:v>
      </x:c>
      <x:c r="H99" s="9" t="str">
        <x:v>Filled raw-resource vessel: Legger/local owner; other carrier eligibility TBD</x:v>
      </x:c>
      <x:c r="I99" s="13"/>
      <x:c r="J99" s="15"/>
      <x:c r="K99" s="9" t="str">
        <x:v>Glassworker/fabricator or salvage candidate; no recipe authored</x:v>
      </x:c>
      <x:c r="L99" s="9" t="str">
        <x:v>Materials: Sealed clear glass</x:v>
      </x:c>
      <x:c r="M99" s="9" t="str">
        <x:v>Not implemented</x:v>
      </x:c>
      <x:c r="N99" s="9" t="str">
        <x:v>Opening and reuse undecided; no mandatory single-use depletion rule approved</x:v>
      </x:c>
      <x:c r="O99" s="36"/>
      <x:c r="P99" s="36"/>
      <x:c r="Q99" s="36"/>
      <x:c r="R99" s="36"/>
      <x:c r="S99" s="36"/>
      <x:c r="T99" s="9" t="str">
        <x:v>Qualitative size: Very small. Closure: Factory/workshop sealed. Contents: One specimen; chemistry compatibility unresolved</x:v>
      </x:c>
      <x:c r="U99" s="37"/>
      <x:c r="V99" s="9" t="str">
        <x:v>New game proposal, October 14, 2026. New sealed-glass form inspired by source glasswork.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0" ht="100" customHeight="1">
      <x:c r="A100" s="9" t="str">
        <x:v>proposal.container.marked_flask</x:v>
      </x:c>
      <x:c r="B100" s="9" t="str">
        <x:v>Marked glass flask</x:v>
      </x:c>
      <x:c r="C100" s="9" t="str">
        <x:v>Containers</x:v>
      </x:c>
      <x:c r="D100" s="9" t="str">
        <x:v>Primary vessel</x:v>
      </x:c>
      <x:c r="E100" s="9" t="str">
        <x:v>New proposal</x:v>
      </x:c>
      <x:c r="F100" s="9" t="str">
        <x:v>Read fill and compare a specimen before transfer</x:v>
      </x:c>
      <x:c r="G100" s="9" t="str">
        <x:v>None</x:v>
      </x:c>
      <x:c r="H100" s="9" t="str">
        <x:v>Filled raw-resource vessel: Legger/local owner; other carrier eligibility TBD</x:v>
      </x:c>
      <x:c r="I100" s="13"/>
      <x:c r="J100" s="15"/>
      <x:c r="K100" s="9" t="str">
        <x:v>Glassworker/fabricator or salvage candidate; no recipe authored</x:v>
      </x:c>
      <x:c r="L100" s="9" t="str">
        <x:v>Materials: Clear glass with etched marks</x:v>
      </x:c>
      <x:c r="M100" s="9" t="str">
        <x:v>Not implemented</x:v>
      </x:c>
      <x:c r="N100" s="9" t="str">
        <x:v>Marks do not establish numeric volume, chemistry analysis or automatic quality grading</x:v>
      </x:c>
      <x:c r="O100" s="36"/>
      <x:c r="P100" s="36"/>
      <x:c r="Q100" s="36"/>
      <x:c r="R100" s="36"/>
      <x:c r="S100" s="36"/>
      <x:c r="T100" s="9" t="str">
        <x:v>Qualitative size: Small sample / workshop. Closure: Matched stopper proposed. Contents: Compatible samples and liquids</x:v>
      </x:c>
      <x:c r="U100" s="37"/>
      <x:c r="V100" s="9" t="str">
        <x:v>New game proposal, October 14, 2026. New measuring/inspection use; no authored volume system.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1" ht="100" customHeight="1">
      <x:c r="A101" s="9" t="str">
        <x:v>proposal.container.shell_cage</x:v>
      </x:c>
      <x:c r="B101" s="9" t="str">
        <x:v>Shell-caged glass flask</x:v>
      </x:c>
      <x:c r="C101" s="9" t="str">
        <x:v>Containers</x:v>
      </x:c>
      <x:c r="D101" s="9" t="str">
        <x:v>Protected vessel assembly</x:v>
      </x:c>
      <x:c r="E101" s="9" t="str">
        <x:v>New proposal</x:v>
      </x:c>
      <x:c r="F101" s="9" t="str">
        <x:v>Protect a carried specimen while keeping a viewing opening</x:v>
      </x:c>
      <x:c r="G101" s="9" t="str">
        <x:v>None</x:v>
      </x:c>
      <x:c r="H101" s="9" t="str">
        <x:v>Filled raw-resource vessel: Legger/local owner; other carrier eligibility TBD</x:v>
      </x:c>
      <x:c r="I101" s="13"/>
      <x:c r="J101" s="15"/>
      <x:c r="K101" s="9" t="str">
        <x:v>Glassworker/fabricator or salvage candidate; no recipe authored</x:v>
      </x:c>
      <x:c r="L101" s="9" t="str">
        <x:v>Materials: Glass inner vessel; slotted shell outer cage</x:v>
      </x:c>
      <x:c r="M101" s="9" t="str">
        <x:v>Not implemented</x:v>
      </x:c>
      <x:c r="N101" s="9" t="str">
        <x:v>One assembled container, not two copies of storage; protection behavior undecided</x:v>
      </x:c>
      <x:c r="O101" s="36"/>
      <x:c r="P101" s="36"/>
      <x:c r="Q101" s="36"/>
      <x:c r="R101" s="36"/>
      <x:c r="S101" s="36"/>
      <x:c r="T101" s="9" t="str">
        <x:v>Qualitative size: Medium. Closure: Retained cap and inspectable seat proposed. Contents: One compatible liquid payload</x:v>
      </x:c>
      <x:c r="U101" s="37"/>
      <x:c r="V101" s="9" t="str">
        <x:v>New game proposal, October 14, 2026. Chitin plate/curved vessel and glass drafts inspire assembly;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2" ht="100" customHeight="1">
      <x:c r="A102" s="9" t="str">
        <x:v>proposal.container.lined_canister</x:v>
      </x:c>
      <x:c r="B102" s="9" t="str">
        <x:v>Glass-lined haul canister</x:v>
      </x:c>
      <x:c r="C102" s="9" t="str">
        <x:v>Containers</x:v>
      </x:c>
      <x:c r="D102" s="9" t="str">
        <x:v>Protected vessel assembly</x:v>
      </x:c>
      <x:c r="E102" s="9" t="str">
        <x:v>New proposal</x:v>
      </x:c>
      <x:c r="F102" s="9" t="str">
        <x:v>Transport larger quantities to a processing workshop</x:v>
      </x:c>
      <x:c r="G102" s="9" t="str">
        <x:v>None</x:v>
      </x:c>
      <x:c r="H102" s="9" t="str">
        <x:v>Filled raw-resource vessel: Legger/local owner; other carrier eligibility TBD</x:v>
      </x:c>
      <x:c r="I102" s="13"/>
      <x:c r="J102" s="15"/>
      <x:c r="K102" s="9" t="str">
        <x:v>Glassworker/fabricator or salvage candidate; no recipe authored</x:v>
      </x:c>
      <x:c r="L102" s="9" t="str">
        <x:v>Materials: Metal/shell outer body; replaceable glass liner</x:v>
      </x:c>
      <x:c r="M102" s="9" t="str">
        <x:v>Not implemented</x:v>
      </x:c>
      <x:c r="N102" s="9" t="str">
        <x:v>Liner, seal and contents must all be compatible; filled payload belongs in resource cargo</x:v>
      </x:c>
      <x:c r="O102" s="36"/>
      <x:c r="P102" s="36"/>
      <x:c r="Q102" s="36"/>
      <x:c r="R102" s="36"/>
      <x:c r="S102" s="36"/>
      <x:c r="T102" s="9" t="str">
        <x:v>Qualitative size: Medium haul. Closure: Compression lid with replaceable compatible seat. Contents: One identified raw ichor or chemical batch</x:v>
      </x:c>
      <x:c r="U102" s="37"/>
      <x:c r="V102" s="9" t="str">
        <x:v>New game proposal, October 14, 2026. Glass draft includes internal canister linings; haul role and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3" ht="100" customHeight="1">
      <x:c r="A103" s="9" t="str">
        <x:v>proposal.container.ceramic_jar</x:v>
      </x:c>
      <x:c r="B103" s="9" t="str">
        <x:v>Glazed ceramic reagent jar</x:v>
      </x:c>
      <x:c r="C103" s="9" t="str">
        <x:v>Containers</x:v>
      </x:c>
      <x:c r="D103" s="9" t="str">
        <x:v>Primary vessel</x:v>
      </x:c>
      <x:c r="E103" s="9" t="str">
        <x:v>New proposal</x:v>
      </x:c>
      <x:c r="F103" s="9" t="str">
        <x:v>Alternative storage for selected processing compounds</x:v>
      </x:c>
      <x:c r="G103" s="9" t="str">
        <x:v>None</x:v>
      </x:c>
      <x:c r="H103" s="9" t="str">
        <x:v>Filled raw-resource vessel: Legger/local owner; other carrier eligibility TBD</x:v>
      </x:c>
      <x:c r="I103" s="13"/>
      <x:c r="J103" s="15"/>
      <x:c r="K103" s="9" t="str">
        <x:v>Glassworker/fabricator or salvage candidate; no recipe authored</x:v>
      </x:c>
      <x:c r="L103" s="9" t="str">
        <x:v>Materials: Fired ceramic; proposed glaze; rigid lid</x:v>
      </x:c>
      <x:c r="M103" s="9" t="str">
        <x:v>Not implemented</x:v>
      </x:c>
      <x:c r="N103" s="9" t="str">
        <x:v>Opaque; heavier/bulkier tradeoff proposed; glaze is not universally chemical-resistant</x:v>
      </x:c>
      <x:c r="O103" s="36"/>
      <x:c r="P103" s="36"/>
      <x:c r="Q103" s="36"/>
      <x:c r="R103" s="36"/>
      <x:c r="S103" s="36"/>
      <x:c r="T103" s="9" t="str">
        <x:v>Qualitative size: Medium. Closure: Fitted rigid lid and compatible seal. Contents: Only compounds qualified for that jar</x:v>
      </x:c>
      <x:c r="U103" s="37"/>
      <x:c r="V103" s="9" t="str">
        <x:v>New game proposal, October 14, 2026. New ceramic vessel proposal; not a validated recipe/material capability.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4" ht="100" customHeight="1">
      <x:c r="A104" s="9" t="str">
        <x:v>proposal.container.bulk_ichor</x:v>
      </x:c>
      <x:c r="B104" s="9" t="str">
        <x:v>Bulk ichor vessel</x:v>
      </x:c>
      <x:c r="C104" s="9" t="str">
        <x:v>Containers</x:v>
      </x:c>
      <x:c r="D104" s="9" t="str">
        <x:v>Primary vessel</x:v>
      </x:c>
      <x:c r="E104" s="9" t="str">
        <x:v>New proposal</x:v>
      </x:c>
      <x:c r="F104" s="9" t="str">
        <x:v>Make a large harvest an expedition haul decision</x:v>
      </x:c>
      <x:c r="G104" s="9" t="str">
        <x:v>None</x:v>
      </x:c>
      <x:c r="H104" s="9" t="str">
        <x:v>Filled raw-resource vessel: Legger/local owner; other carrier eligibility TBD</x:v>
      </x:c>
      <x:c r="I104" s="13"/>
      <x:c r="J104" s="15"/>
      <x:c r="K104" s="9" t="str">
        <x:v>Glassworker/fabricator or salvage candidate; no recipe authored</x:v>
      </x:c>
      <x:c r="L104" s="9" t="str">
        <x:v>Materials: Reinforced outer body; qualified inner lining TBD</x:v>
      </x:c>
      <x:c r="M104" s="9" t="str">
        <x:v>Not implemented</x:v>
      </x:c>
      <x:c r="N104" s="9" t="str">
        <x:v>Finite Legger cargo and contents mass; no backpack resource exception or free capacity</x:v>
      </x:c>
      <x:c r="O104" s="36"/>
      <x:c r="P104" s="36"/>
      <x:c r="Q104" s="36"/>
      <x:c r="R104" s="36"/>
      <x:c r="S104" s="36"/>
      <x:c r="T104" s="9" t="str">
        <x:v>Qualitative size: Bulk cargo. Closure: Service lid and separate transfer fitting proposed. Contents: One species/batch of gathered ichor</x:v>
      </x:c>
      <x:c r="U104" s="37"/>
      <x:c r="V104" s="9" t="str">
        <x:v>New game proposal, October 14, 2026. New bulk vessel proposal; no liter capacity, hose or extraction mechanic approved.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5" ht="100" customHeight="1">
      <x:c r="A105" s="9" t="str">
        <x:v>proposal.container.vial_case</x:v>
      </x:c>
      <x:c r="B105" s="9" t="str">
        <x:v>Divided vial case</x:v>
      </x:c>
      <x:c r="C105" s="9" t="str">
        <x:v>Containers</x:v>
      </x:c>
      <x:c r="D105" s="9" t="str">
        <x:v>Protective carrier</x:v>
      </x:c>
      <x:c r="E105" s="9" t="str">
        <x:v>New proposal</x:v>
      </x:c>
      <x:c r="F105" s="9" t="str">
        <x:v>Keep separately sealed specimens organized and supported</x:v>
      </x:c>
      <x:c r="G105" s="9" t="str">
        <x:v>None</x:v>
      </x:c>
      <x:c r="H105" s="9" t="str">
        <x:v>Filled raw-resource vessel: Legger/local owner; other carrier eligibility TBD</x:v>
      </x:c>
      <x:c r="I105" s="13"/>
      <x:c r="J105" s="15"/>
      <x:c r="K105" s="9" t="str">
        <x:v>Glassworker/fabricator or salvage candidate; no recipe authored</x:v>
      </x:c>
      <x:c r="L105" s="9" t="str">
        <x:v>Materials: Shell/metal case; shaped mineral seats</x:v>
      </x:c>
      <x:c r="M105" s="9" t="str">
        <x:v>Not implemented</x:v>
      </x:c>
      <x:c r="N105" s="9" t="str">
        <x:v>Does not create extra inventory capacity; inserts use no assumed wood, cork or cloth</x:v>
      </x:c>
      <x:c r="O105" s="36"/>
      <x:c r="P105" s="36"/>
      <x:c r="Q105" s="36"/>
      <x:c r="R105" s="36"/>
      <x:c r="S105" s="36"/>
      <x:c r="T105" s="9" t="str">
        <x:v>Qualitative size: Several small vessels. Closure: Rigid latched case; each vial has its own seal. Contents: Sealed vials only; no direct liquid payload</x:v>
      </x:c>
      <x:c r="U105" s="37"/>
      <x:c r="V105" s="9" t="str">
        <x:v>New game proposal, October 14, 2026. New case proposal; materials chosen under current no-cloth game rule.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6" ht="100" customHeight="1">
      <x:c r="A106" s="9" t="str">
        <x:v>proposal.container.sealed_box</x:v>
      </x:c>
      <x:c r="B106" s="9" t="str">
        <x:v>Sealed cargo box</x:v>
      </x:c>
      <x:c r="C106" s="9" t="str">
        <x:v>Containers</x:v>
      </x:c>
      <x:c r="D106" s="9" t="str">
        <x:v>Protective carrier</x:v>
      </x:c>
      <x:c r="E106" s="9" t="str">
        <x:v>New proposal</x:v>
      </x:c>
      <x:c r="F106" s="9" t="str">
        <x:v>Carry containers and dry sample packets together</x:v>
      </x:c>
      <x:c r="G106" s="9" t="str">
        <x:v>None</x:v>
      </x:c>
      <x:c r="H106" s="9" t="str">
        <x:v>Filled raw-resource vessel: Legger/local owner; other carrier eligibility TBD</x:v>
      </x:c>
      <x:c r="I106" s="13"/>
      <x:c r="J106" s="15"/>
      <x:c r="K106" s="9" t="str">
        <x:v>Glassworker/fabricator or salvage candidate; no recipe authored</x:v>
      </x:c>
      <x:c r="L106" s="9" t="str">
        <x:v>Materials: Shell panels or metal; rigid dividers</x:v>
      </x:c>
      <x:c r="M106" s="9" t="str">
        <x:v>Not implemented</x:v>
      </x:c>
      <x:c r="N106" s="9" t="str">
        <x:v>Outer dust seal is not liquid or vapor certification; all nested contents still count</x:v>
      </x:c>
      <x:c r="O106" s="36"/>
      <x:c r="P106" s="36"/>
      <x:c r="Q106" s="36"/>
      <x:c r="R106" s="36"/>
      <x:c r="S106" s="36"/>
      <x:c r="T106" s="9" t="str">
        <x:v>Qualitative size: Cargo package. Closure: Latched lid with dust-excluding seat proposed. Contents: Separately sealed contents</x:v>
      </x:c>
      <x:c r="U106" s="37"/>
      <x:c r="V106" s="9" t="str">
        <x:v>New game proposal, October 14, 2026. New protective box proposal; not automatic liquid containment.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7" ht="100" customHeight="1">
      <x:c r="A107" s="9" t="str">
        <x:v>proposal.container.field_chest</x:v>
      </x:c>
      <x:c r="B107" s="9" t="str">
        <x:v>Locking field chest</x:v>
      </x:c>
      <x:c r="C107" s="9" t="str">
        <x:v>Containers</x:v>
      </x:c>
      <x:c r="D107" s="9" t="str">
        <x:v>Storage object candidate</x:v>
      </x:c>
      <x:c r="E107" s="9" t="str">
        <x:v>New proposal</x:v>
      </x:c>
      <x:c r="F107" s="9" t="str">
        <x:v>Secure expedition samples at a physical camp/worksite</x:v>
      </x:c>
      <x:c r="G107" s="9" t="str">
        <x:v>None</x:v>
      </x:c>
      <x:c r="H107" s="9" t="str">
        <x:v>Filled raw-resource vessel: Legger/local owner; other carrier eligibility TBD</x:v>
      </x:c>
      <x:c r="I107" s="13"/>
      <x:c r="J107" s="15"/>
      <x:c r="K107" s="9" t="str">
        <x:v>Glassworker/fabricator or salvage candidate; no recipe authored</x:v>
      </x:c>
      <x:c r="L107" s="9" t="str">
        <x:v>Materials: Metal/shell chest; rigid compartment tray</x:v>
      </x:c>
      <x:c r="M107" s="9" t="str">
        <x:v>Not implemented</x:v>
      </x:c>
      <x:c r="N107" s="9" t="str">
        <x:v>Physical local owner; no global stockpile. Portable versus fixed identity undecided</x:v>
      </x:c>
      <x:c r="O107" s="36"/>
      <x:c r="P107" s="36"/>
      <x:c r="Q107" s="36"/>
      <x:c r="R107" s="36"/>
      <x:c r="S107" s="36"/>
      <x:c r="T107" s="9" t="str">
        <x:v>Qualitative size: Local storage. Closure: Mechanical lock and rigid lid proposed. Contents: Sealed vessels and dry material</x:v>
      </x:c>
      <x:c r="U107" s="37"/>
      <x:c r="V107" s="9" t="str">
        <x:v>New game proposal, October 14, 2026. New storage-object candidate; not another implemented camp chest.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8" ht="100" customHeight="1">
      <x:c r="A108" s="9" t="str">
        <x:v>proposal.container.funnel</x:v>
      </x:c>
      <x:c r="B108" s="9" t="str">
        <x:v>Glass transfer funnel</x:v>
      </x:c>
      <x:c r="C108" s="9" t="str">
        <x:v>Containers</x:v>
      </x:c>
      <x:c r="D108" s="9" t="str">
        <x:v>Transfer glassware</x:v>
      </x:c>
      <x:c r="E108" s="9" t="str">
        <x:v>New proposal</x:v>
      </x:c>
      <x:c r="F108" s="9" t="str">
        <x:v>Assist transfers into a compatible narrow-neck vessel</x:v>
      </x:c>
      <x:c r="G108" s="9" t="str">
        <x:v>None</x:v>
      </x:c>
      <x:c r="H108" s="9" t="str">
        <x:v>Filled raw-resource vessel: Legger/local owner; other carrier eligibility TBD</x:v>
      </x:c>
      <x:c r="I108" s="13"/>
      <x:c r="J108" s="15"/>
      <x:c r="K108" s="9" t="str">
        <x:v>Glassworker/fabricator or salvage candidate; no recipe authored</x:v>
      </x:c>
      <x:c r="L108" s="9" t="str">
        <x:v>Materials: Glass bowl and stem</x:v>
      </x:c>
      <x:c r="M108" s="9" t="str">
        <x:v>Not implemented</x:v>
      </x:c>
      <x:c r="N108" s="9" t="str">
        <x:v>Residue/cross-contamination and workshop reconditioning unresolved; no ambient fluid pooling</x:v>
      </x:c>
      <x:c r="O108" s="36"/>
      <x:c r="P108" s="36"/>
      <x:c r="Q108" s="36"/>
      <x:c r="R108" s="36"/>
      <x:c r="S108" s="36"/>
      <x:c r="T108" s="9" t="str">
        <x:v>Qualitative size: Tool-sized. Closure: No closure; never a storage vessel. Contents: Temporary transfer contact only</x:v>
      </x:c>
      <x:c r="U108" s="37"/>
      <x:c r="V108" s="9" t="str">
        <x:v>New game proposal, October 14, 2026. New glassworking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9" ht="100" customHeight="1">
      <x:c r="A109" s="9" t="str">
        <x:v>proposal.container.draw_tube</x:v>
      </x:c>
      <x:c r="B109" s="9" t="str">
        <x:v>Glass draw tube</x:v>
      </x:c>
      <x:c r="C109" s="9" t="str">
        <x:v>Containers</x:v>
      </x:c>
      <x:c r="D109" s="9" t="str">
        <x:v>Transfer glassware</x:v>
      </x:c>
      <x:c r="E109" s="9" t="str">
        <x:v>New proposal</x:v>
      </x:c>
      <x:c r="F109" s="9" t="str">
        <x:v>Move a small sample through an inspectable transfer path</x:v>
      </x:c>
      <x:c r="G109" s="9" t="str">
        <x:v>None</x:v>
      </x:c>
      <x:c r="H109" s="9" t="str">
        <x:v>Filled raw-resource vessel: Legger/local owner; other carrier eligibility TBD</x:v>
      </x:c>
      <x:c r="I109" s="13"/>
      <x:c r="J109" s="15"/>
      <x:c r="K109" s="9" t="str">
        <x:v>Glassworker/fabricator or salvage candidate; no recipe authored</x:v>
      </x:c>
      <x:c r="L109" s="9" t="str">
        <x:v>Materials: Glass tube; proposed mechanical fitting</x:v>
      </x:c>
      <x:c r="M109" s="9" t="str">
        <x:v>Not implemented</x:v>
      </x:c>
      <x:c r="N109" s="9" t="str">
        <x:v>No mouth operation or real extraction procedure; gameplay tool and fittings unapproved</x:v>
      </x:c>
      <x:c r="O109" s="36"/>
      <x:c r="P109" s="36"/>
      <x:c r="Q109" s="36"/>
      <x:c r="R109" s="36"/>
      <x:c r="S109" s="36"/>
      <x:c r="T109" s="9" t="str">
        <x:v>Qualitative size: Tool-sized. Closure: Closed mechanical interface to design. Contents: Compatible small specimen transfer</x:v>
      </x:c>
      <x:c r="U109" s="37"/>
      <x:c r="V109" s="9" t="str">
        <x:v>New game proposal, October 14, 2026. New mechanical sample-transfer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0" ht="100" customHeight="1">
      <x:c r="A110" s="9" t="str">
        <x:v>proposal.container.glass_stopper</x:v>
      </x:c>
      <x:c r="B110" s="9" t="str">
        <x:v>Matched glass stopper</x:v>
      </x:c>
      <x:c r="C110" s="9" t="str">
        <x:v>Containers</x:v>
      </x:c>
      <x:c r="D110" s="9" t="str">
        <x:v>Closure component</x:v>
      </x:c>
      <x:c r="E110" s="9" t="str">
        <x:v>New proposal</x:v>
      </x:c>
      <x:c r="F110" s="9" t="str">
        <x:v>Close its matching vessel without cork or cloth</x:v>
      </x:c>
      <x:c r="G110" s="9" t="str">
        <x:v>None</x:v>
      </x:c>
      <x:c r="H110" s="9" t="str">
        <x:v>Filled raw-resource vessel: Legger/local owner; other carrier eligibility TBD</x:v>
      </x:c>
      <x:c r="I110" s="13"/>
      <x:c r="J110" s="15"/>
      <x:c r="K110" s="9" t="str">
        <x:v>Glassworker/fabricator or salvage candidate; no recipe authored</x:v>
      </x:c>
      <x:c r="L110" s="9" t="str">
        <x:v>Materials: Ground glass seat; retaining clip optional</x:v>
      </x:c>
      <x:c r="M110" s="9" t="str">
        <x:v>Not implemented</x:v>
      </x:c>
      <x:c r="N110" s="9" t="str">
        <x:v>Fit and material compatibility matter; no universal stopper or separate durability chore assumed</x:v>
      </x:c>
      <x:c r="O110" s="36"/>
      <x:c r="P110" s="36"/>
      <x:c r="Q110" s="36"/>
      <x:c r="R110" s="36"/>
      <x:c r="S110" s="36"/>
      <x:c r="T110" s="9" t="str">
        <x:v>Qualitative size: Part-sized. Closure: Matched seat. Contents: Vessel closure, not an independent payload</x:v>
      </x:c>
      <x:c r="U110" s="37"/>
      <x:c r="V110" s="9" t="str">
        <x:v>New game proposal, October 14, 2026. New glass closure component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1" ht="100" customHeight="1">
      <x:c r="A111" s="9" t="str">
        <x:v>proposal.container.seal_collar</x:v>
      </x:c>
      <x:c r="B111" s="9" t="str">
        <x:v>Compression seal collar</x:v>
      </x:c>
      <x:c r="C111" s="9" t="str">
        <x:v>Containers</x:v>
      </x:c>
      <x:c r="D111" s="9" t="str">
        <x:v>Closure component</x:v>
      </x:c>
      <x:c r="E111" s="9" t="str">
        <x:v>New proposal</x:v>
      </x:c>
      <x:c r="F111" s="9" t="str">
        <x:v>Retain and compress a vessel lid/seat</x:v>
      </x:c>
      <x:c r="G111" s="9" t="str">
        <x:v>None</x:v>
      </x:c>
      <x:c r="H111" s="9" t="str">
        <x:v>Filled raw-resource vessel: Legger/local owner; other carrier eligibility TBD</x:v>
      </x:c>
      <x:c r="I111" s="13"/>
      <x:c r="J111" s="15"/>
      <x:c r="K111" s="9" t="str">
        <x:v>Glassworker/fabricator or salvage candidate; no recipe authored</x:v>
      </x:c>
      <x:c r="L111" s="9" t="str">
        <x:v>Materials: Metal/shell collar; compatible mineral/biological seal insert TBD</x:v>
      </x:c>
      <x:c r="M111" s="9" t="str">
        <x:v>Not implemented</x:v>
      </x:c>
      <x:c r="N111" s="9" t="str">
        <x:v>Biological membrane is not automatically compatible; no fat/oil/gasket recipe accepted</x:v>
      </x:c>
      <x:c r="O111" s="36"/>
      <x:c r="P111" s="36"/>
      <x:c r="Q111" s="36"/>
      <x:c r="R111" s="36"/>
      <x:c r="S111" s="36"/>
      <x:c r="T111" s="9" t="str">
        <x:v>Qualitative size: Part-sized. Closure: Mechanical collar. Contents: Vessel closure, not a liquid container</x:v>
      </x:c>
      <x:c r="U111" s="37"/>
      <x:c r="V111" s="9" t="str">
        <x:v>New game proposal, October 14, 2026. New closure assembly proposal; exact seal material unresolved.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2" ht="105" customHeight="1">
      <x:c r="A112" s="9" t="str">
        <x:v>proposal.gear.mail_shirt</x:v>
      </x:c>
      <x:c r="B112" s="9" t="str">
        <x:v>Chainmail shirt</x:v>
      </x:c>
      <x:c r="C112" s="9" t="str">
        <x:v>Equipment</x:v>
      </x:c>
      <x:c r="D112" s="9" t="str">
        <x:v>Torso layer</x:v>
      </x:c>
      <x:c r="E112" s="9" t="str">
        <x:v>User direction; not implemented</x:v>
      </x:c>
      <x:c r="F112" s="9" t="str">
        <x:v>Everyday metal chainmail clothing; fitted/protective effects remain undecided.</x:v>
      </x:c>
      <x:c r="G112" s="9" t="str">
        <x:v>Unassigned; loadout extension TBD</x:v>
      </x:c>
      <x:c r="H112" s="9" t="str">
        <x:v>Booter-worn/held concept; permitted spares in Legger cargo TBD</x:v>
      </x:c>
      <x:c r="I112" s="13"/>
      <x:c r="J112" s="15"/>
      <x:c r="K112" s="9" t="str">
        <x:v>Fabrication, trade or salvage candidate; no recipe authored</x:v>
      </x:c>
      <x:c r="L112" s="9" t="str">
        <x:v>Proposed materials: Metal rings; attachment/underlayer material undecided</x:v>
      </x:c>
      <x:c r="M112" s="9" t="str">
        <x:v>Not implemented</x:v>
      </x:c>
      <x:c r="N112" s="9" t="str">
        <x:v>Layering, weight, noise and underlayer requirements need design; no cloth assumed</x:v>
      </x:c>
      <x:c r="O112" s="42"/>
      <x:c r="P112" s="42"/>
      <x:c r="Q112" s="42"/>
      <x:c r="R112" s="42"/>
      <x:c r="S112" s="42"/>
      <x:c r="T112" s="9" t="str">
        <x:v>Ordinary simple chainmail belongs to regular clothing. Elaborate variants can be fashion; detailed construction, mass and effects remain open.</x:v>
      </x:c>
      <x:c r="U112" s="43"/>
      <x:c r="V112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13" ht="105" customHeight="1">
      <x:c r="A113" s="9" t="str">
        <x:v>proposal.gear.metal_armor_set</x:v>
      </x:c>
      <x:c r="B113" s="9" t="str">
        <x:v>Assembled metal armor</x:v>
      </x:c>
      <x:c r="C113" s="9" t="str">
        <x:v>Equipment</x:v>
      </x:c>
      <x:c r="D113" s="9" t="str">
        <x:v>Whole-body assembly candidate</x:v>
      </x:c>
      <x:c r="E113" s="9" t="str">
        <x:v>User direction; not implemented</x:v>
      </x:c>
      <x:c r="F113" s="9" t="str">
        <x:v>A coordinated armor family from crude to elaborate</x:v>
      </x:c>
      <x:c r="G113" s="9" t="str">
        <x:v>Unassigned; loadout extension TBD</x:v>
      </x:c>
      <x:c r="H113" s="9" t="str">
        <x:v>Booter-worn/held concept; permitted spares in Legger cargo TBD</x:v>
      </x:c>
      <x:c r="I113" s="13"/>
      <x:c r="J113" s="15"/>
      <x:c r="K113" s="9" t="str">
        <x:v>Fabrication, trade or salvage candidate; no recipe authored</x:v>
      </x:c>
      <x:c r="L113" s="9" t="str">
        <x:v>Proposed materials: Metal plates; hinges/rivets; backing and connectors undecided</x:v>
      </x:c>
      <x:c r="M113" s="9" t="str">
        <x:v>Not implemented</x:v>
      </x:c>
      <x:c r="N113" s="9" t="str">
        <x:v>Set versus independently owned pieces unresolved; do not count the same plates as both set and components</x:v>
      </x:c>
      <x:c r="O113" s="42"/>
      <x:c r="P113" s="42"/>
      <x:c r="Q113" s="42"/>
      <x:c r="R113" s="42"/>
      <x:c r="S113" s="42"/>
      <x:c r="T113" s="9" t="str">
        <x:v>Crude: Mixed scavenged plates on a simple carrier. Serviceable: Coordinated torso and limb pieces. Elaborate: Fitted articulated ensemble with matched joints</x:v>
      </x:c>
      <x:c r="U113" s="43"/>
      <x:c r="V113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4" ht="105" customHeight="1">
      <x:c r="A114" s="9" t="str">
        <x:v>proposal.gear.chest_armor</x:v>
      </x:c>
      <x:c r="B114" s="9" t="str">
        <x:v>Chest armor</x:v>
      </x:c>
      <x:c r="C114" s="9" t="str">
        <x:v>Equipment</x:v>
      </x:c>
      <x:c r="D114" s="9" t="str">
        <x:v>Torso plate</x:v>
      </x:c>
      <x:c r="E114" s="9" t="str">
        <x:v>User direction; not implemented</x:v>
      </x:c>
      <x:c r="F114" s="9" t="str">
        <x:v>Torso protection candidate</x:v>
      </x:c>
      <x:c r="G114" s="9" t="str">
        <x:v>Unassigned; loadout extension TBD</x:v>
      </x:c>
      <x:c r="H114" s="9" t="str">
        <x:v>Booter-worn/held concept; permitted spares in Legger cargo TBD</x:v>
      </x:c>
      <x:c r="I114" s="13"/>
      <x:c r="J114" s="15"/>
      <x:c r="K114" s="9" t="str">
        <x:v>Fabrication, trade or salvage candidate; no recipe authored</x:v>
      </x:c>
      <x:c r="L114" s="9" t="str">
        <x:v>Proposed materials: Worked metal; optional shell/mineral-backed design</x:v>
      </x:c>
      <x:c r="M114" s="9" t="str">
        <x:v>Not implemented</x:v>
      </x:c>
      <x:c r="N114" s="9" t="str">
        <x:v>Relationship to chainmail, jacket, cloak and canisters unresolved; no automatic Jacket-slot compatibility</x:v>
      </x:c>
      <x:c r="O114" s="42"/>
      <x:c r="P114" s="42"/>
      <x:c r="Q114" s="42"/>
      <x:c r="R114" s="42"/>
      <x:c r="S114" s="42"/>
      <x:c r="T114" s="9" t="str">
        <x:v>Crude: Single repaired plate and simple retaining hardware. Serviceable: Shaped front/back panels with accessible closures. Elaborate: Fitted articulated chest assembly with replaceable panels</x:v>
      </x:c>
      <x:c r="U114" s="43"/>
      <x:c r="V114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5" ht="105" customHeight="1">
      <x:c r="A115" s="9" t="str">
        <x:v>proposal.gear.helmet</x:v>
      </x:c>
      <x:c r="B115" s="9" t="str">
        <x:v>Helmet</x:v>
      </x:c>
      <x:c r="C115" s="9" t="str">
        <x:v>Equipment</x:v>
      </x:c>
      <x:c r="D115" s="9" t="str">
        <x:v>Head</x:v>
      </x:c>
      <x:c r="E115" s="9" t="str">
        <x:v>User direction; not implemented</x:v>
      </x:c>
      <x:c r="F115" s="9" t="str">
        <x:v>Head protection with readable sight/hearing tradeoffs</x:v>
      </x:c>
      <x:c r="G115" s="9" t="str">
        <x:v>Unassigned; loadout extension TBD</x:v>
      </x:c>
      <x:c r="H115" s="9" t="str">
        <x:v>Booter-worn/held concept; permitted spares in Legger cargo TBD</x:v>
      </x:c>
      <x:c r="I115" s="13"/>
      <x:c r="J115" s="15"/>
      <x:c r="K115" s="9" t="str">
        <x:v>Fabrication, trade or salvage candidate; no recipe authored</x:v>
      </x:c>
      <x:c r="L115" s="9" t="str">
        <x:v>Proposed materials: Metal; optional shell panels; liner material undecided</x:v>
      </x:c>
      <x:c r="M115" s="9" t="str">
        <x:v>Not implemented</x:v>
      </x:c>
      <x:c r="N115" s="9" t="str">
        <x:v>Visibility, hearing, breathing and worn canister interaction need design; no sealed respiratory protection implied</x:v>
      </x:c>
      <x:c r="O115" s="42"/>
      <x:c r="P115" s="42"/>
      <x:c r="Q115" s="42"/>
      <x:c r="R115" s="42"/>
      <x:c r="S115" s="42"/>
      <x:c r="T115" s="9" t="str">
        <x:v>Crude: Simple open bowl or salvaged cap. Serviceable: Fitted shell with cheek/neck coverage options. Elaborate: Articulated protective helmet with carefully framed sightlines</x:v>
      </x:c>
      <x:c r="U115" s="43"/>
      <x:c r="V115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6" ht="105" customHeight="1">
      <x:c r="A116" s="9" t="str">
        <x:v>proposal.gear.leg_armor</x:v>
      </x:c>
      <x:c r="B116" s="9" t="str">
        <x:v>Leg armor</x:v>
      </x:c>
      <x:c r="C116" s="9" t="str">
        <x:v>Equipment</x:v>
      </x:c>
      <x:c r="D116" s="9" t="str">
        <x:v>Lower limbs</x:v>
      </x:c>
      <x:c r="E116" s="9" t="str">
        <x:v>User direction; not implemented</x:v>
      </x:c>
      <x:c r="F116" s="9" t="str">
        <x:v>Lower-limb protection candidate</x:v>
      </x:c>
      <x:c r="G116" s="9" t="str">
        <x:v>Unassigned; loadout extension TBD</x:v>
      </x:c>
      <x:c r="H116" s="9" t="str">
        <x:v>Booter-worn/held concept; permitted spares in Legger cargo TBD</x:v>
      </x:c>
      <x:c r="I116" s="13"/>
      <x:c r="J116" s="15"/>
      <x:c r="K116" s="9" t="str">
        <x:v>Fabrication, trade or salvage candidate; no recipe authored</x:v>
      </x:c>
      <x:c r="L116" s="9" t="str">
        <x:v>Proposed materials: Metal plate segments; mechanical/flexible joints TBD</x:v>
      </x:c>
      <x:c r="M116" s="9" t="str">
        <x:v>Not implemented</x:v>
      </x:c>
      <x:c r="N116" s="9" t="str">
        <x:v>Crouch, climb, gait and boots must remain compatible; no movement penalties fixed</x:v>
      </x:c>
      <x:c r="O116" s="42"/>
      <x:c r="P116" s="42"/>
      <x:c r="Q116" s="42"/>
      <x:c r="R116" s="42"/>
      <x:c r="S116" s="42"/>
      <x:c r="T116" s="9" t="str">
        <x:v>Crude: Separate shin plates and exposed joints. Serviceable: Matched shin/knee protection. Elaborate: Articulated thigh/knee/shin assembly</x:v>
      </x:c>
      <x:c r="U116" s="43"/>
      <x:c r="V116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7" ht="105" customHeight="1">
      <x:c r="A117" s="9" t="str">
        <x:v>proposal.gear.boots</x:v>
      </x:c>
      <x:c r="B117" s="9" t="str">
        <x:v>Boots</x:v>
      </x:c>
      <x:c r="C117" s="9" t="str">
        <x:v>Equipment</x:v>
      </x:c>
      <x:c r="D117" s="9" t="str">
        <x:v>Feet</x:v>
      </x:c>
      <x:c r="E117" s="9" t="str">
        <x:v>User direction; not implemented</x:v>
      </x:c>
      <x:c r="F117" s="9" t="str">
        <x:v>Footwear for traversal and exposure</x:v>
      </x:c>
      <x:c r="G117" s="9" t="str">
        <x:v>Unassigned; loadout extension TBD</x:v>
      </x:c>
      <x:c r="H117" s="9" t="str">
        <x:v>Booter-worn/held concept; permitted spares in Legger cargo TBD</x:v>
      </x:c>
      <x:c r="I117" s="13"/>
      <x:c r="J117" s="15"/>
      <x:c r="K117" s="9" t="str">
        <x:v>Fabrication, trade or salvage candidate; no recipe authored</x:v>
      </x:c>
      <x:c r="L117" s="9" t="str">
        <x:v>Proposed materials: Metal/shell structure; sole and flexible insert materials TBD</x:v>
      </x:c>
      <x:c r="M117" s="9" t="str">
        <x:v>Not implemented</x:v>
      </x:c>
      <x:c r="N117" s="9" t="str">
        <x:v>Grip, sound, grounding and insulation are separate proposals; no leather, rubber or cloth assumed</x:v>
      </x:c>
      <x:c r="O117" s="42"/>
      <x:c r="P117" s="42"/>
      <x:c r="Q117" s="42"/>
      <x:c r="R117" s="42"/>
      <x:c r="S117" s="42"/>
      <x:c r="T117" s="9" t="str">
        <x:v>Crude: Rigid foot shell with basic closure and replaceable sole pieces. Serviceable: Fitted boot with articulated ankle and serviceable tread. Elaborate: Carefully fitted armored boot with replaceable contact surfaces</x:v>
      </x:c>
      <x:c r="U117" s="43"/>
      <x:c r="V117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8" ht="105" customHeight="1">
      <x:c r="A118" s="9" t="str">
        <x:v>proposal.gear.gloves</x:v>
      </x:c>
      <x:c r="B118" s="9" t="str">
        <x:v>Gloves</x:v>
      </x:c>
      <x:c r="C118" s="9" t="str">
        <x:v>Equipment</x:v>
      </x:c>
      <x:c r="D118" s="9" t="str">
        <x:v>Hands</x:v>
      </x:c>
      <x:c r="E118" s="9" t="str">
        <x:v>User direction; not implemented</x:v>
      </x:c>
      <x:c r="F118" s="9" t="str">
        <x:v>Hand protection while handling tools and gear</x:v>
      </x:c>
      <x:c r="G118" s="9" t="str">
        <x:v>Unassigned; loadout extension TBD</x:v>
      </x:c>
      <x:c r="H118" s="9" t="str">
        <x:v>Booter-worn/held concept; permitted spares in Legger cargo TBD</x:v>
      </x:c>
      <x:c r="I118" s="13"/>
      <x:c r="J118" s="15"/>
      <x:c r="K118" s="9" t="str">
        <x:v>Fabrication, trade or salvage candidate; no recipe authored</x:v>
      </x:c>
      <x:c r="L118" s="9" t="str">
        <x:v>Proposed materials: Metal/shell guards; flexible insert material TBD</x:v>
      </x:c>
      <x:c r="M118" s="9" t="str">
        <x:v>Not implemented</x:v>
      </x:c>
      <x:c r="N118" s="9" t="str">
        <x:v>Dexterity, grip and chemical/electrical compatibility need design; no universal protective effect</x:v>
      </x:c>
      <x:c r="O118" s="42"/>
      <x:c r="P118" s="42"/>
      <x:c r="Q118" s="42"/>
      <x:c r="R118" s="42"/>
      <x:c r="S118" s="42"/>
      <x:c r="T118" s="9" t="str">
        <x:v>Crude: Palm/knuckle guards on a sparse carrier. Serviceable: Fitted hand protection with usable finger movement. Elaborate: Articulated plated glove with replaceable fingertips</x:v>
      </x:c>
      <x:c r="U118" s="43"/>
      <x:c r="V118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9" ht="105" customHeight="1">
      <x:c r="A119" s="9" t="str">
        <x:v>proposal.gear.backpack</x:v>
      </x:c>
      <x:c r="B119" s="9" t="str">
        <x:v>Backpack</x:v>
      </x:c>
      <x:c r="C119" s="9" t="str">
        <x:v>Equipment</x:v>
      </x:c>
      <x:c r="D119" s="9" t="str">
        <x:v>Back-mounted carrier</x:v>
      </x:c>
      <x:c r="E119" s="9" t="str">
        <x:v>User direction; not implemented</x:v>
      </x:c>
      <x:c r="F119" s="9" t="str">
        <x:v>Booter-carried supplies/tool carrier candidate</x:v>
      </x:c>
      <x:c r="G119" s="9" t="str">
        <x:v>Unassigned; loadout extension TBD</x:v>
      </x:c>
      <x:c r="H119" s="9" t="str">
        <x:v>Booter-worn/held concept; permitted spares in Legger cargo TBD</x:v>
      </x:c>
      <x:c r="I119" s="13"/>
      <x:c r="J119" s="15"/>
      <x:c r="K119" s="9" t="str">
        <x:v>Fabrication, trade or salvage candidate; no recipe authored</x:v>
      </x:c>
      <x:c r="L119" s="9" t="str">
        <x:v>Proposed materials: Shell panels, metal frame, hinges; harness material unresolved</x:v>
      </x:c>
      <x:c r="M119" s="9" t="str">
        <x:v>Not implemented</x:v>
      </x:c>
      <x:c r="N119" s="9" t="str">
        <x:v>No raw-resource carrying exception. Capacity, equipment spares, cloak clearance and mounts remain open</x:v>
      </x:c>
      <x:c r="O119" s="42"/>
      <x:c r="P119" s="42"/>
      <x:c r="Q119" s="42"/>
      <x:c r="R119" s="42"/>
      <x:c r="S119" s="42"/>
      <x:c r="T119" s="9" t="str">
        <x:v>Crude: Rigid back basket or simple carrying frame. Serviceable: Compartmented shell/metal case on a fitted frame. Elaborate: Tailored frame with modular tool mounts and access panels</x:v>
      </x:c>
      <x:c r="U119" s="43"/>
      <x:c r="V119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0" ht="105" customHeight="1">
      <x:c r="A120" s="9" t="str">
        <x:v>proposal.gear.special_plates</x:v>
      </x:c>
      <x:c r="B120" s="9" t="str">
        <x:v>Specialized armor plates</x:v>
      </x:c>
      <x:c r="C120" s="9" t="str">
        <x:v>Equipment</x:v>
      </x:c>
      <x:c r="D120" s="9" t="str">
        <x:v>Modular protection</x:v>
      </x:c>
      <x:c r="E120" s="9" t="str">
        <x:v>User direction; not implemented</x:v>
      </x:c>
      <x:c r="F120" s="9" t="str">
        <x:v>Purpose-specific protection modules</x:v>
      </x:c>
      <x:c r="G120" s="9" t="str">
        <x:v>Unassigned; loadout extension TBD</x:v>
      </x:c>
      <x:c r="H120" s="9" t="str">
        <x:v>Booter-worn/held concept; permitted spares in Legger cargo TBD</x:v>
      </x:c>
      <x:c r="I120" s="13"/>
      <x:c r="J120" s="15"/>
      <x:c r="K120" s="9" t="str">
        <x:v>Fabrication, trade or salvage candidate; no recipe authored</x:v>
      </x:c>
      <x:c r="L120" s="9" t="str">
        <x:v>Proposed materials: Metal, shell and optional mineral/ceramic layers; recipes TBD</x:v>
      </x:c>
      <x:c r="M120" s="9" t="str">
        <x:v>Not implemented</x:v>
      </x:c>
      <x:c r="N120" s="9" t="str">
        <x:v>Candidate functions: impact distribution, abrasion protection, joint coverage and electrical separation; all effects unapproved</x:v>
      </x:c>
      <x:c r="O120" s="42"/>
      <x:c r="P120" s="42"/>
      <x:c r="Q120" s="42"/>
      <x:c r="R120" s="42"/>
      <x:c r="S120" s="42"/>
      <x:c r="T120" s="9" t="str">
        <x:v>Crude: Replaceable abrasion plate or bolted reinforcement. Serviceable: Purpose-shaped joint cover or impact-spreading module. Elaborate: Integrated interchangeable plate system for specific tasks</x:v>
      </x:c>
      <x:c r="U120" s="43"/>
      <x:c r="V120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1" ht="105" customHeight="1">
      <x:c r="A121" s="9" t="str">
        <x:v>proposal.gear.shield</x:v>
      </x:c>
      <x:c r="B121" s="9" t="str">
        <x:v>Shield</x:v>
      </x:c>
      <x:c r="C121" s="9" t="str">
        <x:v>Equipment</x:v>
      </x:c>
      <x:c r="D121" s="9" t="str">
        <x:v>Held / mounted defensive gear</x:v>
      </x:c>
      <x:c r="E121" s="9" t="str">
        <x:v>User direction; not implemented</x:v>
      </x:c>
      <x:c r="F121" s="9" t="str">
        <x:v>Directional protection candidate</x:v>
      </x:c>
      <x:c r="G121" s="9" t="str">
        <x:v>Unassigned; loadout extension TBD</x:v>
      </x:c>
      <x:c r="H121" s="9" t="str">
        <x:v>Booter-worn/held concept; permitted spares in Legger cargo TBD</x:v>
      </x:c>
      <x:c r="I121" s="13"/>
      <x:c r="J121" s="15"/>
      <x:c r="K121" s="9" t="str">
        <x:v>Fabrication, trade or salvage candidate; no recipe authored</x:v>
      </x:c>
      <x:c r="L121" s="9" t="str">
        <x:v>Proposed materials: Metal and/or shell panels; grip and rim materials TBD</x:v>
      </x:c>
      <x:c r="M121" s="9" t="str">
        <x:v>Not implemented</x:v>
      </x:c>
      <x:c r="N121" s="9" t="str">
        <x:v>Hand ownership, tool use, carrying posture and Legger cargo storage need design; no blocking mechanics implemented</x:v>
      </x:c>
      <x:c r="O121" s="42"/>
      <x:c r="P121" s="42"/>
      <x:c r="Q121" s="42"/>
      <x:c r="R121" s="42"/>
      <x:c r="S121" s="42"/>
      <x:c r="T121" s="9" t="str">
        <x:v>Crude: Cut salvaged plate with a rigid grip. Serviceable: Shaped shield with reinforced edge and repairable face. Elaborate: Fitted layered shield with deliberate sightline and handling geometry</x:v>
      </x:c>
      <x:c r="U121" s="43"/>
      <x:c r="V121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2" ht="85" customHeight="1">
      <x:c r="A122" s="9" t="str">
        <x:v>proposal.weapon.caltrops</x:v>
      </x:c>
      <x:c r="B122" s="9" t="str">
        <x:v>Caltrops</x:v>
      </x:c>
      <x:c r="C122" s="9" t="str">
        <x:v>Weapons</x:v>
      </x:c>
      <x:c r="D122" s="9" t="str">
        <x:v>Trip-ups</x:v>
      </x:c>
      <x:c r="E122" s="9" t="str">
        <x:v>User direction; not implemented</x:v>
      </x:c>
      <x:c r="F122" s="9" t="str">
        <x:v>First named candidate for specialized, purpose-specific weapon brainstorming.</x:v>
      </x:c>
      <x:c r="G122" s="9" t="str">
        <x:v>Unassigned; future design</x:v>
      </x:c>
      <x:c r="H122" s="9" t="str">
        <x:v>Carrier and quantity policy TBD</x:v>
      </x:c>
      <x:c r="I122" s="13"/>
      <x:c r="J122" s="15"/>
      <x:c r="K122" s="9" t="str">
        <x:v>Acquisition and manufacture deferred</x:v>
      </x:c>
      <x:c r="L122" s="9" t="str">
        <x:v>No recipe authored</x:v>
      </x:c>
      <x:c r="M122" s="9" t="str">
        <x:v>Not implemented</x:v>
      </x:c>
      <x:c r="N122" s="9" t="str">
        <x:v>Weapon mechanics, damage, targets and deployment are deferred.</x:v>
      </x:c>
      <x:c r="O122" s="17"/>
      <x:c r="P122" s="17"/>
      <x:c r="Q122" s="17"/>
      <x:c r="R122" s="17"/>
      <x:c r="S122" s="17"/>
      <x:c r="T122" s="9" t="str">
        <x:v>Future weapon lanes: offensive weapons, defensive weapons, traps and trip-ups. No additional weapon roster proposed.</x:v>
      </x:c>
      <x:c r="U122" s="11"/>
      <x:c r="V122" s="9" t="str">
        <x:v>Direct author direction, October 14, 2026. Detailed brainstorming explicitly deferred.</x:v>
      </x:c>
    </x:row>
    <x:row r="123" ht="80" customHeight="1">
      <x:c r="A123" s="9" t="str">
        <x:v>proposal.ancient.carbon_composite</x:v>
      </x:c>
      <x:c r="B123" s="9" t="str">
        <x:v>Ancient carbon composite</x:v>
      </x:c>
      <x:c r="C123" s="9" t="str">
        <x:v>Resources</x:v>
      </x:c>
      <x:c r="D123" s="9" t="str">
        <x:v>Ancient manufactured material</x:v>
      </x:c>
      <x:c r="E123" s="9" t="str">
        <x:v>User direction; not implemented</x:v>
      </x:c>
      <x:c r="F123" s="9" t="str">
        <x:v>Ancient material comparable to carbon-fiber composites.</x:v>
      </x:c>
      <x:c r="G123" s="9" t="str">
        <x:v>None</x:v>
      </x:c>
      <x:c r="H123" s="9" t="str">
        <x:v>Recovered material: Legger / physical local storage</x:v>
      </x:c>
      <x:c r="I123" s="13"/>
      <x:c r="J123" s="15"/>
      <x:c r="K123" s="9" t="str">
        <x:v>Ancient-tech recovery source; specific sites and forms undecided</x:v>
      </x:c>
      <x:c r="L123" s="9" t="str">
        <x:v>Recovery/reuse only as a design candidate; no manufacturing recipe established</x:v>
      </x:c>
      <x:c r="M123" s="9" t="str">
        <x:v>Not implemented</x:v>
      </x:c>
      <x:c r="N123" s="9" t="str">
        <x:v>Recovery form, composition and usable properties need design. No carbon-fabric or cloth item assumed.</x:v>
      </x:c>
      <x:c r="O123" s="46" t="str">
        <x:v>Extremely rare</x:v>
      </x:c>
      <x:c r="P123" s="17"/>
      <x:c r="Q123" s="17"/>
      <x:c r="R123" s="17"/>
      <x:c r="S123" s="17"/>
      <x:c r="T123" s="9" t="str">
        <x:v>Extremely rare by author direction. Fragment versus intact component, testing, trade and fabrication possibilities remain open.</x:v>
      </x:c>
      <x:c r="U123" s="11"/>
      <x:c r="V123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4" ht="80" customHeight="1">
      <x:c r="A124" s="9" t="str">
        <x:v>proposal.ancient.nanocarbon</x:v>
      </x:c>
      <x:c r="B124" s="9" t="str">
        <x:v>Ancient nanocarbon material</x:v>
      </x:c>
      <x:c r="C124" s="9" t="str">
        <x:v>Resources</x:v>
      </x:c>
      <x:c r="D124" s="9" t="str">
        <x:v>Ancient manufactured material</x:v>
      </x:c>
      <x:c r="E124" s="9" t="str">
        <x:v>User direction; not implemented</x:v>
      </x:c>
      <x:c r="F124" s="9" t="str">
        <x:v>Ancient material comparable to advanced nanocarbon substances.</x:v>
      </x:c>
      <x:c r="G124" s="9" t="str">
        <x:v>None</x:v>
      </x:c>
      <x:c r="H124" s="9" t="str">
        <x:v>Recovered material: Legger / physical local storage</x:v>
      </x:c>
      <x:c r="I124" s="13"/>
      <x:c r="J124" s="15"/>
      <x:c r="K124" s="9" t="str">
        <x:v>Ancient-tech recovery source; specific sites and forms undecided</x:v>
      </x:c>
      <x:c r="L124" s="9" t="str">
        <x:v>Recovery/reuse only as a design candidate; no manufacturing recipe established</x:v>
      </x:c>
      <x:c r="M124" s="9" t="str">
        <x:v>Not implemented</x:v>
      </x:c>
      <x:c r="N124" s="9" t="str">
        <x:v>No self-repair, active nanomachines or extraordinary conductivity inferred from its name.</x:v>
      </x:c>
      <x:c r="O124" s="46" t="str">
        <x:v>Extremely rare</x:v>
      </x:c>
      <x:c r="P124" s="17"/>
      <x:c r="Q124" s="17"/>
      <x:c r="R124" s="17"/>
      <x:c r="S124" s="17"/>
      <x:c r="T124" s="9" t="str">
        <x:v>Extremely rare by author direction. Fragment versus intact component, testing, trade and fabrication possibilities remain open.</x:v>
      </x:c>
      <x:c r="U124" s="11"/>
      <x:c r="V124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5" ht="80" customHeight="1">
      <x:c r="A125" s="9" t="str">
        <x:v>proposal.ancient.plasteel</x:v>
      </x:c>
      <x:c r="B125" s="9" t="str">
        <x:v>Ancient plasteel material</x:v>
      </x:c>
      <x:c r="C125" s="9" t="str">
        <x:v>Resources</x:v>
      </x:c>
      <x:c r="D125" s="9" t="str">
        <x:v>Ancient manufactured material</x:v>
      </x:c>
      <x:c r="E125" s="9" t="str">
        <x:v>User direction; not implemented</x:v>
      </x:c>
      <x:c r="F125" s="9" t="str">
        <x:v>Ancient manufactured material comparable to plasteel.</x:v>
      </x:c>
      <x:c r="G125" s="9" t="str">
        <x:v>None</x:v>
      </x:c>
      <x:c r="H125" s="9" t="str">
        <x:v>Recovered material: Legger / physical local storage</x:v>
      </x:c>
      <x:c r="I125" s="13"/>
      <x:c r="J125" s="15"/>
      <x:c r="K125" s="9" t="str">
        <x:v>Ancient-tech recovery source; specific sites and forms undecided</x:v>
      </x:c>
      <x:c r="L125" s="9" t="str">
        <x:v>Recovery/reuse only as a design candidate; no manufacturing recipe established</x:v>
      </x:c>
      <x:c r="M125" s="9" t="str">
        <x:v>Not implemented</x:v>
      </x:c>
      <x:c r="N125" s="9" t="str">
        <x:v>Exact formulation and properties undefined; not an ordinary iron/steel ore or alloy recipe.</x:v>
      </x:c>
      <x:c r="O125" s="46" t="str">
        <x:v>Extremely rare</x:v>
      </x:c>
      <x:c r="P125" s="17"/>
      <x:c r="Q125" s="17"/>
      <x:c r="R125" s="17"/>
      <x:c r="S125" s="17"/>
      <x:c r="T125" s="9" t="str">
        <x:v>Extremely rare by author direction. Fragment versus intact component, testing, trade and fabrication possibilities remain open.</x:v>
      </x:c>
      <x:c r="U125" s="11"/>
      <x:c r="V125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6" ht="90" customHeight="1">
      <x:c r="A126" s="9" t="str">
        <x:v>proposal.fashion.special_spectacles</x:v>
      </x:c>
      <x:c r="B126" s="9" t="str">
        <x:v>Specialized spectacles</x:v>
      </x:c>
      <x:c r="C126" s="9" t="str">
        <x:v>Equipment</x:v>
      </x:c>
      <x:c r="D126" s="9" t="str">
        <x:v>Specialist eyewear</x:v>
      </x:c>
      <x:c r="E126" s="9" t="str">
        <x:v>User direction; not implemented</x:v>
      </x:c>
      <x:c r="F126" s="9" t="str">
        <x:v>Rare specialized eyewear; precise purpose and optical effect to define.</x:v>
      </x:c>
      <x:c r="G126" s="9" t="str">
        <x:v>Unassigned; fit/layering TBD</x:v>
      </x:c>
      <x:c r="H126" s="9" t="str">
        <x:v>Booter-worn concept; spare/transfer policy TBD</x:v>
      </x:c>
      <x:c r="I126" s="13"/>
      <x:c r="J126" s="15"/>
      <x:c r="K126" s="9" t="str">
        <x:v>Specialist crafting/trade candidate; exact acquisition TBD</x:v>
      </x:c>
      <x:c r="L126" s="9" t="str">
        <x:v>Material family: Lens and frame materials/requirements TBD</x:v>
      </x:c>
      <x:c r="M126" s="9" t="str">
        <x:v>Not implemented</x:v>
      </x:c>
      <x:c r="N126" s="9" t="str">
        <x:v>Specific purpose, lens manufacture, face fit and equipment compatibility remain open</x:v>
      </x:c>
      <x:c r="O126" s="47" t="str">
        <x:v>Rare</x:v>
      </x:c>
      <x:c r="P126" s="17"/>
      <x:c r="Q126" s="17"/>
      <x:c r="R126" s="17"/>
      <x:c r="S126" s="17"/>
      <x:c r="T126" s="9" t="str">
        <x:v>Rare by author direction; fashion versions very rare and expensive. Crafting inputs intended high-value trade goods; no numeric price/time/yield assigned.</x:v>
      </x:c>
      <x:c r="U126" s="11"/>
      <x:c r="V126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7" ht="90" customHeight="1">
      <x:c r="A127" s="9" t="str">
        <x:v>proposal.fashion.eyeglasses</x:v>
      </x:c>
      <x:c r="B127" s="9" t="str">
        <x:v>Eyeglasses</x:v>
      </x:c>
      <x:c r="C127" s="9" t="str">
        <x:v>Equipment</x:v>
      </x:c>
      <x:c r="D127" s="9" t="str">
        <x:v>Eyewear</x:v>
      </x:c>
      <x:c r="E127" s="9" t="str">
        <x:v>User direction; not implemented</x:v>
      </x:c>
      <x:c r="F127" s="9" t="str">
        <x:v>Rare eyeglasses; lens function, frame and fitting need design.</x:v>
      </x:c>
      <x:c r="G127" s="9" t="str">
        <x:v>Unassigned; fit/layering TBD</x:v>
      </x:c>
      <x:c r="H127" s="9" t="str">
        <x:v>Booter-worn concept; spare/transfer policy TBD</x:v>
      </x:c>
      <x:c r="I127" s="13"/>
      <x:c r="J127" s="15"/>
      <x:c r="K127" s="9" t="str">
        <x:v>Specialist crafting/trade candidate; exact acquisition TBD</x:v>
      </x:c>
      <x:c r="L127" s="9" t="str">
        <x:v>Material family: Lens and frame materials/requirements TBD</x:v>
      </x:c>
      <x:c r="M127" s="9" t="str">
        <x:v>Not implemented</x:v>
      </x:c>
      <x:c r="N127" s="9" t="str">
        <x:v>Distinction from specialized spectacles and actual vision effects remain open</x:v>
      </x:c>
      <x:c r="O127" s="47" t="str">
        <x:v>Rare</x:v>
      </x:c>
      <x:c r="P127" s="17"/>
      <x:c r="Q127" s="17"/>
      <x:c r="R127" s="17"/>
      <x:c r="S127" s="17"/>
      <x:c r="T127" s="9" t="str">
        <x:v>Rare by author direction; fashion versions very rare and expensive. Crafting inputs intended high-value trade goods; no numeric price/time/yield assigned.</x:v>
      </x:c>
      <x:c r="U127" s="11"/>
      <x:c r="V127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8" ht="90" customHeight="1">
      <x:c r="A128" s="9" t="str">
        <x:v>proposal.fashion.hat</x:v>
      </x:c>
      <x:c r="B128" s="9" t="str">
        <x:v>Hat</x:v>
      </x:c>
      <x:c r="C128" s="9" t="str">
        <x:v>Equipment</x:v>
      </x:c>
      <x:c r="D128" s="9" t="str">
        <x:v>Headwear</x:v>
      </x:c>
      <x:c r="E128" s="9" t="str">
        <x:v>User direction; not implemented</x:v>
      </x:c>
      <x:c r="F128" s="9" t="str">
        <x:v>Rare headwear; fashion variants belong to the very rare expensive fashion economy.</x:v>
      </x:c>
      <x:c r="G128" s="9" t="str">
        <x:v>Unassigned; fit/layering TBD</x:v>
      </x:c>
      <x:c r="H128" s="9" t="str">
        <x:v>Booter-worn concept; spare/transfer policy TBD</x:v>
      </x:c>
      <x:c r="I128" s="13"/>
      <x:c r="J128" s="15"/>
      <x:c r="K128" s="9" t="str">
        <x:v>Specialist crafting/trade candidate; exact acquisition TBD</x:v>
      </x:c>
      <x:c r="L128" s="9" t="str">
        <x:v>Material family: Husk-fiber/fur/hide options proposed; exact construction TBD</x:v>
      </x:c>
      <x:c r="M128" s="9" t="str">
        <x:v>Not implemented</x:v>
      </x:c>
      <x:c r="N128" s="9" t="str">
        <x:v>Hat versus helmet, cloak clearance, shade and decorative function unresolved</x:v>
      </x:c>
      <x:c r="O128" s="47" t="str">
        <x:v>Rare</x:v>
      </x:c>
      <x:c r="P128" s="17"/>
      <x:c r="Q128" s="17"/>
      <x:c r="R128" s="17"/>
      <x:c r="S128" s="17"/>
      <x:c r="T128" s="9" t="str">
        <x:v>Rare by author direction; fashion versions very rare and expensive. Crafting inputs intended high-value trade goods; no numeric price/time/yield assigned.</x:v>
      </x:c>
      <x:c r="U128" s="11"/>
      <x:c r="V128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9" ht="90" customHeight="1">
      <x:c r="A129" s="9" t="str">
        <x:v>proposal.fashion.husk_garment</x:v>
      </x:c>
      <x:c r="B129" s="9" t="str">
        <x:v>Elaborate husk-fiber wear</x:v>
      </x:c>
      <x:c r="C129" s="9" t="str">
        <x:v>Equipment</x:v>
      </x:c>
      <x:c r="D129" s="9" t="str">
        <x:v>Fashion garment</x:v>
      </x:c>
      <x:c r="E129" s="9" t="str">
        <x:v>User direction; not implemented</x:v>
      </x:c>
      <x:c r="F129" s="9" t="str">
        <x:v>Very rare expensive fashion clothing using husk fibers.</x:v>
      </x:c>
      <x:c r="G129" s="9" t="str">
        <x:v>Unassigned; fit/layering TBD</x:v>
      </x:c>
      <x:c r="H129" s="9" t="str">
        <x:v>Booter-worn concept; spare/transfer policy TBD</x:v>
      </x:c>
      <x:c r="I129" s="13"/>
      <x:c r="J129" s="15"/>
      <x:c r="K129" s="9" t="str">
        <x:v>Specialist crafting/trade candidate; exact acquisition TBD</x:v>
      </x:c>
      <x:c r="L129" s="9" t="str">
        <x:v>Material family: Husk-fiber material; no cloth</x:v>
      </x:c>
      <x:c r="M129" s="9" t="str">
        <x:v>Not implemented</x:v>
      </x:c>
      <x:c r="N129" s="9" t="str">
        <x:v>Luxury workmanship and large material/time demand; does not classify all everyday clothing as rare. Hide/fur processing still has extremely low yield.</x:v>
      </x:c>
      <x:c r="O129" s="47" t="str">
        <x:v>Very rare</x:v>
      </x:c>
      <x:c r="P129" s="17"/>
      <x:c r="Q129" s="17"/>
      <x:c r="R129" s="17"/>
      <x:c r="S129" s="17"/>
      <x:c r="T129" s="9" t="str">
        <x:v>Elaborate fashion variant. Ordinary simple wraps and metal-based wear with minimal fur are a separate everyday baseline.</x:v>
      </x:c>
      <x:c r="U129" s="11"/>
      <x:c r="V129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0" ht="90" customHeight="1">
      <x:c r="A130" s="9" t="str">
        <x:v>proposal.fashion.fur_garment</x:v>
      </x:c>
      <x:c r="B130" s="9" t="str">
        <x:v>Elaborate fur wear</x:v>
      </x:c>
      <x:c r="C130" s="9" t="str">
        <x:v>Equipment</x:v>
      </x:c>
      <x:c r="D130" s="9" t="str">
        <x:v>Fashion garment</x:v>
      </x:c>
      <x:c r="E130" s="9" t="str">
        <x:v>User direction; not implemented</x:v>
      </x:c>
      <x:c r="F130" s="9" t="str">
        <x:v>Very rare expensive fashion clothing using animal fur.</x:v>
      </x:c>
      <x:c r="G130" s="9" t="str">
        <x:v>Unassigned; fit/layering TBD</x:v>
      </x:c>
      <x:c r="H130" s="9" t="str">
        <x:v>Booter-worn concept; spare/transfer policy TBD</x:v>
      </x:c>
      <x:c r="I130" s="13"/>
      <x:c r="J130" s="15"/>
      <x:c r="K130" s="9" t="str">
        <x:v>Specialist crafting/trade candidate; exact acquisition TBD</x:v>
      </x:c>
      <x:c r="L130" s="9" t="str">
        <x:v>Material family: Animal fur; supporting material TBD; no cloth</x:v>
      </x:c>
      <x:c r="M130" s="9" t="str">
        <x:v>Not implemented</x:v>
      </x:c>
      <x:c r="N130" s="9" t="str">
        <x:v>Luxury workmanship and large material/time demand; does not classify all everyday clothing as rare. Hide/fur processing still has extremely low yield.</x:v>
      </x:c>
      <x:c r="O130" s="47" t="str">
        <x:v>Very rare</x:v>
      </x:c>
      <x:c r="P130" s="17"/>
      <x:c r="Q130" s="17"/>
      <x:c r="R130" s="17"/>
      <x:c r="S130" s="17"/>
      <x:c r="T130" s="9" t="str">
        <x:v>Elaborate fashion variant. Ordinary simple wraps and metal-based wear with minimal fur are a separate everyday baseline.</x:v>
      </x:c>
      <x:c r="U130" s="11"/>
      <x:c r="V130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1" ht="90" customHeight="1">
      <x:c r="A131" s="9" t="str">
        <x:v>proposal.fashion.hide_garment</x:v>
      </x:c>
      <x:c r="B131" s="9" t="str">
        <x:v>Elaborate hide wear</x:v>
      </x:c>
      <x:c r="C131" s="9" t="str">
        <x:v>Equipment</x:v>
      </x:c>
      <x:c r="D131" s="9" t="str">
        <x:v>Fashion garment</x:v>
      </x:c>
      <x:c r="E131" s="9" t="str">
        <x:v>User direction; not implemented</x:v>
      </x:c>
      <x:c r="F131" s="9" t="str">
        <x:v>Very rare expensive fashion clothing using processed hides.</x:v>
      </x:c>
      <x:c r="G131" s="9" t="str">
        <x:v>Unassigned; fit/layering TBD</x:v>
      </x:c>
      <x:c r="H131" s="9" t="str">
        <x:v>Booter-worn concept; spare/transfer policy TBD</x:v>
      </x:c>
      <x:c r="I131" s="13"/>
      <x:c r="J131" s="15"/>
      <x:c r="K131" s="9" t="str">
        <x:v>Specialist crafting/trade candidate; exact acquisition TBD</x:v>
      </x:c>
      <x:c r="L131" s="9" t="str">
        <x:v>Material family: Processed hide; supporting material TBD; no cloth</x:v>
      </x:c>
      <x:c r="M131" s="9" t="str">
        <x:v>Not implemented</x:v>
      </x:c>
      <x:c r="N131" s="9" t="str">
        <x:v>Luxury workmanship and large material/time demand; does not classify all everyday clothing as rare. Hide/fur processing still has extremely low yield.</x:v>
      </x:c>
      <x:c r="O131" s="47" t="str">
        <x:v>Very rare</x:v>
      </x:c>
      <x:c r="P131" s="17"/>
      <x:c r="Q131" s="17"/>
      <x:c r="R131" s="17"/>
      <x:c r="S131" s="17"/>
      <x:c r="T131" s="9" t="str">
        <x:v>Elaborate fashion variant. Ordinary simple wraps and metal-based wear with minimal fur are a separate everyday baseline.</x:v>
      </x:c>
      <x:c r="U131" s="11"/>
      <x:c r="V131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2" ht="90" customHeight="1">
      <x:c r="A132" s="9" t="str">
        <x:v>proposal.gem.clear_quartz</x:v>
      </x:c>
      <x:c r="B132" s="9" t="str">
        <x:v>Clear quartz</x:v>
      </x:c>
      <x:c r="C132" s="9" t="str">
        <x:v>Resources</x:v>
      </x:c>
      <x:c r="D132" s="9" t="str">
        <x:v>Gemstone concept</x:v>
      </x:c>
      <x:c r="E132" s="9" t="str">
        <x:v>New proposal</x:v>
      </x:c>
      <x:c r="F132" s="9" t="str">
        <x:v>Proposed appearance: Colorless / clear crystal. Potential use: Small ornaments, polished inserts and premium clear stonework</x:v>
      </x:c>
      <x:c r="G132" s="9" t="str">
        <x:v>None</x:v>
      </x:c>
      <x:c r="H132" s="9" t="str">
        <x:v>Gathered raw gemstone: Legger / local storage</x:v>
      </x:c>
      <x:c r="I132" s="13"/>
      <x:c r="J132" s="15"/>
      <x:c r="K132" s="9" t="str">
        <x:v>Authored ancient mineral-bearing strata candidate; no deposit placement approved</x:v>
      </x:c>
      <x:c r="L132" s="9" t="str">
        <x:v>Sorting, cutting, polishing and setting are future craft concepts</x:v>
      </x:c>
      <x:c r="M132" s="9" t="str">
        <x:v>Not implemented</x:v>
      </x:c>
      <x:c r="N132" s="9" t="str">
        <x:v>Keep distinct from loose silica grit and manufactured glass; optical function is not assumed.</x:v>
      </x:c>
      <x:c r="O132" s="48"/>
      <x:c r="P132" s="48"/>
      <x:c r="Q132" s="48"/>
      <x:c r="R132" s="48"/>
      <x:c r="S132" s="48"/>
      <x:c r="T132" s="9" t="str">
        <x:v>Gemstones exist by author direction. This mineral choice, palette, grade, cut and use are proposals. Fashion-suitable inputs intended valuable; no universal rarity or numeric price assigned.</x:v>
      </x:c>
      <x:c r="U132" s="49"/>
      <x:c r="V132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3" ht="90" customHeight="1">
      <x:c r="A133" s="9" t="str">
        <x:v>proposal.gem.smoky_quartz</x:v>
      </x:c>
      <x:c r="B133" s="9" t="str">
        <x:v>Smoky quartz</x:v>
      </x:c>
      <x:c r="C133" s="9" t="str">
        <x:v>Resources</x:v>
      </x:c>
      <x:c r="D133" s="9" t="str">
        <x:v>Gemstone concept</x:v>
      </x:c>
      <x:c r="E133" s="9" t="str">
        <x:v>New proposal</x:v>
      </x:c>
      <x:c r="F133" s="9" t="str">
        <x:v>Proposed appearance: Smoke-brown through near-black palette. Potential use: Dark ornaments, clasps and contrasting inlays</x:v>
      </x:c>
      <x:c r="G133" s="9" t="str">
        <x:v>None</x:v>
      </x:c>
      <x:c r="H133" s="9" t="str">
        <x:v>Gathered raw gemstone: Legger / local storage</x:v>
      </x:c>
      <x:c r="I133" s="13"/>
      <x:c r="J133" s="15"/>
      <x:c r="K133" s="9" t="str">
        <x:v>Authored ancient mineral-bearing strata candidate; no deposit placement approved</x:v>
      </x:c>
      <x:c r="L133" s="9" t="str">
        <x:v>Sorting, cutting, polishing and setting are future craft concepts</x:v>
      </x:c>
      <x:c r="M133" s="9" t="str">
        <x:v>Not implemented</x:v>
      </x:c>
      <x:c r="N133" s="9" t="str">
        <x:v>Color/clarity grades and cutting uses are proposals; no storm or charge effect inferred.</x:v>
      </x:c>
      <x:c r="O133" s="48"/>
      <x:c r="P133" s="48"/>
      <x:c r="Q133" s="48"/>
      <x:c r="R133" s="48"/>
      <x:c r="S133" s="48"/>
      <x:c r="T133" s="9" t="str">
        <x:v>Gemstones exist by author direction. This mineral choice, palette, grade, cut and use are proposals. Fashion-suitable inputs intended valuable; no universal rarity or numeric price assigned.</x:v>
      </x:c>
      <x:c r="U133" s="49"/>
      <x:c r="V133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4" ht="90" customHeight="1">
      <x:c r="A134" s="9" t="str">
        <x:v>proposal.gem.garnet</x:v>
      </x:c>
      <x:c r="B134" s="9" t="str">
        <x:v>Garnet</x:v>
      </x:c>
      <x:c r="C134" s="9" t="str">
        <x:v>Resources</x:v>
      </x:c>
      <x:c r="D134" s="9" t="str">
        <x:v>Gemstone concept</x:v>
      </x:c>
      <x:c r="E134" s="9" t="str">
        <x:v>New proposal</x:v>
      </x:c>
      <x:c r="F134" s="9" t="str">
        <x:v>Proposed appearance: Deep red / rust / orange palette. Potential use: Fashion settings, clasps and detailed inlay</x:v>
      </x:c>
      <x:c r="G134" s="9" t="str">
        <x:v>None</x:v>
      </x:c>
      <x:c r="H134" s="9" t="str">
        <x:v>Gathered raw gemstone: Legger / local storage</x:v>
      </x:c>
      <x:c r="I134" s="13"/>
      <x:c r="J134" s="15"/>
      <x:c r="K134" s="9" t="str">
        <x:v>Authored ancient mineral-bearing strata candidate; no deposit placement approved</x:v>
      </x:c>
      <x:c r="L134" s="9" t="str">
        <x:v>Sorting, cutting, polishing and setting are future craft concepts</x:v>
      </x:c>
      <x:c r="M134" s="9" t="str">
        <x:v>Not implemented</x:v>
      </x:c>
      <x:c r="N134" s="9" t="str">
        <x:v>Garnet is a mineral group; exact species and regional source undecided.</x:v>
      </x:c>
      <x:c r="O134" s="48"/>
      <x:c r="P134" s="48"/>
      <x:c r="Q134" s="48"/>
      <x:c r="R134" s="48"/>
      <x:c r="S134" s="48"/>
      <x:c r="T134" s="9" t="str">
        <x:v>Gemstones exist by author direction. This mineral choice, palette, grade, cut and use are proposals. Fashion-suitable inputs intended valuable; no universal rarity or numeric price assigned.</x:v>
      </x:c>
      <x:c r="U134" s="49"/>
      <x:c r="V134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5" ht="90" customHeight="1">
      <x:c r="A135" s="9" t="str">
        <x:v>proposal.gem.spinel</x:v>
      </x:c>
      <x:c r="B135" s="9" t="str">
        <x:v>Spinel</x:v>
      </x:c>
      <x:c r="C135" s="9" t="str">
        <x:v>Resources</x:v>
      </x:c>
      <x:c r="D135" s="9" t="str">
        <x:v>Gemstone concept</x:v>
      </x:c>
      <x:c r="E135" s="9" t="str">
        <x:v>New proposal</x:v>
      </x:c>
      <x:c r="F135" s="9" t="str">
        <x:v>Proposed appearance: Black, with other colors left open. Potential use: High-contrast accents and polished dark settings</x:v>
      </x:c>
      <x:c r="G135" s="9" t="str">
        <x:v>None</x:v>
      </x:c>
      <x:c r="H135" s="9" t="str">
        <x:v>Gathered raw gemstone: Legger / local storage</x:v>
      </x:c>
      <x:c r="I135" s="13"/>
      <x:c r="J135" s="15"/>
      <x:c r="K135" s="9" t="str">
        <x:v>Authored ancient mineral-bearing strata candidate; no deposit placement approved</x:v>
      </x:c>
      <x:c r="L135" s="9" t="str">
        <x:v>Sorting, cutting, polishing and setting are future craft concepts</x:v>
      </x:c>
      <x:c r="M135" s="9" t="str">
        <x:v>Not implemented</x:v>
      </x:c>
      <x:c r="N135" s="9" t="str">
        <x:v>Proposed black spinel direction; other colors need not become separate item IDs.</x:v>
      </x:c>
      <x:c r="O135" s="48"/>
      <x:c r="P135" s="48"/>
      <x:c r="Q135" s="48"/>
      <x:c r="R135" s="48"/>
      <x:c r="S135" s="48"/>
      <x:c r="T135" s="9" t="str">
        <x:v>Gemstones exist by author direction. This mineral choice, palette, grade, cut and use are proposals. Fashion-suitable inputs intended valuable; no universal rarity or numeric price assigned.</x:v>
      </x:c>
      <x:c r="U135" s="49"/>
      <x:c r="V135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6" ht="90" customHeight="1">
      <x:c r="A136" s="9" t="str">
        <x:v>proposal.gem.peridot</x:v>
      </x:c>
      <x:c r="B136" s="9" t="str">
        <x:v>Peridot</x:v>
      </x:c>
      <x:c r="C136" s="9" t="str">
        <x:v>Resources</x:v>
      </x:c>
      <x:c r="D136" s="9" t="str">
        <x:v>Gemstone concept</x:v>
      </x:c>
      <x:c r="E136" s="9" t="str">
        <x:v>New proposal</x:v>
      </x:c>
      <x:c r="F136" s="9" t="str">
        <x:v>Proposed appearance: Yellow-green / olive palette. Potential use: Distinctive green accents against iron-colored materials</x:v>
      </x:c>
      <x:c r="G136" s="9" t="str">
        <x:v>None</x:v>
      </x:c>
      <x:c r="H136" s="9" t="str">
        <x:v>Gathered raw gemstone: Legger / local storage</x:v>
      </x:c>
      <x:c r="I136" s="13"/>
      <x:c r="J136" s="15"/>
      <x:c r="K136" s="9" t="str">
        <x:v>Authored ancient mineral-bearing strata candidate; no deposit placement approved</x:v>
      </x:c>
      <x:c r="L136" s="9" t="str">
        <x:v>Sorting, cutting, polishing and setting are future craft concepts</x:v>
      </x:c>
      <x:c r="M136" s="9" t="str">
        <x:v>Not implemented</x:v>
      </x:c>
      <x:c r="N136" s="9" t="str">
        <x:v>Proposed geological gem candidate; not plant material or a source of greenery.</x:v>
      </x:c>
      <x:c r="O136" s="48"/>
      <x:c r="P136" s="48"/>
      <x:c r="Q136" s="48"/>
      <x:c r="R136" s="48"/>
      <x:c r="S136" s="48"/>
      <x:c r="T136" s="9" t="str">
        <x:v>Gemstones exist by author direction. This mineral choice, palette, grade, cut and use are proposals. Fashion-suitable inputs intended valuable; no universal rarity or numeric price assigned.</x:v>
      </x:c>
      <x:c r="U136" s="49"/>
      <x:c r="V136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7" ht="90" customHeight="1">
      <x:c r="A137" s="9" t="str">
        <x:v>proposal.gem.corundum</x:v>
      </x:c>
      <x:c r="B137" s="9" t="str">
        <x:v>Ruby / sapphire corundum</x:v>
      </x:c>
      <x:c r="C137" s="9" t="str">
        <x:v>Resources</x:v>
      </x:c>
      <x:c r="D137" s="9" t="str">
        <x:v>Gemstone concept</x:v>
      </x:c>
      <x:c r="E137" s="9" t="str">
        <x:v>New proposal</x:v>
      </x:c>
      <x:c r="F137" s="9" t="str">
        <x:v>Proposed appearance: Red ruby and blue or other sapphire palette. Potential use: Fine settings and high-craft decorative work</x:v>
      </x:c>
      <x:c r="G137" s="9" t="str">
        <x:v>None</x:v>
      </x:c>
      <x:c r="H137" s="9" t="str">
        <x:v>Gathered raw gemstone: Legger / local storage</x:v>
      </x:c>
      <x:c r="I137" s="13"/>
      <x:c r="J137" s="15"/>
      <x:c r="K137" s="9" t="str">
        <x:v>Authored ancient mineral-bearing strata candidate; no deposit placement approved</x:v>
      </x:c>
      <x:c r="L137" s="9" t="str">
        <x:v>Sorting, cutting, polishing and setting are future craft concepts</x:v>
      </x:c>
      <x:c r="M137" s="9" t="str">
        <x:v>Not implemented</x:v>
      </x:c>
      <x:c r="N137" s="9" t="str">
        <x:v>One family for now; ruby/sapphire variants can split if useful. No armor or tool effect assigned.</x:v>
      </x:c>
      <x:c r="O137" s="48"/>
      <x:c r="P137" s="48"/>
      <x:c r="Q137" s="48"/>
      <x:c r="R137" s="48"/>
      <x:c r="S137" s="48"/>
      <x:c r="T137" s="9" t="str">
        <x:v>Gemstones exist by author direction. This mineral choice, palette, grade, cut and use are proposals. Fashion-suitable inputs intended valuable; no universal rarity or numeric price assigned.</x:v>
      </x:c>
      <x:c r="U137" s="49"/>
      <x:c r="V137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8" ht="90" customHeight="1">
      <x:c r="A138" s="9" t="str">
        <x:v>proposal.gem.tourmaline</x:v>
      </x:c>
      <x:c r="B138" s="9" t="str">
        <x:v>Tourmaline</x:v>
      </x:c>
      <x:c r="C138" s="9" t="str">
        <x:v>Resources</x:v>
      </x:c>
      <x:c r="D138" s="9" t="str">
        <x:v>Gemstone concept</x:v>
      </x:c>
      <x:c r="E138" s="9" t="str">
        <x:v>New proposal</x:v>
      </x:c>
      <x:c r="F138" s="9" t="str">
        <x:v>Proposed appearance: Dark green / multicolor palette to select. Potential use: Regional ornament styles and distinctive settings</x:v>
      </x:c>
      <x:c r="G138" s="9" t="str">
        <x:v>None</x:v>
      </x:c>
      <x:c r="H138" s="9" t="str">
        <x:v>Gathered raw gemstone: Legger / local storage</x:v>
      </x:c>
      <x:c r="I138" s="13"/>
      <x:c r="J138" s="15"/>
      <x:c r="K138" s="9" t="str">
        <x:v>Authored ancient mineral-bearing strata candidate; no deposit placement approved</x:v>
      </x:c>
      <x:c r="L138" s="9" t="str">
        <x:v>Sorting, cutting, polishing and setting are future craft concepts</x:v>
      </x:c>
      <x:c r="M138" s="9" t="str">
        <x:v>Not implemented</x:v>
      </x:c>
      <x:c r="N138" s="9" t="str">
        <x:v>Exact variety and useful color range undecided; no magnetic or electrical powers inferred.</x:v>
      </x:c>
      <x:c r="O138" s="48"/>
      <x:c r="P138" s="48"/>
      <x:c r="Q138" s="48"/>
      <x:c r="R138" s="48"/>
      <x:c r="S138" s="48"/>
      <x:c r="T138" s="9" t="str">
        <x:v>Gemstones exist by author direction. This mineral choice, palette, grade, cut and use are proposals. Fashion-suitable inputs intended valuable; no universal rarity or numeric price assigned.</x:v>
      </x:c>
      <x:c r="U138" s="49"/>
      <x:c r="V138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9" ht="90" customHeight="1">
      <x:c r="A139" s="9" t="str">
        <x:v>proposal.gem.zircon</x:v>
      </x:c>
      <x:c r="B139" s="9" t="str">
        <x:v>Zircon</x:v>
      </x:c>
      <x:c r="C139" s="9" t="str">
        <x:v>Resources</x:v>
      </x:c>
      <x:c r="D139" s="9" t="str">
        <x:v>Gemstone concept</x:v>
      </x:c>
      <x:c r="E139" s="9" t="str">
        <x:v>New proposal</x:v>
      </x:c>
      <x:c r="F139" s="9" t="str">
        <x:v>Proposed appearance: Honey-brown / warm clear palette. Potential use: Small brilliant accents and fine polished settings</x:v>
      </x:c>
      <x:c r="G139" s="9" t="str">
        <x:v>None</x:v>
      </x:c>
      <x:c r="H139" s="9" t="str">
        <x:v>Gathered raw gemstone: Legger / local storage</x:v>
      </x:c>
      <x:c r="I139" s="13"/>
      <x:c r="J139" s="15"/>
      <x:c r="K139" s="9" t="str">
        <x:v>Authored ancient mineral-bearing strata candidate; no deposit placement approved</x:v>
      </x:c>
      <x:c r="L139" s="9" t="str">
        <x:v>Sorting, cutting, polishing and setting are future craft concepts</x:v>
      </x:c>
      <x:c r="M139" s="9" t="str">
        <x:v>Not implemented</x:v>
      </x:c>
      <x:c r="N139" s="9" t="str">
        <x:v>A natural mineral candidate, distinct from cubic zirconia; no ancient-tech identity assumed.</x:v>
      </x:c>
      <x:c r="O139" s="48"/>
      <x:c r="P139" s="48"/>
      <x:c r="Q139" s="48"/>
      <x:c r="R139" s="48"/>
      <x:c r="S139" s="48"/>
      <x:c r="T139" s="9" t="str">
        <x:v>Gemstones exist by author direction. This mineral choice, palette, grade, cut and use are proposals. Fashion-suitable inputs intended valuable; no universal rarity or numeric price assigned.</x:v>
      </x:c>
      <x:c r="U139" s="49"/>
      <x:c r="V139" s="9" t="str">
        <x:v>Author direction October 14, 2026 establishes gemstones generally. Proposed real-mineral inspiration: https://www.gia.edu/zircon-description; no claim of Death Valley occurrence or game canon for this species.</x:v>
      </x:c>
    </x:row>
    <x:row r="140" ht="90" customHeight="1">
      <x:c r="A140" s="9" t="str">
        <x:v>proposal.gear.simple_wraps</x:v>
      </x:c>
      <x:c r="B140" s="9" t="str">
        <x:v>Simple everyday wraps</x:v>
      </x:c>
      <x:c r="C140" s="9" t="str">
        <x:v>Equipment</x:v>
      </x:c>
      <x:c r="D140" s="9" t="str">
        <x:v>Everyday clothing</x:v>
      </x:c>
      <x:c r="E140" s="9" t="str">
        <x:v>User direction; not implemented</x:v>
      </x:c>
      <x:c r="F140" s="9" t="str">
        <x:v>Regular simple wrap-style clothing under the no-cloth material rule.</x:v>
      </x:c>
      <x:c r="G140" s="9" t="str">
        <x:v>Unassigned; layering/fastening TBD</x:v>
      </x:c>
      <x:c r="H140" s="9" t="str">
        <x:v>Booter-worn concept; supply/spare policy TBD</x:v>
      </x:c>
      <x:c r="I140" s="13"/>
      <x:c r="J140" s="15"/>
      <x:c r="K140" s="9" t="str">
        <x:v>Ordinary fabrication/trade candidate; no recipe authored</x:v>
      </x:c>
      <x:c r="L140" s="9" t="str">
        <x:v>Construction and material combination TBD; minimal fur with metal-based fastenings/pieces possible</x:v>
      </x:c>
      <x:c r="M140" s="9" t="str">
        <x:v>Not implemented</x:v>
      </x:c>
      <x:c r="N140" s="9" t="str">
        <x:v>No cloth. Wrap material, attachment and coverage remain open; minimal fur is not an abundant processed-fur supply.</x:v>
      </x:c>
      <x:c r="O140" s="17"/>
      <x:c r="P140" s="17"/>
      <x:c r="Q140" s="17"/>
      <x:c r="R140" s="17"/>
      <x:c r="S140" s="17"/>
      <x:c r="T140" s="9" t="str">
        <x:v>Everyday baseline by author direction. No fixed rarity, price, garment pattern or material ratio assigned.</x:v>
      </x:c>
      <x:c r="U140" s="11"/>
      <x:c r="V140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41" ht="95" customHeight="1">
      <x:c r="A141" s="9" t="str">
        <x:v>proposal.bio.inner_wing</x:v>
      </x:c>
      <x:c r="B141" s="9" t="str">
        <x:v>Delicate inner wing</x:v>
      </x:c>
      <x:c r="C141" s="9" t="str">
        <x:v>Resources</x:v>
      </x:c>
      <x:c r="D141" s="9" t="str">
        <x:v>Wing material</x:v>
      </x:c>
      <x:c r="E141" s="9" t="str">
        <x:v>User direction; not implemented</x:v>
      </x:c>
      <x:c r="F141" s="9" t="str">
        <x:v>Gathered insectoid megafauna inner-wing membrane for vertical sun shades.</x:v>
      </x:c>
      <x:c r="G141" s="9" t="str">
        <x:v>None</x:v>
      </x:c>
      <x:c r="H141" s="9" t="str">
        <x:v>Raw resource: Legger / local storage</x:v>
      </x:c>
      <x:c r="I141" s="13"/>
      <x:c r="J141" s="15"/>
      <x:c r="K141" s="9" t="str">
        <x:v>Megafauna inner wings; collection details TBD</x:v>
      </x:c>
      <x:c r="L141" s="9" t="str">
        <x:v>Prepare/join into shade panels; method and yield undefined</x:v>
      </x:c>
      <x:c r="M141" s="9" t="str">
        <x:v>Not implemented</x:v>
      </x:c>
      <x:c r="N141" s="9" t="str">
        <x:v>Delicate resource; no automatic opacity, heat resistance, structural strength or cloth properties assigned.</x:v>
      </x:c>
      <x:c r="O141" s="17"/>
      <x:c r="P141" s="17"/>
      <x:c r="Q141" s="17"/>
      <x:c r="R141" s="17"/>
      <x:c r="S141" s="17"/>
      <x:c r="T141" s="9" t="str">
        <x:v>Vertical sun-shade material by author direction; value and processing work remain unspecified.</x:v>
      </x:c>
      <x:c r="U141" s="11"/>
      <x:c r="V141" s="9" t="str">
        <x:v>Direct author direction October 14, 2026; Docs/WORLD_BASIS.md#material-culture</x:v>
      </x:c>
    </x:row>
    <x:row r="142" ht="95" customHeight="1">
      <x:c r="A142" s="9" t="str">
        <x:v>proposal.bio.wing_panel</x:v>
      </x:c>
      <x:c r="B142" s="9" t="str">
        <x:v>Prepared wing shade panel</x:v>
      </x:c>
      <x:c r="C142" s="9" t="str">
        <x:v>Crafting components</x:v>
      </x:c>
      <x:c r="D142" s="9" t="str">
        <x:v>Wing material</x:v>
      </x:c>
      <x:c r="E142" s="9" t="str">
        <x:v>New proposal</x:v>
      </x:c>
      <x:c r="F142" s="9" t="str">
        <x:v>Prepared inner-wing material for an assembled vertical sun shade.</x:v>
      </x:c>
      <x:c r="G142" s="9" t="str">
        <x:v>None</x:v>
      </x:c>
      <x:c r="H142" s="9" t="str">
        <x:v>Component carrier eligibility TBD</x:v>
      </x:c>
      <x:c r="I142" s="13"/>
      <x:c r="J142" s="15"/>
      <x:c r="K142" s="9" t="str">
        <x:v>Process delicate inner wings; exact method undecided</x:v>
      </x:c>
      <x:c r="L142" s="9" t="str">
        <x:v>Candidate input for existing popup-camp shade; no recipe authored</x:v>
      </x:c>
      <x:c r="M142" s="9" t="str">
        <x:v>Not implemented</x:v>
      </x:c>
      <x:c r="N142" s="9" t="str">
        <x:v>Panel preparation, joining, frame support and actual shade properties need design; no cloth assumed.</x:v>
      </x:c>
      <x:c r="O142" s="17"/>
      <x:c r="P142" s="17"/>
      <x:c r="Q142" s="17"/>
      <x:c r="R142" s="17"/>
      <x:c r="S142" s="17"/>
      <x:c r="T142" s="9" t="str">
        <x:v>Proposed intermediate product; reuse existing popup-camp item instead of duplicating the deployed shade.</x:v>
      </x:c>
      <x:c r="U142" s="11"/>
      <x:c r="V142" s="9" t="str">
        <x:v>New game proposal derived from author wing-resource direction October 14, 2026</x:v>
      </x:c>
    </x:row>
    <x:row r="143" ht="95" customHeight="1">
      <x:c r="A143" s="9" t="str">
        <x:v>proposal.canister.body_blank</x:v>
      </x:c>
      <x:c r="B143" s="9" t="str">
        <x:v>Canister body blank</x:v>
      </x:c>
      <x:c r="C143" s="9" t="str">
        <x:v>Crafting components</x:v>
      </x:c>
      <x:c r="D143" s="9" t="str">
        <x:v>Canister economy concept</x:v>
      </x:c>
      <x:c r="E143" s="9" t="str">
        <x:v>New proposal</x:v>
      </x:c>
      <x:c r="F143" s="9" t="str">
        <x:v>Unfinished body for specialist assembly</x:v>
      </x:c>
      <x:c r="G143" s="9" t="str">
        <x:v>Unassigned; part/fit ownership TBD</x:v>
      </x:c>
      <x:c r="H143" s="9" t="str">
        <x:v>Resource/component cargo or permitted Booter kit; policy TBD</x:v>
      </x:c>
      <x:c r="I143" s="13"/>
      <x:c r="J143" s="15"/>
      <x:c r="K143" s="9" t="str">
        <x:v>Specialist craft/trade/service candidate; no recipe authored</x:v>
      </x:c>
      <x:c r="L143" s="9" t="str">
        <x:v>Proposed material: Worked metal/alloy choice TBD; shell outer casing possible</x:v>
      </x:c>
      <x:c r="M143" s="9" t="str">
        <x:v>Not implemented</x:v>
      </x:c>
      <x:c r="N143" s="9" t="str">
        <x:v>Personal life-support canister and raw-chemical vessel are distinct service roles</x:v>
      </x:c>
      <x:c r="O143" s="17"/>
      <x:c r="P143" s="17"/>
      <x:c r="Q143" s="17"/>
      <x:c r="R143" s="17"/>
      <x:c r="S143" s="17"/>
      <x:c r="T143" s="9" t="str">
        <x:v>Source explicitly distinguishes body fabrication. Source systems are proposals; precision skill and suitable material may affect value, but no prices or lifetime values assigned.</x:v>
      </x:c>
      <x:c r="U143" s="11"/>
      <x:c r="V143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44" ht="95" customHeight="1">
      <x:c r="A144" s="9" t="str">
        <x:v>proposal.canister.seal_ring</x:v>
      </x:c>
      <x:c r="B144" s="9" t="str">
        <x:v>Replacement seal ring</x:v>
      </x:c>
      <x:c r="C144" s="9" t="str">
        <x:v>Crafting components</x:v>
      </x:c>
      <x:c r="D144" s="9" t="str">
        <x:v>Canister economy concept</x:v>
      </x:c>
      <x:c r="E144" s="9" t="str">
        <x:v>New proposal</x:v>
      </x:c>
      <x:c r="F144" s="9" t="str">
        <x:v>Replaceable fitted sealing part</x:v>
      </x:c>
      <x:c r="G144" s="9" t="str">
        <x:v>Unassigned; part/fit ownership TBD</x:v>
      </x:c>
      <x:c r="H144" s="9" t="str">
        <x:v>Resource/component cargo or permitted Booter kit; policy TBD</x:v>
      </x:c>
      <x:c r="I144" s="13"/>
      <x:c r="J144" s="15"/>
      <x:c r="K144" s="9" t="str">
        <x:v>Specialist craft/trade/service candidate; no recipe authored</x:v>
      </x:c>
      <x:c r="L144" s="9" t="str">
        <x:v>Proposed material: Biological/mineral elastic material candidate; formulation TBD</x:v>
      </x:c>
      <x:c r="M144" s="9" t="str">
        <x:v>Not implemented</x:v>
      </x:c>
      <x:c r="N144" s="9" t="str">
        <x:v>Seal diameter, compound and service must match; ancient synthetic input not universally required</x:v>
      </x:c>
      <x:c r="O144" s="17"/>
      <x:c r="P144" s="17"/>
      <x:c r="Q144" s="17"/>
      <x:c r="R144" s="17"/>
      <x:c r="S144" s="17"/>
      <x:c r="T144" s="9" t="str">
        <x:v>Source explicitly describes replaceable seal systems. Source systems are proposals; precision skill and suitable material may affect value, but no prices or lifetime values assigned.</x:v>
      </x:c>
      <x:c r="U144" s="11"/>
      <x:c r="V144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45" ht="95" customHeight="1">
      <x:c r="A145" s="9" t="str">
        <x:v>proposal.canister.seal_seat</x:v>
      </x:c>
      <x:c r="B145" s="9" t="str">
        <x:v>Fitted seal seat</x:v>
      </x:c>
      <x:c r="C145" s="9" t="str">
        <x:v>Crafting components</x:v>
      </x:c>
      <x:c r="D145" s="9" t="str">
        <x:v>Canister economy concept</x:v>
      </x:c>
      <x:c r="E145" s="9" t="str">
        <x:v>New proposal</x:v>
      </x:c>
      <x:c r="F145" s="9" t="str">
        <x:v>Precision contact surface supporting a seal</x:v>
      </x:c>
      <x:c r="G145" s="9" t="str">
        <x:v>Unassigned; part/fit ownership TBD</x:v>
      </x:c>
      <x:c r="H145" s="9" t="str">
        <x:v>Resource/component cargo or permitted Booter kit; policy TBD</x:v>
      </x:c>
      <x:c r="I145" s="13"/>
      <x:c r="J145" s="15"/>
      <x:c r="K145" s="9" t="str">
        <x:v>Specialist craft/trade/service candidate; no recipe authored</x:v>
      </x:c>
      <x:c r="L145" s="9" t="str">
        <x:v>Proposed material: Worked metal or compatible hard insert TBD</x:v>
      </x:c>
      <x:c r="M145" s="9" t="str">
        <x:v>Not implemented</x:v>
      </x:c>
      <x:c r="N145" s="9" t="str">
        <x:v>A seat supports the seal; not a duplicate compression collar or replacement ring</x:v>
      </x:c>
      <x:c r="O145" s="17"/>
      <x:c r="P145" s="17"/>
      <x:c r="Q145" s="17"/>
      <x:c r="R145" s="17"/>
      <x:c r="S145" s="17"/>
      <x:c r="T145" s="9" t="str">
        <x:v>New explicit part derived from source seal-system precision. Source systems are proposals; precision skill and suitable material may affect value, but no prices or lifetime values assigned.</x:v>
      </x:c>
      <x:c r="U145" s="11"/>
      <x:c r="V145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46" ht="95" customHeight="1">
      <x:c r="A146" s="9" t="str">
        <x:v>proposal.canister.sealant</x:v>
      </x:c>
      <x:c r="B146" s="9" t="str">
        <x:v>Canister joint sealant</x:v>
      </x:c>
      <x:c r="C146" s="9" t="str">
        <x:v>Crafting components</x:v>
      </x:c>
      <x:c r="D146" s="9" t="str">
        <x:v>Canister economy concept</x:v>
      </x:c>
      <x:c r="E146" s="9" t="str">
        <x:v>New proposal</x:v>
      </x:c>
      <x:c r="F146" s="9" t="str">
        <x:v>Prepared compound for compatible joints</x:v>
      </x:c>
      <x:c r="G146" s="9" t="str">
        <x:v>Unassigned; part/fit ownership TBD</x:v>
      </x:c>
      <x:c r="H146" s="9" t="str">
        <x:v>Resource/component cargo or permitted Booter kit; policy TBD</x:v>
      </x:c>
      <x:c r="I146" s="13"/>
      <x:c r="J146" s="15"/>
      <x:c r="K146" s="9" t="str">
        <x:v>Specialist craft/trade/service candidate; no recipe authored</x:v>
      </x:c>
      <x:c r="L146" s="9" t="str">
        <x:v>Proposed material: Compatible biological/mineral binder formulation TBD</x:v>
      </x:c>
      <x:c r="M146" s="9" t="str">
        <x:v>Not implemented</x:v>
      </x:c>
      <x:c r="N146" s="9" t="str">
        <x:v>Not interchangeable with glue, toxic shell binder or a failed pressure seal; exact applications unresolved</x:v>
      </x:c>
      <x:c r="O146" s="17"/>
      <x:c r="P146" s="17"/>
      <x:c r="Q146" s="17"/>
      <x:c r="R146" s="17"/>
      <x:c r="S146" s="17"/>
      <x:c r="T146" s="9" t="str">
        <x:v>Author requests sealant; source describes biological seal compounds. Source systems are proposals; precision skill and suitable material may affect value, but no prices or lifetime values assigned.</x:v>
      </x:c>
      <x:c r="U146" s="11"/>
      <x:c r="V146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47" ht="95" customHeight="1">
      <x:c r="A147" s="9" t="str">
        <x:v>proposal.canister.feed_line</x:v>
      </x:c>
      <x:c r="B147" s="9" t="str">
        <x:v>Feed-line section</x:v>
      </x:c>
      <x:c r="C147" s="9" t="str">
        <x:v>Crafting components</x:v>
      </x:c>
      <x:c r="D147" s="9" t="str">
        <x:v>Canister economy concept</x:v>
      </x:c>
      <x:c r="E147" s="9" t="str">
        <x:v>New proposal</x:v>
      </x:c>
      <x:c r="F147" s="9" t="str">
        <x:v>Replacement contained conduit for a personal canister</x:v>
      </x:c>
      <x:c r="G147" s="9" t="str">
        <x:v>Unassigned; part/fit ownership TBD</x:v>
      </x:c>
      <x:c r="H147" s="9" t="str">
        <x:v>Resource/component cargo or permitted Booter kit; policy TBD</x:v>
      </x:c>
      <x:c r="I147" s="13"/>
      <x:c r="J147" s="15"/>
      <x:c r="K147" s="9" t="str">
        <x:v>Specialist craft/trade/service candidate; no recipe authored</x:v>
      </x:c>
      <x:c r="L147" s="9" t="str">
        <x:v>Proposed material: Flexible biological/mineral component or recovered part TBD</x:v>
      </x:c>
      <x:c r="M147" s="9" t="str">
        <x:v>Not implemented</x:v>
      </x:c>
      <x:c r="N147" s="9" t="str">
        <x:v>No ordinary rubber/cloth or new respiratory system assumed; service and purity matter</x:v>
      </x:c>
      <x:c r="O147" s="17"/>
      <x:c r="P147" s="17"/>
      <x:c r="Q147" s="17"/>
      <x:c r="R147" s="17"/>
      <x:c r="S147" s="17"/>
      <x:c r="T147" s="9" t="str">
        <x:v>Source explicitly describes feed-line routing and material quality. Source systems are proposals; precision skill and suitable material may affect value, but no prices or lifetime values assigned.</x:v>
      </x:c>
      <x:c r="U147" s="11"/>
      <x:c r="V147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48" ht="95" customHeight="1">
      <x:c r="A148" s="9" t="str">
        <x:v>proposal.canister.coupling</x:v>
      </x:c>
      <x:c r="B148" s="9" t="str">
        <x:v>Feed-line coupling</x:v>
      </x:c>
      <x:c r="C148" s="9" t="str">
        <x:v>Crafting components</x:v>
      </x:c>
      <x:c r="D148" s="9" t="str">
        <x:v>Canister economy concept</x:v>
      </x:c>
      <x:c r="E148" s="9" t="str">
        <x:v>New proposal</x:v>
      </x:c>
      <x:c r="F148" s="9" t="str">
        <x:v>Connect a line to a matching canister/interface</x:v>
      </x:c>
      <x:c r="G148" s="9" t="str">
        <x:v>Unassigned; part/fit ownership TBD</x:v>
      </x:c>
      <x:c r="H148" s="9" t="str">
        <x:v>Resource/component cargo or permitted Booter kit; policy TBD</x:v>
      </x:c>
      <x:c r="I148" s="13"/>
      <x:c r="J148" s="15"/>
      <x:c r="K148" s="9" t="str">
        <x:v>Specialist craft/trade/service candidate; no recipe authored</x:v>
      </x:c>
      <x:c r="L148" s="9" t="str">
        <x:v>Proposed material: Machined metal with qualified sealing insert TBD</x:v>
      </x:c>
      <x:c r="M148" s="9" t="str">
        <x:v>Not implemented</x:v>
      </x:c>
      <x:c r="N148" s="9" t="str">
        <x:v>Match intended service; not a generic connector for every toxic liquid</x:v>
      </x:c>
      <x:c r="O148" s="17"/>
      <x:c r="P148" s="17"/>
      <x:c r="Q148" s="17"/>
      <x:c r="R148" s="17"/>
      <x:c r="S148" s="17"/>
      <x:c r="T148" s="9" t="str">
        <x:v>New explicit fitting from source connection systems. Source systems are proposals; precision skill and suitable material may affect value, but no prices or lifetime values assigned.</x:v>
      </x:c>
      <x:c r="U148" s="11"/>
      <x:c r="V148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49" ht="95" customHeight="1">
      <x:c r="A149" s="9" t="str">
        <x:v>proposal.canister.mouthpiece</x:v>
      </x:c>
      <x:c r="B149" s="9" t="str">
        <x:v>Canister mouthpiece interface</x:v>
      </x:c>
      <x:c r="C149" s="9" t="str">
        <x:v>Crafting components</x:v>
      </x:c>
      <x:c r="D149" s="9" t="str">
        <x:v>Canister economy concept</x:v>
      </x:c>
      <x:c r="E149" s="9" t="str">
        <x:v>New proposal</x:v>
      </x:c>
      <x:c r="F149" s="9" t="str">
        <x:v>Personal delivery interface candidate</x:v>
      </x:c>
      <x:c r="G149" s="9" t="str">
        <x:v>Unassigned; part/fit ownership TBD</x:v>
      </x:c>
      <x:c r="H149" s="9" t="str">
        <x:v>Resource/component cargo or permitted Booter kit; policy TBD</x:v>
      </x:c>
      <x:c r="I149" s="13"/>
      <x:c r="J149" s="15"/>
      <x:c r="K149" s="9" t="str">
        <x:v>Specialist craft/trade/service candidate; no recipe authored</x:v>
      </x:c>
      <x:c r="L149" s="9" t="str">
        <x:v>Proposed material: Qualified body-contact material TBD</x:v>
      </x:c>
      <x:c r="M149" s="9" t="str">
        <x:v>Not implemented</x:v>
      </x:c>
      <x:c r="N149" s="9" t="str">
        <x:v>Game algae-use and breathing systems are unchanged; anatomy and hygiene design needed</x:v>
      </x:c>
      <x:c r="O149" s="17"/>
      <x:c r="P149" s="17"/>
      <x:c r="Q149" s="17"/>
      <x:c r="R149" s="17"/>
      <x:c r="S149" s="17"/>
      <x:c r="T149" s="9" t="str">
        <x:v>Source describes mouthpiece/collar interfaces. Source systems are proposals; precision skill and suitable material may affect value, but no prices or lifetime values assigned.</x:v>
      </x:c>
      <x:c r="U149" s="11"/>
      <x:c r="V149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50" ht="95" customHeight="1">
      <x:c r="A150" s="9" t="str">
        <x:v>proposal.canister.window</x:v>
      </x:c>
      <x:c r="B150" s="9" t="str">
        <x:v>Canister viewing-port insert</x:v>
      </x:c>
      <x:c r="C150" s="9" t="str">
        <x:v>Crafting components</x:v>
      </x:c>
      <x:c r="D150" s="9" t="str">
        <x:v>Canister economy concept</x:v>
      </x:c>
      <x:c r="E150" s="9" t="str">
        <x:v>New proposal</x:v>
      </x:c>
      <x:c r="F150" s="9" t="str">
        <x:v>Inspect a compatible interior without opening it</x:v>
      </x:c>
      <x:c r="G150" s="9" t="str">
        <x:v>Unassigned; part/fit ownership TBD</x:v>
      </x:c>
      <x:c r="H150" s="9" t="str">
        <x:v>Resource/component cargo or permitted Booter kit; policy TBD</x:v>
      </x:c>
      <x:c r="I150" s="13"/>
      <x:c r="J150" s="15"/>
      <x:c r="K150" s="9" t="str">
        <x:v>Specialist craft/trade/service candidate; no recipe authored</x:v>
      </x:c>
      <x:c r="L150" s="9" t="str">
        <x:v>Proposed material: Clear glass and fitted retaining seat</x:v>
      </x:c>
      <x:c r="M150" s="9" t="str">
        <x:v>Not implemented</x:v>
      </x:c>
      <x:c r="N150" s="9" t="str">
        <x:v>Clear glass craft cost; no automatic fill sensor, pressure certification or new HUD</x:v>
      </x:c>
      <x:c r="O150" s="17"/>
      <x:c r="P150" s="17"/>
      <x:c r="Q150" s="17"/>
      <x:c r="R150" s="17"/>
      <x:c r="S150" s="17"/>
      <x:c r="T150" s="9" t="str">
        <x:v>Glass source and canister craft describe viewing ports. Source systems are proposals; precision skill and suitable material may affect value, but no prices or lifetime values assigned.</x:v>
      </x:c>
      <x:c r="U150" s="11"/>
      <x:c r="V150" s="9" t="str">
        <x:v>New game item concept October 14, 2026. Source proposal: https://github.com/sleepyseamonster/Arc-Dust/blob/f6f98515c005dc3c73cccd9cbc031691745740c6/02-Arc-Dust-Worldbuilding/world/materials/glass.md</x:v>
      </x:c>
    </x:row>
    <x:row r="151" ht="95" customHeight="1">
      <x:c r="A151" s="9" t="str">
        <x:v>proposal.canister.mount</x:v>
      </x:c>
      <x:c r="B151" s="9" t="str">
        <x:v>Canister mounting bracket</x:v>
      </x:c>
      <x:c r="C151" s="9" t="str">
        <x:v>Crafting components</x:v>
      </x:c>
      <x:c r="D151" s="9" t="str">
        <x:v>Canister economy concept</x:v>
      </x:c>
      <x:c r="E151" s="9" t="str">
        <x:v>New proposal</x:v>
      </x:c>
      <x:c r="F151" s="9" t="str">
        <x:v>Attach one canister to a fitted carrier</x:v>
      </x:c>
      <x:c r="G151" s="9" t="str">
        <x:v>Unassigned; part/fit ownership TBD</x:v>
      </x:c>
      <x:c r="H151" s="9" t="str">
        <x:v>Resource/component cargo or permitted Booter kit; policy TBD</x:v>
      </x:c>
      <x:c r="I151" s="13"/>
      <x:c r="J151" s="15"/>
      <x:c r="K151" s="9" t="str">
        <x:v>Specialist craft/trade/service candidate; no recipe authored</x:v>
      </x:c>
      <x:c r="L151" s="9" t="str">
        <x:v>Proposed material: Metal bracket and retainers</x:v>
      </x:c>
      <x:c r="M151" s="9" t="str">
        <x:v>Not implemented</x:v>
      </x:c>
      <x:c r="N151" s="9" t="str">
        <x:v>Coexist with armor, cloak, backpack, magnets and grounding equipment; no new slot authority</x:v>
      </x:c>
      <x:c r="O151" s="17"/>
      <x:c r="P151" s="17"/>
      <x:c r="Q151" s="17"/>
      <x:c r="R151" s="17"/>
      <x:c r="S151" s="17"/>
      <x:c r="T151" s="9" t="str">
        <x:v>Source explicitly separates fitments from body/seal. Source systems are proposals; precision skill and suitable material may affect value, but no prices or lifetime values assigned.</x:v>
      </x:c>
      <x:c r="U151" s="11"/>
      <x:c r="V151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52" ht="95" customHeight="1">
      <x:c r="A152" s="9" t="str">
        <x:v>proposal.canister.harness</x:v>
      </x:c>
      <x:c r="B152" s="9" t="str">
        <x:v>Fitted canister harness</x:v>
      </x:c>
      <x:c r="C152" s="9" t="str">
        <x:v>Equipment</x:v>
      </x:c>
      <x:c r="D152" s="9" t="str">
        <x:v>Canister economy concept</x:v>
      </x:c>
      <x:c r="E152" s="9" t="str">
        <x:v>New proposal</x:v>
      </x:c>
      <x:c r="F152" s="9" t="str">
        <x:v>Wear a canister in a selected carry arrangement</x:v>
      </x:c>
      <x:c r="G152" s="9" t="str">
        <x:v>Unassigned; part/fit ownership TBD</x:v>
      </x:c>
      <x:c r="H152" s="9" t="str">
        <x:v>Resource/component cargo or permitted Booter kit; policy TBD</x:v>
      </x:c>
      <x:c r="I152" s="13"/>
      <x:c r="J152" s="15"/>
      <x:c r="K152" s="9" t="str">
        <x:v>Specialist craft/trade/service candidate; no recipe authored</x:v>
      </x:c>
      <x:c r="L152" s="9" t="str">
        <x:v>Proposed material: Metal/shell carrier; minimal-fur contact material or difficult husk material proposed</x:v>
      </x:c>
      <x:c r="M152" s="9" t="str">
        <x:v>Not implemented</x:v>
      </x:c>
      <x:c r="N152" s="9" t="str">
        <x:v>Exact harness material and capacities unresolved; no cloth straps or changed trial equipment slots</x:v>
      </x:c>
      <x:c r="O152" s="17"/>
      <x:c r="P152" s="17"/>
      <x:c r="Q152" s="17"/>
      <x:c r="R152" s="17"/>
      <x:c r="S152" s="17"/>
      <x:c r="T152" s="9" t="str">
        <x:v>Source chest/hip/back/cross-body carry styles. Source systems are proposals; precision skill and suitable material may affect value, but no prices or lifetime values assigned.</x:v>
      </x:c>
      <x:c r="U152" s="11"/>
      <x:c r="V152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53" ht="95" customHeight="1">
      <x:c r="A153" s="9" t="str">
        <x:v>proposal.canister.inspection_gauge</x:v>
      </x:c>
      <x:c r="B153" s="9" t="str">
        <x:v>Seal inspection gauge</x:v>
      </x:c>
      <x:c r="C153" s="9" t="str">
        <x:v>Equipment</x:v>
      </x:c>
      <x:c r="D153" s="9" t="str">
        <x:v>Canister economy concept</x:v>
      </x:c>
      <x:c r="E153" s="9" t="str">
        <x:v>New proposal</x:v>
      </x:c>
      <x:c r="F153" s="9" t="str">
        <x:v>Specialist workshop inspection aid</x:v>
      </x:c>
      <x:c r="G153" s="9" t="str">
        <x:v>Unassigned; part/fit ownership TBD</x:v>
      </x:c>
      <x:c r="H153" s="9" t="str">
        <x:v>Resource/component cargo or permitted Booter kit; policy TBD</x:v>
      </x:c>
      <x:c r="I153" s="13"/>
      <x:c r="J153" s="15"/>
      <x:c r="K153" s="9" t="str">
        <x:v>Specialist craft/trade/service candidate; no recipe authored</x:v>
      </x:c>
      <x:c r="L153" s="9" t="str">
        <x:v>Proposed material: Precision metal/glass tool candidate</x:v>
      </x:c>
      <x:c r="M153" s="9" t="str">
        <x:v>Not implemented</x:v>
      </x:c>
      <x:c r="N153" s="9" t="str">
        <x:v>No numerical pressure behavior or mandatory recurring inspection chore introduced</x:v>
      </x:c>
      <x:c r="O153" s="17"/>
      <x:c r="P153" s="17"/>
      <x:c r="Q153" s="17"/>
      <x:c r="R153" s="17"/>
      <x:c r="S153" s="17"/>
      <x:c r="T153" s="9" t="str">
        <x:v>New tool idea inspired by source seal checks/testing. Source systems are proposals; precision skill and suitable material may affect value, but no prices or lifetime values assigned.</x:v>
      </x:c>
      <x:c r="U153" s="11"/>
      <x:c r="V153" s="9" t="str">
        <x:v>New game item concept October 14, 2026. Source proposal: https://github.com/sleepyseamonster/Arc-Dust/blob/f6f98515c005dc3c73cccd9cbc031691745740c6/02-Arc-Dust-Worldbuilding/world/economy/canister/daily-ritual.md</x:v>
      </x:c>
    </x:row>
    <x:row r="154" ht="95" customHeight="1">
      <x:c r="A154" s="9" t="str">
        <x:v>proposal.canister.service_kit</x:v>
      </x:c>
      <x:c r="B154" s="9" t="str">
        <x:v>Canister service kit</x:v>
      </x:c>
      <x:c r="C154" s="9" t="str">
        <x:v>Field supplies</x:v>
      </x:c>
      <x:c r="D154" s="9" t="str">
        <x:v>Canister economy concept</x:v>
      </x:c>
      <x:c r="E154" s="9" t="str">
        <x:v>New proposal</x:v>
      </x:c>
      <x:c r="F154" s="9" t="str">
        <x:v>Carry a selected set of compatible spare seals/fittings</x:v>
      </x:c>
      <x:c r="G154" s="9" t="str">
        <x:v>Unassigned; part/fit ownership TBD</x:v>
      </x:c>
      <x:c r="H154" s="9" t="str">
        <x:v>Resource/component cargo or permitted Booter kit; policy TBD</x:v>
      </x:c>
      <x:c r="I154" s="13"/>
      <x:c r="J154" s="15"/>
      <x:c r="K154" s="9" t="str">
        <x:v>Specialist craft/trade/service candidate; no recipe authored</x:v>
      </x:c>
      <x:c r="L154" s="9" t="str">
        <x:v>Proposed material: Existing candidate parts in a fitted case</x:v>
      </x:c>
      <x:c r="M154" s="9" t="str">
        <x:v>Not implemented</x:v>
      </x:c>
      <x:c r="N154" s="9" t="str">
        <x:v>Bundle contents count once and occupy finite capacity; recipe/quantity and repair action unapproved</x:v>
      </x:c>
      <x:c r="O154" s="17"/>
      <x:c r="P154" s="17"/>
      <x:c r="Q154" s="17"/>
      <x:c r="R154" s="17"/>
      <x:c r="S154" s="17"/>
      <x:c r="T154" s="9" t="str">
        <x:v>Source caravan carry includes repair kits/spare seals. Source systems are proposals; precision skill and suitable material may affect value, but no prices or lifetime values assigned.</x:v>
      </x:c>
      <x:c r="U154" s="11"/>
      <x:c r="V154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55" ht="95" customHeight="1">
      <x:c r="A155" s="9" t="str">
        <x:v>proposal.canister.maker_plate</x:v>
      </x:c>
      <x:c r="B155" s="9" t="str">
        <x:v>Canister maker plate</x:v>
      </x:c>
      <x:c r="C155" s="9" t="str">
        <x:v>Crafting components</x:v>
      </x:c>
      <x:c r="D155" s="9" t="str">
        <x:v>Canister economy concept</x:v>
      </x:c>
      <x:c r="E155" s="9" t="str">
        <x:v>New proposal</x:v>
      </x:c>
      <x:c r="F155" s="9" t="str">
        <x:v>Visible craft provenance or personal decoration</x:v>
      </x:c>
      <x:c r="G155" s="9" t="str">
        <x:v>Unassigned; part/fit ownership TBD</x:v>
      </x:c>
      <x:c r="H155" s="9" t="str">
        <x:v>Resource/component cargo or permitted Booter kit; policy TBD</x:v>
      </x:c>
      <x:c r="I155" s="13"/>
      <x:c r="J155" s="15"/>
      <x:c r="K155" s="9" t="str">
        <x:v>Specialist craft/trade/service candidate; no recipe authored</x:v>
      </x:c>
      <x:c r="L155" s="9" t="str">
        <x:v>Proposed material: Engraved metal; exact format TBD</x:v>
      </x:c>
      <x:c r="M155" s="9" t="str">
        <x:v>Not implemented</x:v>
      </x:c>
      <x:c r="N155" s="9" t="str">
        <x:v>Not functional seal quality, an achievement award or a verified authenticity system by itself</x:v>
      </x:c>
      <x:c r="O155" s="17"/>
      <x:c r="P155" s="17"/>
      <x:c r="Q155" s="17"/>
      <x:c r="R155" s="17"/>
      <x:c r="S155" s="17"/>
      <x:c r="T155" s="9" t="str">
        <x:v>Source guild marks and maker reputation. Source systems are proposals; precision skill and suitable material may affect value, but no prices or lifetime values assigned.</x:v>
      </x:c>
      <x:c r="U155" s="11"/>
      <x:c r="V155" s="9" t="str">
        <x:v>New game item concept October 14, 2026. Source proposal: https://github.com/sleepyseamonster/Arc-Dust/blob/f6f98515c005dc3c73cccd9cbc031691745740c6/02-Arc-Dust-Worldbuilding/world/economy/canister-identity.md</x:v>
      </x:c>
    </x:row>
    <x:row r="156" ht="95" customHeight="1">
      <x:c r="A156" s="9" t="str">
        <x:v>proposal.canister.trim</x:v>
      </x:c>
      <x:c r="B156" s="9" t="str">
        <x:v>Decorative canister panel</x:v>
      </x:c>
      <x:c r="C156" s="9" t="str">
        <x:v>Crafting components</x:v>
      </x:c>
      <x:c r="D156" s="9" t="str">
        <x:v>Canister economy concept</x:v>
      </x:c>
      <x:c r="E156" s="9" t="str">
        <x:v>New proposal</x:v>
      </x:c>
      <x:c r="F156" s="9" t="str">
        <x:v>Nonstructural custom finish candidate</x:v>
      </x:c>
      <x:c r="G156" s="9" t="str">
        <x:v>Unassigned; part/fit ownership TBD</x:v>
      </x:c>
      <x:c r="H156" s="9" t="str">
        <x:v>Resource/component cargo or permitted Booter kit; policy TBD</x:v>
      </x:c>
      <x:c r="I156" s="13"/>
      <x:c r="J156" s="15"/>
      <x:c r="K156" s="9" t="str">
        <x:v>Specialist craft/trade/service candidate; no recipe authored</x:v>
      </x:c>
      <x:c r="L156" s="9" t="str">
        <x:v>Proposed material: Worked metal/shell; fashion-grade inlay optional</x:v>
      </x:c>
      <x:c r="M156" s="9" t="str">
        <x:v>Not implemented</x:v>
      </x:c>
      <x:c r="N156" s="9" t="str">
        <x:v>Decoration remains separate from seal/body functionality; material requirements and price TBD</x:v>
      </x:c>
      <x:c r="O156" s="17"/>
      <x:c r="P156" s="17"/>
      <x:c r="Q156" s="17"/>
      <x:c r="R156" s="17"/>
      <x:c r="S156" s="17"/>
      <x:c r="T156" s="9" t="str">
        <x:v>Source engravings, surface work and identity. Source systems are proposals; precision skill and suitable material may affect value, but no prices or lifetime values assigned.</x:v>
      </x:c>
      <x:c r="U156" s="11"/>
      <x:c r="V156" s="9" t="str">
        <x:v>New game item concept October 14, 2026. Source proposal: https://github.com/sleepyseamonster/Arc-Dust/blob/f6f98515c005dc3c73cccd9cbc031691745740c6/02-Arc-Dust-Worldbuilding/world/economy/canister-identity.md</x:v>
      </x:c>
    </x:row>
    <x:row r="157" ht="95" customHeight="1">
      <x:c r="A157" s="9" t="str">
        <x:v>proposal.canister.endcap</x:v>
      </x:c>
      <x:c r="B157" s="9" t="str">
        <x:v>Canister protective endcap</x:v>
      </x:c>
      <x:c r="C157" s="9" t="str">
        <x:v>Crafting components</x:v>
      </x:c>
      <x:c r="D157" s="9" t="str">
        <x:v>Canister economy concept</x:v>
      </x:c>
      <x:c r="E157" s="9" t="str">
        <x:v>New proposal</x:v>
      </x:c>
      <x:c r="F157" s="9" t="str">
        <x:v>Outer impact/dust guard candidate</x:v>
      </x:c>
      <x:c r="G157" s="9" t="str">
        <x:v>Unassigned; part/fit ownership TBD</x:v>
      </x:c>
      <x:c r="H157" s="9" t="str">
        <x:v>Resource/component cargo or permitted Booter kit; policy TBD</x:v>
      </x:c>
      <x:c r="I157" s="13"/>
      <x:c r="J157" s="15"/>
      <x:c r="K157" s="9" t="str">
        <x:v>Specialist craft/trade/service candidate; no recipe authored</x:v>
      </x:c>
      <x:c r="L157" s="9" t="str">
        <x:v>Proposed material: Cheap shell outer guard or metal form proposed</x:v>
      </x:c>
      <x:c r="M157" s="9" t="str">
        <x:v>Not implemented</x:v>
      </x:c>
      <x:c r="N157" s="9" t="str">
        <x:v>Protective casing is not a pressure seal; no damage/breakage simulation approved</x:v>
      </x:c>
      <x:c r="O157" s="17"/>
      <x:c r="P157" s="17"/>
      <x:c r="Q157" s="17"/>
      <x:c r="R157" s="17"/>
      <x:c r="S157" s="17"/>
      <x:c r="T157" s="9" t="str">
        <x:v>New part inspired by source protective deep-operation casing. Source systems are proposals; precision skill and suitable material may affect value, but no prices or lifetime values assigned.</x:v>
      </x:c>
      <x:c r="U157" s="11"/>
      <x:c r="V157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58" ht="100" customHeight="1">
      <x:c r="A158" s="9" t="str">
        <x:v>proposal.culture.icon</x:v>
      </x:c>
      <x:c r="B158" s="9" t="str">
        <x:v>Preserver icon token</x:v>
      </x:c>
      <x:c r="C158" s="9" t="str">
        <x:v>Cultural objects</x:v>
      </x:c>
      <x:c r="D158" s="9" t="str">
        <x:v>Religious</x:v>
      </x:c>
      <x:c r="E158" s="9" t="str">
        <x:v>New proposal</x:v>
      </x:c>
      <x:c r="F158" s="9" t="str">
        <x:v>Small devotional image carried or displayed</x:v>
      </x:c>
      <x:c r="G158" s="9" t="str">
        <x:v>Unassigned</x:v>
      </x:c>
      <x:c r="H158" s="9" t="str">
        <x:v>Personal kit / local storage eligibility TBD</x:v>
      </x:c>
      <x:c r="I158" s="13"/>
      <x:c r="J158" s="15"/>
      <x:c r="K158" s="9" t="str">
        <x:v>Craft, trade, gift or institutional custody; exact source TBD</x:v>
      </x:c>
      <x:c r="L158" s="9" t="str">
        <x:v>Material candidate: Stamped metal or carved shell</x:v>
      </x:c>
      <x:c r="M158" s="9" t="str">
        <x:v>Not implemented</x:v>
      </x:c>
      <x:c r="N158" s="9" t="str">
        <x:v>Symbolic object; no protective buff</x:v>
      </x:c>
      <x:c r="O158" s="17"/>
      <x:c r="P158" s="17"/>
      <x:c r="Q158" s="17"/>
      <x:c r="R158" s="17"/>
      <x:c r="S158" s="17"/>
      <x:c r="T158" s="9" t="str">
        <x:v>Plain stamped examples could be accessible; fine engraving is prestige work. Faith, political authority, ritual practice and prices remain proposals.</x:v>
      </x:c>
      <x:c r="U158" s="11"/>
      <x:c r="V158" s="9" t="str">
        <x:v>New game proposal inspired by proposal-stage lore: https://github.com/sleepyseamonster/Arc-Dust/blob/f6f98515c005dc3c73cccd9cbc031691745740c6/02-Arc-Dust-Worldbuilding/world/economy/canister/religious-traditions.md</x:v>
      </x:c>
    </x:row>
    <x:row r="159" ht="100" customHeight="1">
      <x:c r="A159" s="9" t="str">
        <x:v>proposal.culture.shrine</x:v>
      </x:c>
      <x:c r="B159" s="9" t="str">
        <x:v>Household shrine plaque</x:v>
      </x:c>
      <x:c r="C159" s="9" t="str">
        <x:v>Cultural objects</x:v>
      </x:c>
      <x:c r="D159" s="9" t="str">
        <x:v>Religious</x:v>
      </x:c>
      <x:c r="E159" s="9" t="str">
        <x:v>New proposal</x:v>
      </x:c>
      <x:c r="F159" s="9" t="str">
        <x:v>Small fixed place for household remembrance and devotion</x:v>
      </x:c>
      <x:c r="G159" s="9" t="str">
        <x:v>Unassigned</x:v>
      </x:c>
      <x:c r="H159" s="9" t="str">
        <x:v>Personal kit / local storage eligibility TBD</x:v>
      </x:c>
      <x:c r="I159" s="13"/>
      <x:c r="J159" s="15"/>
      <x:c r="K159" s="9" t="str">
        <x:v>Craft, trade, gift or institutional custody; exact source TBD</x:v>
      </x:c>
      <x:c r="L159" s="9" t="str">
        <x:v>Material candidate: Shell backing and metal motif</x:v>
      </x:c>
      <x:c r="M159" s="9" t="str">
        <x:v>Not implemented</x:v>
      </x:c>
      <x:c r="N159" s="9" t="str">
        <x:v>Household object; no temple system assumed</x:v>
      </x:c>
      <x:c r="O159" s="17"/>
      <x:c r="P159" s="17"/>
      <x:c r="Q159" s="17"/>
      <x:c r="R159" s="17"/>
      <x:c r="S159" s="17"/>
      <x:c r="T159" s="9" t="str">
        <x:v>Simple versions versus elaborate commissioned pieces. Faith, political authority, ritual practice and prices remain proposals.</x:v>
      </x:c>
      <x:c r="U159" s="11"/>
      <x:c r="V159" s="9" t="str">
        <x:v>New game proposal inspired by proposal-stage lore: https://github.com/sleepyseamonster/Arc-Dust/blob/f6f98515c005dc3c73cccd9cbc031691745740c6/02-Arc-Dust-Worldbuilding/world/economy/canister/religious-traditions.md</x:v>
      </x:c>
    </x:row>
    <x:row r="160" ht="100" customHeight="1">
      <x:c r="A160" s="9" t="str">
        <x:v>proposal.culture.altar_vial</x:v>
      </x:c>
      <x:c r="B160" s="9" t="str">
        <x:v>Altar display vial</x:v>
      </x:c>
      <x:c r="C160" s="9" t="str">
        <x:v>Cultural objects</x:v>
      </x:c>
      <x:c r="D160" s="9" t="str">
        <x:v>Religious</x:v>
      </x:c>
      <x:c r="E160" s="9" t="str">
        <x:v>New proposal</x:v>
      </x:c>
      <x:c r="F160" s="9" t="str">
        <x:v>Ceremonial display of a deliberately contained sacred sample</x:v>
      </x:c>
      <x:c r="G160" s="9" t="str">
        <x:v>Unassigned</x:v>
      </x:c>
      <x:c r="H160" s="9" t="str">
        <x:v>Personal kit / local storage eligibility TBD</x:v>
      </x:c>
      <x:c r="I160" s="13"/>
      <x:c r="J160" s="15"/>
      <x:c r="K160" s="9" t="str">
        <x:v>Craft, trade, gift or institutional custody; exact source TBD</x:v>
      </x:c>
      <x:c r="L160" s="9" t="str">
        <x:v>Material candidate: Fine sealed glass vessel and metal cradle</x:v>
      </x:c>
      <x:c r="M160" s="9" t="str">
        <x:v>Not implemented</x:v>
      </x:c>
      <x:c r="N160" s="9" t="str">
        <x:v>Source altar-vial concept; payload identity and viability unresolved; reuse vessel parts</x:v>
      </x:c>
      <x:c r="O160" s="17"/>
      <x:c r="P160" s="17"/>
      <x:c r="Q160" s="17"/>
      <x:c r="R160" s="17"/>
      <x:c r="S160" s="17"/>
      <x:c r="T160" s="9" t="str">
        <x:v>Fine glass and precision sealing suggest costly craftsmanship. Faith, political authority, ritual practice and prices remain proposals.</x:v>
      </x:c>
      <x:c r="U160" s="11"/>
      <x:c r="V160" s="9" t="str">
        <x:v>New game proposal inspired by proposal-stage lore: https://github.com/sleepyseamonster/Arc-Dust/blob/f6f98515c005dc3c73cccd9cbc031691745740c6/02-Arc-Dust-Worldbuilding/world/economy/canister/religious-traditions.md</x:v>
      </x:c>
    </x:row>
    <x:row r="161" ht="100" customHeight="1">
      <x:c r="A161" s="9" t="str">
        <x:v>proposal.culture.reliquary</x:v>
      </x:c>
      <x:c r="B161" s="9" t="str">
        <x:v>Relic case</x:v>
      </x:c>
      <x:c r="C161" s="9" t="str">
        <x:v>Cultural objects</x:v>
      </x:c>
      <x:c r="D161" s="9" t="str">
        <x:v>Religious</x:v>
      </x:c>
      <x:c r="E161" s="9" t="str">
        <x:v>New proposal</x:v>
      </x:c>
      <x:c r="F161" s="9" t="str">
        <x:v>Protect and display a claimed ancestral relic</x:v>
      </x:c>
      <x:c r="G161" s="9" t="str">
        <x:v>Unassigned</x:v>
      </x:c>
      <x:c r="H161" s="9" t="str">
        <x:v>Personal kit / local storage eligibility TBD</x:v>
      </x:c>
      <x:c r="I161" s="13"/>
      <x:c r="J161" s="15"/>
      <x:c r="K161" s="9" t="str">
        <x:v>Craft, trade, gift or institutional custody; exact source TBD</x:v>
      </x:c>
      <x:c r="L161" s="9" t="str">
        <x:v>Material candidate: Metal or shell case; rare clear window optional</x:v>
      </x:c>
      <x:c r="M161" s="9" t="str">
        <x:v>Not implemented</x:v>
      </x:c>
      <x:c r="N161" s="9" t="str">
        <x:v>A claim of authenticity is not proof or a magical property</x:v>
      </x:c>
      <x:c r="O161" s="17"/>
      <x:c r="P161" s="17"/>
      <x:c r="Q161" s="17"/>
      <x:c r="R161" s="17"/>
      <x:c r="S161" s="17"/>
      <x:c r="T161" s="9" t="str">
        <x:v>Plain keepsake boxes through rare institutional commissions. Faith, political authority, ritual practice and prices remain proposals.</x:v>
      </x:c>
      <x:c r="U161" s="11"/>
      <x:c r="V161" s="9" t="str">
        <x:v>New game proposal inspired by proposal-stage lore: https://github.com/sleepyseamonster/Arc-Dust/blob/f6f98515c005dc3c73cccd9cbc031691745740c6/02-Arc-Dust-Worldbuilding/world/economy/spiritual-economy.md</x:v>
      </x:c>
    </x:row>
    <x:row r="162" ht="100" customHeight="1">
      <x:c r="A162" s="9" t="str">
        <x:v>proposal.culture.prayer_leaf</x:v>
      </x:c>
      <x:c r="B162" s="9" t="str">
        <x:v>Husk-paper prayer leaf</x:v>
      </x:c>
      <x:c r="C162" s="9" t="str">
        <x:v>Cultural objects</x:v>
      </x:c>
      <x:c r="D162" s="9" t="str">
        <x:v>Religious</x:v>
      </x:c>
      <x:c r="E162" s="9" t="str">
        <x:v>New proposal</x:v>
      </x:c>
      <x:c r="F162" s="9" t="str">
        <x:v>Portable prayers or devotional images</x:v>
      </x:c>
      <x:c r="G162" s="9" t="str">
        <x:v>Unassigned</x:v>
      </x:c>
      <x:c r="H162" s="9" t="str">
        <x:v>Personal kit / local storage eligibility TBD</x:v>
      </x:c>
      <x:c r="I162" s="13"/>
      <x:c r="J162" s="15"/>
      <x:c r="K162" s="9" t="str">
        <x:v>Craft, trade, gift or institutional custody; exact source TBD</x:v>
      </x:c>
      <x:c r="L162" s="9" t="str">
        <x:v>Material candidate: Scraped husk-fiber paper and mineral marking medium</x:v>
      </x:c>
      <x:c r="M162" s="9" t="str">
        <x:v>Not implemented</x:v>
      </x:c>
      <x:c r="N162" s="9" t="str">
        <x:v>No ordinary pulp paper or cloth; text and faith acceptance TBD</x:v>
      </x:c>
      <x:c r="O162" s="17"/>
      <x:c r="P162" s="17"/>
      <x:c r="Q162" s="17"/>
      <x:c r="R162" s="17"/>
      <x:c r="S162" s="17"/>
      <x:c r="T162" s="9" t="str">
        <x:v>Paper processing and copying consume scarce skilled work. Faith, political authority, ritual practice and prices remain proposals.</x:v>
      </x:c>
      <x:c r="U162" s="11"/>
      <x:c r="V162" s="9" t="str">
        <x:v>New game proposal inspired by proposal-stage lore: https://github.com/sleepyseamonster/Arc-Dust/blob/f6f98515c005dc3c73cccd9cbc031691745740c6/02-Arc-Dust-Worldbuilding/world/economy/canister/religious-traditions.md</x:v>
      </x:c>
    </x:row>
    <x:row r="163" ht="100" customHeight="1">
      <x:c r="A163" s="9" t="str">
        <x:v>proposal.culture.offering</x:v>
      </x:c>
      <x:c r="B163" s="9" t="str">
        <x:v>Votive shell token</x:v>
      </x:c>
      <x:c r="C163" s="9" t="str">
        <x:v>Cultural objects</x:v>
      </x:c>
      <x:c r="D163" s="9" t="str">
        <x:v>Religious</x:v>
      </x:c>
      <x:c r="E163" s="9" t="str">
        <x:v>New proposal</x:v>
      </x:c>
      <x:c r="F163" s="9" t="str">
        <x:v>Small dedicated offering left at a shrine</x:v>
      </x:c>
      <x:c r="G163" s="9" t="str">
        <x:v>Unassigned</x:v>
      </x:c>
      <x:c r="H163" s="9" t="str">
        <x:v>Personal kit / local storage eligibility TBD</x:v>
      </x:c>
      <x:c r="I163" s="13"/>
      <x:c r="J163" s="15"/>
      <x:c r="K163" s="9" t="str">
        <x:v>Craft, trade, gift or institutional custody; exact source TBD</x:v>
      </x:c>
      <x:c r="L163" s="9" t="str">
        <x:v>Material candidate: Worked shed shell; metal inlay optional</x:v>
      </x:c>
      <x:c r="M163" s="9" t="str">
        <x:v>Not implemented</x:v>
      </x:c>
      <x:c r="N163" s="9" t="str">
        <x:v>New game object idea; no mandatory tithe or survival payment</x:v>
      </x:c>
      <x:c r="O163" s="17"/>
      <x:c r="P163" s="17"/>
      <x:c r="Q163" s="17"/>
      <x:c r="R163" s="17"/>
      <x:c r="S163" s="17"/>
      <x:c r="T163" s="9" t="str">
        <x:v>Simple shell version can be modest; embellished versions expensive. Faith, political authority, ritual practice and prices remain proposals.</x:v>
      </x:c>
      <x:c r="U163" s="11"/>
      <x:c r="V163" s="9" t="str">
        <x:v>New game proposal inspired by proposal-stage lore: https://github.com/sleepyseamonster/Arc-Dust/blob/f6f98515c005dc3c73cccd9cbc031691745740c6/02-Arc-Dust-Worldbuilding/world/economy/spiritual-economy.md</x:v>
      </x:c>
    </x:row>
    <x:row r="164" ht="100" customHeight="1">
      <x:c r="A164" s="9" t="str">
        <x:v>proposal.culture.badge</x:v>
      </x:c>
      <x:c r="B164" s="9" t="str">
        <x:v>Civic office badge</x:v>
      </x:c>
      <x:c r="C164" s="9" t="str">
        <x:v>Cultural objects</x:v>
      </x:c>
      <x:c r="D164" s="9" t="str">
        <x:v>Political / civic</x:v>
      </x:c>
      <x:c r="E164" s="9" t="str">
        <x:v>New proposal</x:v>
      </x:c>
      <x:c r="F164" s="9" t="str">
        <x:v>Visible sign of a delegated public role</x:v>
      </x:c>
      <x:c r="G164" s="9" t="str">
        <x:v>Unassigned</x:v>
      </x:c>
      <x:c r="H164" s="9" t="str">
        <x:v>Personal kit / local storage eligibility TBD</x:v>
      </x:c>
      <x:c r="I164" s="13"/>
      <x:c r="J164" s="15"/>
      <x:c r="K164" s="9" t="str">
        <x:v>Craft, trade, gift or institutional custody; exact source TBD</x:v>
      </x:c>
      <x:c r="L164" s="9" t="str">
        <x:v>Material candidate: Stamped metal or carved shell</x:v>
      </x:c>
      <x:c r="M164" s="9" t="str">
        <x:v>Not implemented</x:v>
      </x:c>
      <x:c r="N164" s="9" t="str">
        <x:v>Office names and authority unresolved; no automatic access rules</x:v>
      </x:c>
      <x:c r="O164" s="17"/>
      <x:c r="P164" s="17"/>
      <x:c r="Q164" s="17"/>
      <x:c r="R164" s="17"/>
      <x:c r="S164" s="17"/>
      <x:c r="T164" s="9" t="str">
        <x:v>Plain office issue or costly ceremonial version. Faith, political authority, ritual practice and prices remain proposals.</x:v>
      </x:c>
      <x:c r="U164" s="11"/>
      <x:c r="V164" s="9" t="str">
        <x:v>New game proposal inspired by proposal-stage lore: https://github.com/sleepyseamonster/Arc-Dust/blob/f6f98515c005dc3c73cccd9cbc031691745740c6/02-Arc-Dust-Worldbuilding/world/economy/civic-contract.md</x:v>
      </x:c>
    </x:row>
    <x:row r="165" ht="100" customHeight="1">
      <x:c r="A165" s="9" t="str">
        <x:v>proposal.culture.stamp</x:v>
      </x:c>
      <x:c r="B165" s="9" t="str">
        <x:v>Official seal stamp</x:v>
      </x:c>
      <x:c r="C165" s="9" t="str">
        <x:v>Cultural objects</x:v>
      </x:c>
      <x:c r="D165" s="9" t="str">
        <x:v>Political / civic</x:v>
      </x:c>
      <x:c r="E165" s="9" t="str">
        <x:v>New proposal</x:v>
      </x:c>
      <x:c r="F165" s="9" t="str">
        <x:v>Mark a record or notice with an office symbol</x:v>
      </x:c>
      <x:c r="G165" s="9" t="str">
        <x:v>Unassigned</x:v>
      </x:c>
      <x:c r="H165" s="9" t="str">
        <x:v>Personal kit / local storage eligibility TBD</x:v>
      </x:c>
      <x:c r="I165" s="13"/>
      <x:c r="J165" s="15"/>
      <x:c r="K165" s="9" t="str">
        <x:v>Craft, trade, gift or institutional custody; exact source TBD</x:v>
      </x:c>
      <x:c r="L165" s="9" t="str">
        <x:v>Material candidate: Engraved metal stamping face</x:v>
      </x:c>
      <x:c r="M165" s="9" t="str">
        <x:v>Not implemented</x:v>
      </x:c>
      <x:c r="N165" s="9" t="str">
        <x:v>Document mark only; distinct from a canister pressure seal</x:v>
      </x:c>
      <x:c r="O165" s="17"/>
      <x:c r="P165" s="17"/>
      <x:c r="Q165" s="17"/>
      <x:c r="R165" s="17"/>
      <x:c r="S165" s="17"/>
      <x:c r="T165" s="9" t="str">
        <x:v>Skilled engraving; actual trade restrictions unresolved. Faith, political authority, ritual practice and prices remain proposals.</x:v>
      </x:c>
      <x:c r="U165" s="11"/>
      <x:c r="V165" s="9" t="str">
        <x:v>New game proposal inspired by proposal-stage lore: https://github.com/sleepyseamonster/Arc-Dust/blob/f6f98515c005dc3c73cccd9cbc031691745740c6/02-Arc-Dust-Worldbuilding/world/economy/civic-contract.md</x:v>
      </x:c>
    </x:row>
    <x:row r="166" ht="100" customHeight="1">
      <x:c r="A166" s="9" t="str">
        <x:v>proposal.culture.register</x:v>
      </x:c>
      <x:c r="B166" s="9" t="str">
        <x:v>Civic register folio</x:v>
      </x:c>
      <x:c r="C166" s="9" t="str">
        <x:v>Cultural objects</x:v>
      </x:c>
      <x:c r="D166" s="9" t="str">
        <x:v>Political / civic</x:v>
      </x:c>
      <x:c r="E166" s="9" t="str">
        <x:v>New proposal</x:v>
      </x:c>
      <x:c r="F166" s="9" t="str">
        <x:v>Record voluntary contributions, membership and commendations</x:v>
      </x:c>
      <x:c r="G166" s="9" t="str">
        <x:v>Unassigned</x:v>
      </x:c>
      <x:c r="H166" s="9" t="str">
        <x:v>Personal kit / local storage eligibility TBD</x:v>
      </x:c>
      <x:c r="I166" s="13"/>
      <x:c r="J166" s="15"/>
      <x:c r="K166" s="9" t="str">
        <x:v>Craft, trade, gift or institutional custody; exact source TBD</x:v>
      </x:c>
      <x:c r="L166" s="9" t="str">
        <x:v>Material candidate: Husk-paper leaves between shell covers</x:v>
      </x:c>
      <x:c r="M166" s="9" t="str">
        <x:v>Not implemented</x:v>
      </x:c>
      <x:c r="N166" s="9" t="str">
        <x:v>Source civic register inspiration; no legal survival obligation or permission gate</x:v>
      </x:c>
      <x:c r="O166" s="17"/>
      <x:c r="P166" s="17"/>
      <x:c r="Q166" s="17"/>
      <x:c r="R166" s="17"/>
      <x:c r="S166" s="17"/>
      <x:c r="T166" s="9" t="str">
        <x:v>Labor-intensive communal record; not assumed universal personal kit. Faith, political authority, ritual practice and prices remain proposals.</x:v>
      </x:c>
      <x:c r="U166" s="11"/>
      <x:c r="V166" s="9" t="str">
        <x:v>New game proposal inspired by proposal-stage lore: https://github.com/sleepyseamonster/Arc-Dust/blob/f6f98515c005dc3c73cccd9cbc031691745740c6/02-Arc-Dust-Worldbuilding/world/economy/civic-contract.md</x:v>
      </x:c>
    </x:row>
    <x:row r="167" ht="100" customHeight="1">
      <x:c r="A167" s="9" t="str">
        <x:v>proposal.culture.notice</x:v>
      </x:c>
      <x:c r="B167" s="9" t="str">
        <x:v>Public notice plate</x:v>
      </x:c>
      <x:c r="C167" s="9" t="str">
        <x:v>Cultural objects</x:v>
      </x:c>
      <x:c r="D167" s="9" t="str">
        <x:v>Political / civic</x:v>
      </x:c>
      <x:c r="E167" s="9" t="str">
        <x:v>New proposal</x:v>
      </x:c>
      <x:c r="F167" s="9" t="str">
        <x:v>Display civic announcements, rules or meeting notices</x:v>
      </x:c>
      <x:c r="G167" s="9" t="str">
        <x:v>Unassigned</x:v>
      </x:c>
      <x:c r="H167" s="9" t="str">
        <x:v>Personal kit / local storage eligibility TBD</x:v>
      </x:c>
      <x:c r="I167" s="13"/>
      <x:c r="J167" s="15"/>
      <x:c r="K167" s="9" t="str">
        <x:v>Craft, trade, gift or institutional custody; exact source TBD</x:v>
      </x:c>
      <x:c r="L167" s="9" t="str">
        <x:v>Material candidate: Incised shell or thin worked metal</x:v>
      </x:c>
      <x:c r="M167" s="9" t="str">
        <x:v>Not implemented</x:v>
      </x:c>
      <x:c r="N167" s="9" t="str">
        <x:v>Government and literacy practices unresolved</x:v>
      </x:c>
      <x:c r="O167" s="17"/>
      <x:c r="P167" s="17"/>
      <x:c r="Q167" s="17"/>
      <x:c r="R167" s="17"/>
      <x:c r="S167" s="17"/>
      <x:c r="T167" s="9" t="str">
        <x:v>Durable reusable public object; exact cost TBD. Faith, political authority, ritual practice and prices remain proposals.</x:v>
      </x:c>
      <x:c r="U167" s="11"/>
      <x:c r="V167" s="9" t="str">
        <x:v>New game proposal inspired by proposal-stage lore: https://github.com/sleepyseamonster/Arc-Dust/blob/f6f98515c005dc3c73cccd9cbc031691745740c6/02-Arc-Dust-Worldbuilding/world/economy/civic-contract.md</x:v>
      </x:c>
    </x:row>
    <x:row r="168" ht="100" customHeight="1">
      <x:c r="A168" s="9" t="str">
        <x:v>proposal.culture.petition</x:v>
      </x:c>
      <x:c r="B168" s="9" t="str">
        <x:v>Petition leaf</x:v>
      </x:c>
      <x:c r="C168" s="9" t="str">
        <x:v>Cultural objects</x:v>
      </x:c>
      <x:c r="D168" s="9" t="str">
        <x:v>Political / civic</x:v>
      </x:c>
      <x:c r="E168" s="9" t="str">
        <x:v>New proposal</x:v>
      </x:c>
      <x:c r="F168" s="9" t="str">
        <x:v>Carry a written request or collective statement</x:v>
      </x:c>
      <x:c r="G168" s="9" t="str">
        <x:v>Unassigned</x:v>
      </x:c>
      <x:c r="H168" s="9" t="str">
        <x:v>Personal kit / local storage eligibility TBD</x:v>
      </x:c>
      <x:c r="I168" s="13"/>
      <x:c r="J168" s="15"/>
      <x:c r="K168" s="9" t="str">
        <x:v>Craft, trade, gift or institutional custody; exact source TBD</x:v>
      </x:c>
      <x:c r="L168" s="9" t="str">
        <x:v>Material candidate: Husk-fiber paper and mineral marks</x:v>
      </x:c>
      <x:c r="M168" s="9" t="str">
        <x:v>Not implemented</x:v>
      </x:c>
      <x:c r="N168" s="9" t="str">
        <x:v>Political disagreement need not imply repression or a named faction</x:v>
      </x:c>
      <x:c r="O168" s="17"/>
      <x:c r="P168" s="17"/>
      <x:c r="Q168" s="17"/>
      <x:c r="R168" s="17"/>
      <x:c r="S168" s="17"/>
      <x:c r="T168" s="9" t="str">
        <x:v>Paper cost and copying effort; no numeric price. Faith, political authority, ritual practice and prices remain proposals.</x:v>
      </x:c>
      <x:c r="U168" s="11"/>
      <x:c r="V168" s="9" t="str">
        <x:v>New game proposal inspired by proposal-stage lore: https://github.com/sleepyseamonster/Arc-Dust/blob/f6f98515c005dc3c73cccd9cbc031691745740c6/02-Arc-Dust-Worldbuilding/world/economy/civic-contract.md</x:v>
      </x:c>
    </x:row>
    <x:row r="169" ht="100" customHeight="1">
      <x:c r="A169" s="9" t="str">
        <x:v>proposal.culture.commendation</x:v>
      </x:c>
      <x:c r="B169" s="9" t="str">
        <x:v>Community service medallion</x:v>
      </x:c>
      <x:c r="C169" s="9" t="str">
        <x:v>Cultural objects</x:v>
      </x:c>
      <x:c r="D169" s="9" t="str">
        <x:v>Political / civic</x:v>
      </x:c>
      <x:c r="E169" s="9" t="str">
        <x:v>New proposal</x:v>
      </x:c>
      <x:c r="F169" s="9" t="str">
        <x:v>Public recognition of voluntary service</x:v>
      </x:c>
      <x:c r="G169" s="9" t="str">
        <x:v>Unassigned</x:v>
      </x:c>
      <x:c r="H169" s="9" t="str">
        <x:v>Personal kit / local storage eligibility TBD</x:v>
      </x:c>
      <x:c r="I169" s="13"/>
      <x:c r="J169" s="15"/>
      <x:c r="K169" s="9" t="str">
        <x:v>Craft, trade, gift or institutional custody; exact source TBD</x:v>
      </x:c>
      <x:c r="L169" s="9" t="str">
        <x:v>Material candidate: Stamped metal; optional fine inlay</x:v>
      </x:c>
      <x:c r="M169" s="9" t="str">
        <x:v>Not implemented</x:v>
      </x:c>
      <x:c r="N169" s="9" t="str">
        <x:v>Not a maker plate; award eligibility and issuing body undefined</x:v>
      </x:c>
      <x:c r="O169" s="17"/>
      <x:c r="P169" s="17"/>
      <x:c r="Q169" s="17"/>
      <x:c r="R169" s="17"/>
      <x:c r="S169" s="17"/>
      <x:c r="T169" s="9" t="str">
        <x:v>Basic award to elaborate exceptional commission. Faith, political authority, ritual practice and prices remain proposals.</x:v>
      </x:c>
      <x:c r="U169" s="11"/>
      <x:c r="V169" s="9" t="str">
        <x:v>New game proposal inspired by proposal-stage lore: https://github.com/sleepyseamonster/Arc-Dust/blob/f6f98515c005dc3c73cccd9cbc031691745740c6/02-Arc-Dust-Worldbuilding/world/economy/civic-contract.md</x:v>
      </x:c>
    </x:row>
    <x:row r="170" ht="100" customHeight="1">
      <x:c r="A170" s="9" t="str">
        <x:v>proposal.culture.pilgrim_die</x:v>
      </x:c>
      <x:c r="B170" s="9" t="str">
        <x:v>Pilgrimage marking die</x:v>
      </x:c>
      <x:c r="C170" s="9" t="str">
        <x:v>Cultural objects</x:v>
      </x:c>
      <x:c r="D170" s="9" t="str">
        <x:v>Ritual</x:v>
      </x:c>
      <x:c r="E170" s="9" t="str">
        <x:v>New proposal</x:v>
      </x:c>
      <x:c r="F170" s="9" t="str">
        <x:v>Apply a sacred-site mark to a suitable record surface</x:v>
      </x:c>
      <x:c r="G170" s="9" t="str">
        <x:v>Unassigned</x:v>
      </x:c>
      <x:c r="H170" s="9" t="str">
        <x:v>Personal kit / local storage eligibility TBD</x:v>
      </x:c>
      <x:c r="I170" s="13"/>
      <x:c r="J170" s="15"/>
      <x:c r="K170" s="9" t="str">
        <x:v>Craft, trade, gift or institutional custody; exact source TBD</x:v>
      </x:c>
      <x:c r="L170" s="9" t="str">
        <x:v>Material candidate: Engraved metal die</x:v>
      </x:c>
      <x:c r="M170" s="9" t="str">
        <x:v>Not implemented</x:v>
      </x:c>
      <x:c r="N170" s="9" t="str">
        <x:v>No hammering on a live vessel assumed; safe application and faith adoption TBD</x:v>
      </x:c>
      <x:c r="O170" s="17"/>
      <x:c r="P170" s="17"/>
      <x:c r="Q170" s="17"/>
      <x:c r="R170" s="17"/>
      <x:c r="S170" s="17"/>
      <x:c r="T170" s="9" t="str">
        <x:v>Specialist institutional tool. Faith, political authority, ritual practice and prices remain proposals.</x:v>
      </x:c>
      <x:c r="U170" s="11"/>
      <x:c r="V170" s="9" t="str">
        <x:v>New game proposal inspired by proposal-stage lore: https://github.com/sleepyseamonster/Arc-Dust/blob/f6f98515c005dc3c73cccd9cbc031691745740c6/02-Arc-Dust-Worldbuilding/world/economy/canister/religious-traditions.md</x:v>
      </x:c>
    </x:row>
    <x:row r="171" ht="100" customHeight="1">
      <x:c r="A171" s="9" t="str">
        <x:v>proposal.culture.memorial</x:v>
      </x:c>
      <x:c r="B171" s="9" t="str">
        <x:v>Memorial name plate</x:v>
      </x:c>
      <x:c r="C171" s="9" t="str">
        <x:v>Cultural objects</x:v>
      </x:c>
      <x:c r="D171" s="9" t="str">
        <x:v>Ritual</x:v>
      </x:c>
      <x:c r="E171" s="9" t="str">
        <x:v>New proposal</x:v>
      </x:c>
      <x:c r="F171" s="9" t="str">
        <x:v>Remember a deceased person or missing traveler</x:v>
      </x:c>
      <x:c r="G171" s="9" t="str">
        <x:v>Unassigned</x:v>
      </x:c>
      <x:c r="H171" s="9" t="str">
        <x:v>Personal kit / local storage eligibility TBD</x:v>
      </x:c>
      <x:c r="I171" s="13"/>
      <x:c r="J171" s="15"/>
      <x:c r="K171" s="9" t="str">
        <x:v>Craft, trade, gift or institutional custody; exact source TBD</x:v>
      </x:c>
      <x:c r="L171" s="9" t="str">
        <x:v>Material candidate: Incised metal or shell</x:v>
      </x:c>
      <x:c r="M171" s="9" t="str">
        <x:v>Not implemented</x:v>
      </x:c>
      <x:c r="N171" s="9" t="str">
        <x:v>Cultural keepsake; no resurrection or supernatural effect</x:v>
      </x:c>
      <x:c r="O171" s="17"/>
      <x:c r="P171" s="17"/>
      <x:c r="Q171" s="17"/>
      <x:c r="R171" s="17"/>
      <x:c r="S171" s="17"/>
      <x:c r="T171" s="9" t="str">
        <x:v>Plain family marker to elaborate memorial commission. Faith, political authority, ritual practice and prices remain proposals.</x:v>
      </x:c>
      <x:c r="U171" s="11"/>
      <x:c r="V171" s="9" t="str">
        <x:v>New game proposal inspired by proposal-stage lore: https://github.com/sleepyseamonster/Arc-Dust/blob/f6f98515c005dc3c73cccd9cbc031691745740c6/02-Arc-Dust-Worldbuilding/world/economy/spiritual-economy.md</x:v>
      </x:c>
    </x:row>
    <x:row r="172" ht="100" customHeight="1">
      <x:c r="A172" s="9" t="str">
        <x:v>proposal.culture.oath_ring</x:v>
      </x:c>
      <x:c r="B172" s="9" t="str">
        <x:v>Oath exchange ring</x:v>
      </x:c>
      <x:c r="C172" s="9" t="str">
        <x:v>Cultural objects</x:v>
      </x:c>
      <x:c r="D172" s="9" t="str">
        <x:v>Ritual</x:v>
      </x:c>
      <x:c r="E172" s="9" t="str">
        <x:v>New proposal</x:v>
      </x:c>
      <x:c r="F172" s="9" t="str">
        <x:v>Exchange a visible token at a vow or commitment</x:v>
      </x:c>
      <x:c r="G172" s="9" t="str">
        <x:v>Unassigned</x:v>
      </x:c>
      <x:c r="H172" s="9" t="str">
        <x:v>Personal kit / local storage eligibility TBD</x:v>
      </x:c>
      <x:c r="I172" s="13"/>
      <x:c r="J172" s="15"/>
      <x:c r="K172" s="9" t="str">
        <x:v>Craft, trade, gift or institutional custody; exact source TBD</x:v>
      </x:c>
      <x:c r="L172" s="9" t="str">
        <x:v>Material candidate: Worked metal; shell inset optional</x:v>
      </x:c>
      <x:c r="M172" s="9" t="str">
        <x:v>Not implemented</x:v>
      </x:c>
      <x:c r="N172" s="9" t="str">
        <x:v>New game ritual proposal; exact marriage or guild customs undecided</x:v>
      </x:c>
      <x:c r="O172" s="17"/>
      <x:c r="P172" s="17"/>
      <x:c r="Q172" s="17"/>
      <x:c r="R172" s="17"/>
      <x:c r="S172" s="17"/>
      <x:c r="T172" s="9" t="str">
        <x:v>Simple bands through expensive engraved work. Faith, political authority, ritual practice and prices remain proposals.</x:v>
      </x:c>
      <x:c r="U172" s="11"/>
      <x:c r="V172" s="9" t="str">
        <x:v>New game proposal inspired by proposal-stage lore: https://github.com/sleepyseamonster/Arc-Dust/blob/f6f98515c005dc3c73cccd9cbc031691745740c6/02-Arc-Dust-Worldbuilding/world/economy/spiritual-economy.md</x:v>
      </x:c>
    </x:row>
    <x:row r="173" ht="100" customHeight="1">
      <x:c r="A173" s="9" t="str">
        <x:v>proposal.culture.milestone</x:v>
      </x:c>
      <x:c r="B173" s="9" t="str">
        <x:v>Life-event charm</x:v>
      </x:c>
      <x:c r="C173" s="9" t="str">
        <x:v>Cultural objects</x:v>
      </x:c>
      <x:c r="D173" s="9" t="str">
        <x:v>Ritual</x:v>
      </x:c>
      <x:c r="E173" s="9" t="str">
        <x:v>New proposal</x:v>
      </x:c>
      <x:c r="F173" s="9" t="str">
        <x:v>Record coming of age, apprenticeship or return</x:v>
      </x:c>
      <x:c r="G173" s="9" t="str">
        <x:v>Unassigned</x:v>
      </x:c>
      <x:c r="H173" s="9" t="str">
        <x:v>Personal kit / local storage eligibility TBD</x:v>
      </x:c>
      <x:c r="I173" s="13"/>
      <x:c r="J173" s="15"/>
      <x:c r="K173" s="9" t="str">
        <x:v>Craft, trade, gift or institutional custody; exact source TBD</x:v>
      </x:c>
      <x:c r="L173" s="9" t="str">
        <x:v>Material candidate: Stamped metal or carved shell</x:v>
      </x:c>
      <x:c r="M173" s="9" t="str">
        <x:v>Not implemented</x:v>
      </x:c>
      <x:c r="N173" s="9" t="str">
        <x:v>Use existing mounts where appropriate; not a new functional canister</x:v>
      </x:c>
      <x:c r="O173" s="17"/>
      <x:c r="P173" s="17"/>
      <x:c r="Q173" s="17"/>
      <x:c r="R173" s="17"/>
      <x:c r="S173" s="17"/>
      <x:c r="T173" s="9" t="str">
        <x:v>Small plain charm to fine engraved keepsake. Faith, political authority, ritual practice and prices remain proposals.</x:v>
      </x:c>
      <x:c r="U173" s="11"/>
      <x:c r="V173" s="9" t="str">
        <x:v>New game proposal inspired by proposal-stage lore: https://github.com/sleepyseamonster/Arc-Dust/blob/f6f98515c005dc3c73cccd9cbc031691745740c6/02-Arc-Dust-Worldbuilding/world/economy/canister/religious-traditions.md</x:v>
      </x:c>
    </x:row>
    <x:row r="174" ht="100" customHeight="1">
      <x:c r="A174" s="9" t="str">
        <x:v>proposal.culture.rattle</x:v>
      </x:c>
      <x:c r="B174" s="9" t="str">
        <x:v>Ceremonial shell rattle</x:v>
      </x:c>
      <x:c r="C174" s="9" t="str">
        <x:v>Cultural objects</x:v>
      </x:c>
      <x:c r="D174" s="9" t="str">
        <x:v>Ritual</x:v>
      </x:c>
      <x:c r="E174" s="9" t="str">
        <x:v>New proposal</x:v>
      </x:c>
      <x:c r="F174" s="9" t="str">
        <x:v>Provide a dry percussive sound for gatherings</x:v>
      </x:c>
      <x:c r="G174" s="9" t="str">
        <x:v>Unassigned</x:v>
      </x:c>
      <x:c r="H174" s="9" t="str">
        <x:v>Personal kit / local storage eligibility TBD</x:v>
      </x:c>
      <x:c r="I174" s="13"/>
      <x:c r="J174" s="15"/>
      <x:c r="K174" s="9" t="str">
        <x:v>Craft, trade, gift or institutional custody; exact source TBD</x:v>
      </x:c>
      <x:c r="L174" s="9" t="str">
        <x:v>Material candidate: Hollow shell with mineral chips and metal fasteners</x:v>
      </x:c>
      <x:c r="M174" s="9" t="str">
        <x:v>Not implemented</x:v>
      </x:c>
      <x:c r="N174" s="9" t="str">
        <x:v>Sound rituals and fauna reactions undecided; no weapon mechanic</x:v>
      </x:c>
      <x:c r="O174" s="17"/>
      <x:c r="P174" s="17"/>
      <x:c r="Q174" s="17"/>
      <x:c r="R174" s="17"/>
      <x:c r="S174" s="17"/>
      <x:c r="T174" s="9" t="str">
        <x:v>Plain community instrument; decorated pieces may be costly. Faith, political authority, ritual practice and prices remain proposals.</x:v>
      </x:c>
      <x:c r="U174" s="11"/>
      <x:c r="V174" s="9" t="str">
        <x:v>New game proposal; author request October 14, 2026</x:v>
      </x:c>
    </x:row>
    <x:row r="175" ht="100" customHeight="1">
      <x:c r="A175" s="9" t="str">
        <x:v>proposal.culture.gift_case</x:v>
      </x:c>
      <x:c r="B175" s="9" t="str">
        <x:v>Ceremonial gift case</x:v>
      </x:c>
      <x:c r="C175" s="9" t="str">
        <x:v>Cultural objects</x:v>
      </x:c>
      <x:c r="D175" s="9" t="str">
        <x:v>Ritual</x:v>
      </x:c>
      <x:c r="E175" s="9" t="str">
        <x:v>New proposal</x:v>
      </x:c>
      <x:c r="F175" s="9" t="str">
        <x:v>Present and retain a life-event gift</x:v>
      </x:c>
      <x:c r="G175" s="9" t="str">
        <x:v>Unassigned</x:v>
      </x:c>
      <x:c r="H175" s="9" t="str">
        <x:v>Personal kit / local storage eligibility TBD</x:v>
      </x:c>
      <x:c r="I175" s="13"/>
      <x:c r="J175" s="15"/>
      <x:c r="K175" s="9" t="str">
        <x:v>Craft, trade, gift or institutional custody; exact source TBD</x:v>
      </x:c>
      <x:c r="L175" s="9" t="str">
        <x:v>Material candidate: Fitted shell or worked metal; minimal lining if needed</x:v>
      </x:c>
      <x:c r="M175" s="9" t="str">
        <x:v>Not implemented</x:v>
      </x:c>
      <x:c r="N175" s="9" t="str">
        <x:v>Reuse existing box/container family as craft basis; contents counted separately</x:v>
      </x:c>
      <x:c r="O175" s="17"/>
      <x:c r="P175" s="17"/>
      <x:c r="Q175" s="17"/>
      <x:c r="R175" s="17"/>
      <x:c r="S175" s="17"/>
      <x:c r="T175" s="9" t="str">
        <x:v>Labor-intensive fitted finish differentiates it from basic storage. Faith, political authority, ritual practice and prices remain proposals.</x:v>
      </x:c>
      <x:c r="U175" s="11"/>
      <x:c r="V175" s="9" t="str">
        <x:v>New game proposal inspired by proposal-stage lore: https://github.com/sleepyseamonster/Arc-Dust/blob/f6f98515c005dc3c73cccd9cbc031691745740c6/02-Arc-Dust-Worldbuilding/world/economy/canister/religious-traditions.md</x:v>
      </x:c>
    </x:row>
    <x:row r="176" ht="100" customHeight="1">
      <x:c r="A176" s="9" t="str">
        <x:v>proposal.culture.bowl</x:v>
      </x:c>
      <x:c r="B176" s="9" t="str">
        <x:v>Everyday shell bowl</x:v>
      </x:c>
      <x:c r="C176" s="9" t="str">
        <x:v>Everyday objects</x:v>
      </x:c>
      <x:c r="D176" s="9" t="str">
        <x:v>Everyday household</x:v>
      </x:c>
      <x:c r="E176" s="9" t="str">
        <x:v>New proposal</x:v>
      </x:c>
      <x:c r="F176" s="9" t="str">
        <x:v>Hold an algae meal or sorted small goods</x:v>
      </x:c>
      <x:c r="G176" s="9" t="str">
        <x:v>Unassigned</x:v>
      </x:c>
      <x:c r="H176" s="9" t="str">
        <x:v>Personal kit / local storage eligibility TBD</x:v>
      </x:c>
      <x:c r="I176" s="13"/>
      <x:c r="J176" s="15"/>
      <x:c r="K176" s="9" t="str">
        <x:v>Craft, trade, gift or institutional custody; exact source TBD</x:v>
      </x:c>
      <x:c r="L176" s="9" t="str">
        <x:v>Material candidate: Prepared shell; safe metal version possible</x:v>
      </x:c>
      <x:c r="M176" s="9" t="str">
        <x:v>Not implemented</x:v>
      </x:c>
      <x:c r="N176" s="9" t="str">
        <x:v>Shell must be assessed for toxic residues; no assumed water supply</x:v>
      </x:c>
      <x:c r="O176" s="17"/>
      <x:c r="P176" s="17"/>
      <x:c r="Q176" s="17"/>
      <x:c r="R176" s="17"/>
      <x:c r="S176" s="17"/>
      <x:c r="T176" s="9" t="str">
        <x:v>Cheap raw shell; food-contact preparation has its own cost. Faith, political authority, ritual practice and prices remain proposals.</x:v>
      </x:c>
      <x:c r="U176" s="11"/>
      <x:c r="V176" s="9" t="str">
        <x:v>New game proposal; author request October 14, 2026</x:v>
      </x:c>
    </x:row>
    <x:row r="177" ht="100" customHeight="1">
      <x:c r="A177" s="9" t="str">
        <x:v>proposal.culture.spoon</x:v>
      </x:c>
      <x:c r="B177" s="9" t="str">
        <x:v>Algae spoon / scraper</x:v>
      </x:c>
      <x:c r="C177" s="9" t="str">
        <x:v>Everyday objects</x:v>
      </x:c>
      <x:c r="D177" s="9" t="str">
        <x:v>Everyday household</x:v>
      </x:c>
      <x:c r="E177" s="9" t="str">
        <x:v>New proposal</x:v>
      </x:c>
      <x:c r="F177" s="9" t="str">
        <x:v>Eat or scrape a contained algae portion</x:v>
      </x:c>
      <x:c r="G177" s="9" t="str">
        <x:v>Unassigned</x:v>
      </x:c>
      <x:c r="H177" s="9" t="str">
        <x:v>Personal kit / local storage eligibility TBD</x:v>
      </x:c>
      <x:c r="I177" s="13"/>
      <x:c r="J177" s="15"/>
      <x:c r="K177" s="9" t="str">
        <x:v>Craft, trade, gift or institutional custody; exact source TBD</x:v>
      </x:c>
      <x:c r="L177" s="9" t="str">
        <x:v>Material candidate: Formed metal or prepared shell</x:v>
      </x:c>
      <x:c r="M177" s="9" t="str">
        <x:v>Not implemented</x:v>
      </x:c>
      <x:c r="N177" s="9" t="str">
        <x:v>Food-safe finish TBD; no duplicate algae supply</x:v>
      </x:c>
      <x:c r="O177" s="17"/>
      <x:c r="P177" s="17"/>
      <x:c r="Q177" s="17"/>
      <x:c r="R177" s="17"/>
      <x:c r="S177" s="17"/>
      <x:c r="T177" s="9" t="str">
        <x:v>Practical simple tool; workmanship and material determine value. Faith, political authority, ritual practice and prices remain proposals.</x:v>
      </x:c>
      <x:c r="U177" s="11"/>
      <x:c r="V177" s="9" t="str">
        <x:v>New game proposal; author request October 14, 2026</x:v>
      </x:c>
    </x:row>
    <x:row r="178" ht="100" customHeight="1">
      <x:c r="A178" s="9" t="str">
        <x:v>proposal.culture.brush</x:v>
      </x:c>
      <x:c r="B178" s="9" t="str">
        <x:v>Dust brush</x:v>
      </x:c>
      <x:c r="C178" s="9" t="str">
        <x:v>Everyday objects</x:v>
      </x:c>
      <x:c r="D178" s="9" t="str">
        <x:v>Everyday household</x:v>
      </x:c>
      <x:c r="E178" s="9" t="str">
        <x:v>New proposal</x:v>
      </x:c>
      <x:c r="F178" s="9" t="str">
        <x:v>Sweep dust from possessions and living areas</x:v>
      </x:c>
      <x:c r="G178" s="9" t="str">
        <x:v>Unassigned</x:v>
      </x:c>
      <x:c r="H178" s="9" t="str">
        <x:v>Personal kit / local storage eligibility TBD</x:v>
      </x:c>
      <x:c r="I178" s="13"/>
      <x:c r="J178" s="15"/>
      <x:c r="K178" s="9" t="str">
        <x:v>Craft, trade, gift or institutional custody; exact source TBD</x:v>
      </x:c>
      <x:c r="L178" s="9" t="str">
        <x:v>Material candidate: Selected fauna bristles in a shell/metal head</x:v>
      </x:c>
      <x:c r="M178" s="9" t="str">
        <x:v>Not implemented</x:v>
      </x:c>
      <x:c r="N178" s="9" t="str">
        <x:v>Bristle safety and assembly unresolved; no cloth required</x:v>
      </x:c>
      <x:c r="O178" s="17"/>
      <x:c r="P178" s="17"/>
      <x:c r="Q178" s="17"/>
      <x:c r="R178" s="17"/>
      <x:c r="S178" s="17"/>
      <x:c r="T178" s="9" t="str">
        <x:v>Raw bristles and finished brush have separate value. Faith, political authority, ritual practice and prices remain proposals.</x:v>
      </x:c>
      <x:c r="U178" s="11"/>
      <x:c r="V178" s="9" t="str">
        <x:v>New game proposal; author request October 14, 2026</x:v>
      </x:c>
    </x:row>
    <x:row r="179" ht="100" customHeight="1">
      <x:c r="A179" s="9" t="str">
        <x:v>proposal.culture.comb</x:v>
      </x:c>
      <x:c r="B179" s="9" t="str">
        <x:v>Shell comb</x:v>
      </x:c>
      <x:c r="C179" s="9" t="str">
        <x:v>Everyday objects</x:v>
      </x:c>
      <x:c r="D179" s="9" t="str">
        <x:v>Everyday household</x:v>
      </x:c>
      <x:c r="E179" s="9" t="str">
        <x:v>New proposal</x:v>
      </x:c>
      <x:c r="F179" s="9" t="str">
        <x:v>Personal grooming</x:v>
      </x:c>
      <x:c r="G179" s="9" t="str">
        <x:v>Unassigned</x:v>
      </x:c>
      <x:c r="H179" s="9" t="str">
        <x:v>Personal kit / local storage eligibility TBD</x:v>
      </x:c>
      <x:c r="I179" s="13"/>
      <x:c r="J179" s="15"/>
      <x:c r="K179" s="9" t="str">
        <x:v>Craft, trade, gift or institutional custody; exact source TBD</x:v>
      </x:c>
      <x:c r="L179" s="9" t="str">
        <x:v>Material candidate: Carved shell or metal</x:v>
      </x:c>
      <x:c r="M179" s="9" t="str">
        <x:v>Not implemented</x:v>
      </x:c>
      <x:c r="N179" s="9" t="str">
        <x:v>No fur textile input or clothing slot implied</x:v>
      </x:c>
      <x:c r="O179" s="17"/>
      <x:c r="P179" s="17"/>
      <x:c r="Q179" s="17"/>
      <x:c r="R179" s="17"/>
      <x:c r="S179" s="17"/>
      <x:c r="T179" s="9" t="str">
        <x:v>Simple cheap-material craft; elaborate fine-tooth versions possible. Faith, political authority, ritual practice and prices remain proposals.</x:v>
      </x:c>
      <x:c r="U179" s="11"/>
      <x:c r="V179" s="9" t="str">
        <x:v>New game proposal; author request October 14, 2026</x:v>
      </x:c>
    </x:row>
    <x:row r="180" ht="100" customHeight="1">
      <x:c r="A180" s="9" t="str">
        <x:v>proposal.culture.tablet</x:v>
      </x:c>
      <x:c r="B180" s="9" t="str">
        <x:v>Reusable tally tablet</x:v>
      </x:c>
      <x:c r="C180" s="9" t="str">
        <x:v>Everyday objects</x:v>
      </x:c>
      <x:c r="D180" s="9" t="str">
        <x:v>Everyday household</x:v>
      </x:c>
      <x:c r="E180" s="9" t="str">
        <x:v>New proposal</x:v>
      </x:c>
      <x:c r="F180" s="9" t="str">
        <x:v>Practice marks, keep counts or leave short messages</x:v>
      </x:c>
      <x:c r="G180" s="9" t="str">
        <x:v>Unassigned</x:v>
      </x:c>
      <x:c r="H180" s="9" t="str">
        <x:v>Personal kit / local storage eligibility TBD</x:v>
      </x:c>
      <x:c r="I180" s="13"/>
      <x:c r="J180" s="15"/>
      <x:c r="K180" s="9" t="str">
        <x:v>Craft, trade, gift or institutional custody; exact source TBD</x:v>
      </x:c>
      <x:c r="L180" s="9" t="str">
        <x:v>Material candidate: Incised shell or soft mineral plate</x:v>
      </x:c>
      <x:c r="M180" s="9" t="str">
        <x:v>Not implemented</x:v>
      </x:c>
      <x:c r="N180" s="9" t="str">
        <x:v>Writing method must match surface; not an electronic tablet</x:v>
      </x:c>
      <x:c r="O180" s="17"/>
      <x:c r="P180" s="17"/>
      <x:c r="Q180" s="17"/>
      <x:c r="R180" s="17"/>
      <x:c r="S180" s="17"/>
      <x:c r="T180" s="9" t="str">
        <x:v>Paper-saving reusable surface; exact erasability TBD. Faith, political authority, ritual practice and prices remain proposals.</x:v>
      </x:c>
      <x:c r="U180" s="11"/>
      <x:c r="V180" s="9" t="str">
        <x:v>New game proposal; author request October 14, 2026</x:v>
      </x:c>
    </x:row>
    <x:row r="181" ht="100" customHeight="1">
      <x:c r="A181" s="9" t="str">
        <x:v>proposal.culture.stylus</x:v>
      </x:c>
      <x:c r="B181" s="9" t="str">
        <x:v>Marking stylus</x:v>
      </x:c>
      <x:c r="C181" s="9" t="str">
        <x:v>Everyday objects</x:v>
      </x:c>
      <x:c r="D181" s="9" t="str">
        <x:v>Everyday household</x:v>
      </x:c>
      <x:c r="E181" s="9" t="str">
        <x:v>New proposal</x:v>
      </x:c>
      <x:c r="F181" s="9" t="str">
        <x:v>Incise compatible tablets, labels or simple designs</x:v>
      </x:c>
      <x:c r="G181" s="9" t="str">
        <x:v>Unassigned</x:v>
      </x:c>
      <x:c r="H181" s="9" t="str">
        <x:v>Personal kit / local storage eligibility TBD</x:v>
      </x:c>
      <x:c r="I181" s="13"/>
      <x:c r="J181" s="15"/>
      <x:c r="K181" s="9" t="str">
        <x:v>Craft, trade, gift or institutional custody; exact source TBD</x:v>
      </x:c>
      <x:c r="L181" s="9" t="str">
        <x:v>Material candidate: Worked metal point in a shell/metal grip</x:v>
      </x:c>
      <x:c r="M181" s="9" t="str">
        <x:v>Not implemented</x:v>
      </x:c>
      <x:c r="N181" s="9" t="str">
        <x:v>No ink chemistry or universal writing compatibility assumed</x:v>
      </x:c>
      <x:c r="O181" s="17"/>
      <x:c r="P181" s="17"/>
      <x:c r="Q181" s="17"/>
      <x:c r="R181" s="17"/>
      <x:c r="S181" s="17"/>
      <x:c r="T181" s="9" t="str">
        <x:v>Simple durable tool; fine engraving tools are separate specialist grades. Faith, political authority, ritual practice and prices remain proposals.</x:v>
      </x:c>
      <x:c r="U181" s="11"/>
      <x:c r="V181" s="9" t="str">
        <x:v>New game proposal; author request October 14, 2026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2">
    <x:dataValidation type="list" sqref="C6:C23">
      <x:formula1>"Equipment,Field supplies,Resources,Crafting components,Weapons,Ammunition,Quest items,Trade goods"</x:formula1>
    </x:dataValidation>
    <x:dataValidation type="list" sqref="C96:C111">
      <x:formula1>"Equipment,Field supplies,Resources,Crafting components,Containers,Weapons,Ammunition,Quest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312667e2254ae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aaca4e4c034246d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b3dfa8e5dad0413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27</x:v>
      </x:c>
      <x:c r="C6" s="9" t="str">
        <x:v>Existing gear plus armor, carriers, rare eyewear/headwear and very rare fashion families</x:v>
      </x:c>
      <x:c r="D6" s="9" t="str">
        <x:v>New equipment concepts have no implemented slots, effects or layering rules</x:v>
      </x:c>
    </x:row>
    <x:row r="7" ht="48" customHeight="1">
      <x:c r="A7" s="4" t="str">
        <x:v>Field supplies</x:v>
      </x:c>
      <x:c r="B7" s="4" t="n">
        <x:f>COUNTIF(Items!$C$6:$C$1005,A7)</x:f>
        <x:v>4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77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27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1 named candidate; design deferred</x:v>
      </x:c>
      <x:c r="C12" s="9" t="str">
        <x:v>Caltrops; four future specialized-purpose weapon lanes</x:v>
      </x:c>
      <x:c r="D12" s="9" t="str">
        <x:v>Offensive weapons, defensive weapons, traps and trip-ups. No ammunition roster defined.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  <x:row r="16" ht="70" customHeight="1">
      <x:c r="A16" s="41" t="str">
        <x:v>Containers</x:v>
      </x:c>
      <x:c r="B16" s="41" t="n">
        <x:f>COUNTIF(Items!$C$6:$C$1005,A16)</x:f>
        <x:v>16</x:v>
      </x:c>
      <x:c r="C16" s="41" t="str">
        <x:v>Primary vessels, protective carriers, transfer glassware and closures</x:v>
      </x:c>
      <x:c r="D16" s="41" t="str">
        <x:v>16 proposals; form distinguishes actual vessels from boxes, tools and the possible fixed chest</x:v>
      </x:c>
    </x:row>
    <x:row r="17" ht="60" customHeight="1">
      <x:c r="A17" s="4" t="str">
        <x:v>Offensive weapons</x:v>
      </x:c>
      <x:c r="B17" s="4" t="n">
        <x:f>COUNTIFS(Items!$C$6:$C$1005,"Weapons",Items!$D$6:$D$1005,A17)</x:f>
        <x:v>0</x:v>
      </x:c>
      <x:c r="C17" s="4" t="str">
        <x:v>Reserved category; no named item added</x:v>
      </x:c>
      <x:c r="D17" s="4" t="str">
        <x:v>Specialized purpose and detailed brainstorming deferred</x:v>
      </x:c>
    </x:row>
    <x:row r="18" ht="60" customHeight="1">
      <x:c r="A18" s="4" t="str">
        <x:v>Defensive weapons</x:v>
      </x:c>
      <x:c r="B18" s="4" t="n">
        <x:f>COUNTIFS(Items!$C$6:$C$1005,"Weapons",Items!$D$6:$D$1005,A18)</x:f>
        <x:v>0</x:v>
      </x:c>
      <x:c r="C18" s="4" t="str">
        <x:v>Reserved category; existing shield concept remains in Equipment</x:v>
      </x:c>
      <x:c r="D18" s="4" t="str">
        <x:v>No duplicate shield item or new defensive weapon added</x:v>
      </x:c>
    </x:row>
    <x:row r="19" ht="60" customHeight="1">
      <x:c r="A19" s="4" t="str">
        <x:v>Traps</x:v>
      </x:c>
      <x:c r="B19" s="4" t="n">
        <x:f>COUNTIFS(Items!$C$6:$C$1005,"Weapons",Items!$D$6:$D$1005,A19)</x:f>
        <x:v>0</x:v>
      </x:c>
      <x:c r="C19" s="4" t="str">
        <x:v>Reserved category; no named trap added</x:v>
      </x:c>
      <x:c r="D19" s="4" t="str">
        <x:v>Targets, trigger, recovery and mechanics deferred</x:v>
      </x:c>
    </x:row>
    <x:row r="20" ht="60" customHeight="1">
      <x:c r="A20" s="4" t="str">
        <x:v>Trip-ups</x:v>
      </x:c>
      <x:c r="B20" s="4" t="n">
        <x:f>COUNTIFS(Items!$C$6:$C$1005,"Weapons",Items!$D$6:$D$1005,A20)</x:f>
        <x:v>1</x:v>
      </x:c>
      <x:c r="C20" s="4" t="str">
        <x:v>Caltrops is the first named candidate</x:v>
      </x:c>
      <x:c r="D20" s="4" t="str">
        <x:v>No damage, recipe, deployment or target compatibility established</x:v>
      </x:c>
    </x:row>
    <x:row r="21" ht="65" customHeight="1">
      <x:c r="A21" s="4" t="str">
        <x:v>Ancient technology materials</x:v>
      </x:c>
      <x:c r="B21" s="4" t="n">
        <x:f>COUNTIFS(Items!$C$6:$C$1005,"Resources",Items!$D$6:$D$1005,"Ancient manufactured material")</x:f>
        <x:v>3</x:v>
      </x:c>
      <x:c r="C21" s="4" t="str">
        <x:v>Carbon composites, nanocarbon materials, plasteels and related futuristic substances</x:v>
      </x:c>
      <x:c r="D21" s="4" t="str">
        <x:v>Extremely rare; source of material does not establish repeatable manufacture</x:v>
      </x:c>
    </x:row>
    <x:row r="22" ht="75" customHeight="1">
      <x:c r="A22" s="4" t="str">
        <x:v>Fashion, hats and eyewear</x:v>
      </x:c>
      <x:c r="B22" s="4" t="n">
        <x:f>COUNTIF(Items!$D$6:$D$1005,"Specialist eyewear")+COUNTIF(Items!$D$6:$D$1005,"Eyewear")+COUNTIF(Items!$D$6:$D$1005,"Headwear")+COUNTIF(Items!$D$6:$D$1005,"Fashion garment")</x:f>
        <x:v>6</x:v>
      </x:c>
      <x:c r="C22" s="4" t="str">
        <x:v>Six rare eyewear/headwear and elaborate fashion families</x:v>
      </x:c>
      <x:c r="D22" s="4" t="str">
        <x:v>Elaborate fashion is very rare/expensive; everyday simple wraps and chainmail are a separate baseline.</x:v>
      </x:c>
    </x:row>
    <x:row r="23" ht="75" customHeight="1">
      <x:c r="A23" s="4" t="str">
        <x:v>Gemstones</x:v>
      </x:c>
      <x:c r="B23" s="4" t="n">
        <x:f>COUNTIF(Items!$D$6:$D$1005,"Gemstone concept")</x:f>
        <x:v>8</x:v>
      </x:c>
      <x:c r="C23" s="4" t="str">
        <x:v>Eight proposed mineral families: clear/smoky quartz, garnet, spinel, peridot, corundum, tourmaline and zircon</x:v>
      </x:c>
      <x:c r="D23" s="4" t="str">
        <x:v>Existence accepted; species, deposits, grades, cutting, rarity and uses remain proposed.</x:v>
      </x:c>
    </x:row>
    <x:row r="24" ht="75" customHeight="1">
      <x:c r="A24" s="4" t="str">
        <x:v>Everyday clothing</x:v>
      </x:c>
      <x:c r="B24" s="4" t="n">
        <x:f>COUNTIF(Items!$D$6:$D$1005,"Everyday clothing")+COUNTIF(Items!$A$6:$A$1005,"proposal.gear.mail_shirt")</x:f>
        <x:v>2</x:v>
      </x:c>
      <x:c r="C24" s="4" t="str">
        <x:v>Simple wraps, metal chainmail and practical metal-based wear with minimal fur</x:v>
      </x:c>
      <x:c r="D24" s="4" t="str">
        <x:v>Chainmail already has an item-family entry; no duplicate mail item or cloth input added.</x:v>
      </x:c>
    </x:row>
    <x:row r="25" ht="85" customHeight="1">
      <x:c r="A25" s="4" t="str">
        <x:v>Canister economy</x:v>
      </x:c>
      <x:c r="B25" s="4" t="n">
        <x:f>COUNTIF(Items!$D$6:$D$1005,"Canister economy concept")</x:f>
        <x:v>15</x:v>
      </x:c>
      <x:c r="C25" s="4" t="str">
        <x:v>Bodies, seals, seats, sealant, lines, couplings, mouthpieces, viewing inserts, mounts, harnesses, inspection/service and identity pieces</x:v>
      </x:c>
      <x:c r="D25" s="4" t="str">
        <x:v>15 new proposals from source canister craft/carry/ritual records; no automatic air-reserve or maintenance simulation.</x:v>
      </x:c>
    </x:row>
    <x:row r="26" ht="85" customHeight="1">
      <x:c r="A26" s="4" t="str">
        <x:v>Megafauna wing materials</x:v>
      </x:c>
      <x:c r="B26" s="4" t="n">
        <x:f>COUNTIF(Items!$D$6:$D$1005,"Wing material")</x:f>
        <x:v>2</x:v>
      </x:c>
      <x:c r="C26" s="4" t="str">
        <x:v>Delicate inner wings and proposed prepared shade panels</x:v>
      </x:c>
      <x:c r="D26" s="4" t="str">
        <x:v>Vertical shade uses the existing popup-camp family. Ordinary shells separately become cheap bulk resource.</x:v>
      </x:c>
    </x:row>
    <x:row r="27" ht="85" customHeight="1">
      <x:c r="A27" s="4" t="str">
        <x:v>Religious objects</x:v>
      </x:c>
      <x:c r="B27" s="4" t="n">
        <x:f>COUNTIF(Items!$D$6:$D$1005,"Religious")</x:f>
        <x:v>6</x:v>
      </x:c>
      <x:c r="C27" s="4" t="str">
        <x:v>Icons, shrine plaques, altar vials, relic cases, prayer leaves and votive tokens</x:v>
      </x:c>
      <x:c r="D27" s="4" t="str">
        <x:v>All six are game proposals; source faith records are proposal-stage.</x:v>
      </x:c>
    </x:row>
    <x:row r="28" ht="85" customHeight="1">
      <x:c r="A28" s="4" t="str">
        <x:v>Political / civic objects</x:v>
      </x:c>
      <x:c r="B28" s="4" t="n">
        <x:f>COUNTIF(Items!$D$6:$D$1005,"Political / civic")</x:f>
        <x:v>6</x:v>
      </x:c>
      <x:c r="C28" s="4" t="str">
        <x:v>Office badges, seal stamps, registers, notices, petitions and service medallions</x:v>
      </x:c>
      <x:c r="D28" s="4" t="str">
        <x:v>Institutions, rights and public roles remain undecided.</x:v>
      </x:c>
    </x:row>
    <x:row r="29" ht="85" customHeight="1">
      <x:c r="A29" s="4" t="str">
        <x:v>Ritual objects</x:v>
      </x:c>
      <x:c r="B29" s="4" t="n">
        <x:f>COUNTIF(Items!$D$6:$D$1005,"Ritual")</x:f>
        <x:v>6</x:v>
      </x:c>
      <x:c r="C29" s="4" t="str">
        <x:v>Pilgrimage dies, memorial plates, oath rings, milestone charms, rattles and gift cases</x:v>
      </x:c>
      <x:c r="D29" s="4" t="str">
        <x:v>Objects of ceremony and memory; no automatic supernatural effects.</x:v>
      </x:c>
    </x:row>
    <x:row r="30" ht="85" customHeight="1">
      <x:c r="A30" s="4" t="str">
        <x:v>Everyday household</x:v>
      </x:c>
      <x:c r="B30" s="4" t="n">
        <x:f>COUNTIF(Items!$D$6:$D$1005,"Everyday household")</x:f>
        <x:v>6</x:v>
      </x:c>
      <x:c r="C30" s="4" t="str">
        <x:v>Bowls, algae spoons, dust brushes, combs, tally tablets and marking tools</x:v>
      </x:c>
      <x:c r="D30" s="4" t="str">
        <x:v>Simple shell/metal forms; no wood or ordinary cloth assumed.</x:v>
      </x:c>
    </x:row>
  </x:sheetData>
  <x:pageMargins left="0.7" right="0.7" top="0.75" bottom="0.75" header="0.3" footer="0.3"/>
  <x:tableParts count="1">
    <x:tablePart xmlns:r="http://schemas.openxmlformats.org/officeDocument/2006/relationships" r:id="R40cb6e8346d64b5d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176 design entries: 18 existing item IDs and 158 design concepts. Includes 24 religious, civic, ritual and everyday object proposals.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  <x:row r="53" ht="70" customHeight="1">
      <x:c r="A53" s="4" t="str">
        <x:v>Container ownership</x:v>
      </x:c>
      <x:c r="B53" s="4" t="str">
        <x:v>Proposed filled vessel = one container instance with one contained payload. Transfer preserves vessel identity, content identity/quantity and ownership; no duplicate empty/full item stacks.</x:v>
      </x:c>
    </x:row>
    <x:row r="54" ht="70" customHeight="1">
      <x:c r="A54" s="4" t="str">
        <x:v>Cargo and packaging</x:v>
      </x:c>
      <x:c r="B54" s="4" t="str">
        <x:v>Gathered ichor and raw chemicals remain Legger/local resources. Boxes, cases and nested vessels grant no extra inventory capacity. All material and contents mass must be counted.</x:v>
      </x:c>
    </x:row>
    <x:row r="55" ht="70" customHeight="1">
      <x:c r="A55" s="4" t="str">
        <x:v>Capacity and compatibility</x:v>
      </x:c>
      <x:c r="B55" s="4" t="str">
        <x:v>Sizes are qualitative. Capacity, seal, liner and material compatibility are undecided per vessel/content pair. Glass is not assumed universally acid-proof or electrically insulating.</x:v>
      </x:c>
    </x:row>
    <x:row r="56" ht="70" customHeight="1">
      <x:c r="A56" s="4" t="str">
        <x:v>No cloth packing</x:v>
      </x:c>
      <x:c r="B56" s="4" t="str">
        <x:v>No cork, wood crates or cloth padding assumed. Proposed outer protection uses shell cages, metal partitions and shaped mineral supports.</x:v>
      </x:c>
    </x:row>
    <x:row r="57" ht="70" customHeight="1">
      <x:c r="A57" s="4" t="str">
        <x:v>Workshop and reuse</x:v>
      </x:c>
      <x:c r="B57" s="4" t="str">
        <x:v>Glassworks is a stationary craft/trade source proposal, not an inventory item or Legger platform. Returning empty vessels and workshop reconditioning could form a useful loop; methods/costs remain open.</x:v>
      </x:c>
    </x:row>
    <x:row r="58" ht="70" customHeight="1">
      <x:c r="A58" s="4" t="str">
        <x:v>Container costs</x:v>
      </x:c>
      <x:c r="B58" s="4" t="str">
        <x:v>No random breakage, leakage penalties, item durability chores or mandatory nested packing are introduced. Protective forms describe design options, not implemented mechanics.</x:v>
      </x:c>
    </x:row>
    <x:row r="59" ht="70" customHeight="1">
      <x:c r="A59" s="4" t="str">
        <x:v>World and save boundary</x:v>
      </x:c>
      <x:c r="B59" s="4" t="str">
        <x:v>Documentation only. No terrain, spawn, streaming or persistence changes. Future container ownership needs stable instances and versioned payloads; prototype canister code does not implement these new vessels.</x:v>
      </x:c>
    </x:row>
    <x:row r="60" ht="70" customHeight="1">
      <x:c r="A60" s="4" t="str">
        <x:v>Armor families</x:v>
      </x:c>
      <x:c r="B60" s="4" t="str">
        <x:v>User direction: chainmail shirts, crude-to-elaborate metal armor, chest armor, helmets, leg armor, boots, gloves, backpacks, specialized plates and shields.</x:v>
      </x:c>
    </x:row>
    <x:row r="61" ht="70" customHeight="1">
      <x:c r="A61" s="4" t="str">
        <x:v>Construction variants</x:v>
      </x:c>
      <x:c r="B61" s="4" t="str">
        <x:v>Crude, serviceable and elaborate are descriptive design bands, not rarity or numerical power tiers. Fit, articulation, replaceability and craft detail can differ.</x:v>
      </x:c>
    </x:row>
    <x:row r="62" ht="70" customHeight="1">
      <x:c r="A62" s="4" t="str">
        <x:v>Loadout extension</x:v>
      </x:c>
      <x:c r="B62" s="4" t="str">
        <x:v>The six current trial slots remain dust/algae canister, grapple, digging tool, cloak and jacket. New worn regions, layering and held-shield ownership need their own approved implementation.</x:v>
      </x:c>
    </x:row>
    <x:row r="63" ht="70" customHeight="1">
      <x:c r="A63" s="4" t="str">
        <x:v>Armor materials</x:v>
      </x:c>
      <x:c r="B63" s="4" t="str">
        <x:v>No cloth, cork, plant fiber, common leather or rubber assumed. Scarce hide/fur and difficult pressed husk materials remain possible only under established processing constraints.</x:v>
      </x:c>
    </x:row>
    <x:row r="64" ht="70" customHeight="1">
      <x:c r="A64" s="4" t="str">
        <x:v>Backpack policy</x:v>
      </x:c>
      <x:c r="B64" s="4" t="str">
        <x:v>A backpack concept does not permit Booter to carry raw resources. Supply capacity, spare equipment, harness, cloak/canister clearance and ground-kit placement remain unresolved.</x:v>
      </x:c>
    </x:row>
    <x:row r="65" ht="70" customHeight="1">
      <x:c r="A65" s="4" t="str">
        <x:v>Assembly ownership</x:v>
      </x:c>
      <x:c r="B65" s="4" t="str">
        <x:v>The assembled armor entry is a grouping candidate until set-versus-piece ownership is designed. Do not duplicate plates between a set, a module and separately equipped pieces.</x:v>
      </x:c>
    </x:row>
    <x:row r="66" ht="70" customHeight="1">
      <x:c r="A66" s="4" t="str">
        <x:v>Armor effects</x:v>
      </x:c>
      <x:c r="B66" s="4" t="str">
        <x:v>Damage mitigation, mass, durability, movement, electrical behavior, chemical protection and trade values are undecided. Visual metal or elaborate craft alone grants no implemented effect.</x:v>
      </x:c>
    </x:row>
    <x:row r="67" ht="70" customHeight="1">
      <x:c r="A67" s="4" t="str">
        <x:v>Specialized weapon direction</x:v>
      </x:c>
      <x:c r="B67" s="4" t="str">
        <x:v>Reserve offensive weapons, defensive weapons, traps and trip-ups. Caltrops is the first named candidate. Detailed weapon brainstorming is deferred at the author's request.</x:v>
      </x:c>
    </x:row>
    <x:row r="68" ht="70" customHeight="1">
      <x:c r="A68" s="4" t="str">
        <x:v>Weapon taxonomy</x:v>
      </x:c>
      <x:c r="B68" s="4" t="str">
        <x:v>Weapon lanes describe intended purpose, not new equipment slots or combat systems. Caltrops is provisionally under Trip-ups; future overlap with traps can be settled later. Existing shield equipment is not duplicated.</x:v>
      </x:c>
    </x:row>
    <x:row r="69" ht="65" customHeight="1">
      <x:c r="A69" s="4" t="str">
        <x:v>Ancient materials</x:v>
      </x:c>
      <x:c r="B69" s="4" t="str">
        <x:v>Extremely rare manufactured materials analogous to carbon-fiber composites, nanocarbons, plasteels and similar futuristic substances. Three named family entries; other futuristic types remain undefined.</x:v>
      </x:c>
    </x:row>
    <x:row r="70" ht="65" customHeight="1">
      <x:c r="A70" s="4" t="str">
        <x:v>Scarcity and manufacture</x:v>
      </x:c>
      <x:c r="B70" s="4" t="str">
        <x:v>Rarity is explicit author direction. No drop rate, quantity, price or ordinary production recipe is assigned. Recovery does not grant manufacturing capability.</x:v>
      </x:c>
    </x:row>
    <x:row r="71" ht="65" customHeight="1">
      <x:c r="A71" s="4" t="str">
        <x:v>Material distinctions</x:v>
      </x:c>
      <x:c r="B71" s="4" t="str">
        <x:v>Ordinary graphite/charcoal does not become ancient nanocarbon through an assumed recipe. Plasteel is not an ordinary raw metal. Advanced fibers do not establish a cloth exception.</x:v>
      </x:c>
    </x:row>
    <x:row r="72" ht="70" customHeight="1">
      <x:c r="A72" s="4" t="str">
        <x:v>Clothing without cloth</x:v>
      </x:c>
      <x:c r="B72" s="4" t="str">
        <x:v>Clothing can be made from husk fibers, animal fur, hides and related processed materials. No-cloth does not mean no clothing.</x:v>
      </x:c>
    </x:row>
    <x:row r="73" ht="70" customHeight="1">
      <x:c r="A73" s="4" t="str">
        <x:v>Fashion scarcity</x:v>
      </x:c>
      <x:c r="B73" s="4" t="str">
        <x:v>Elaborate fashion clothing is very rare and expensive because production consumes very large quantities of material/time. Ordinary simple wraps and metal-based wear with minimal fur are the everyday baseline.</x:v>
      </x:c>
    </x:row>
    <x:row r="74" ht="70" customHeight="1">
      <x:c r="A74" s="4" t="str">
        <x:v>Eyewear and hats</x:v>
      </x:c>
      <x:c r="B74" s="4" t="str">
        <x:v>Specialized spectacles, eyeglasses and hats are rare. Exact optical purposes, lens/frame materials, forms, fit and effects remain unresolved.</x:v>
      </x:c>
    </x:row>
    <x:row r="75" ht="70" customHeight="1">
      <x:c r="A75" s="4" t="str">
        <x:v>Fashion input economy</x:v>
      </x:c>
      <x:c r="B75" s="4" t="str">
        <x:v>All inputs used in this expensive fashion economy have high sale-value intent. Seven directly relevant fiber/fur/hide material entries carry that note; membership for other inputs awaits recipes.</x:v>
      </x:c>
    </x:row>
    <x:row r="76" ht="70" customHeight="1">
      <x:c r="A76" s="4" t="str">
        <x:v>Abundance and value</x:v>
      </x:c>
      <x:c r="B76" s="4" t="str">
        <x:v>Abundant raw husk fiber is compatible with costly fashion production: total input demand, processing loss and skilled labor are separate design factors. Numerical ratios/prices remain open.</x:v>
      </x:c>
    </x:row>
    <x:row r="77" ht="70" customHeight="1">
      <x:c r="A77" s="4" t="str">
        <x:v>Utility versus fashion</x:v>
      </x:c>
      <x:c r="B77" s="4" t="str">
        <x:v>Existing starter cloak/jacket, functional armor and containers are not automatically reclassified as luxury fashion. Fashion variants can be defined later.</x:v>
      </x:c>
    </x:row>
    <x:row r="78" ht="70" customHeight="1">
      <x:c r="A78" s="4" t="str">
        <x:v>Gemstone authority</x:v>
      </x:c>
      <x:c r="B78" s="4" t="str">
        <x:v>Gemstones exist. Specific real-mineral candidates, palettes and uses are new game proposals, not accepted lore species or verified Death Valley deposits.</x:v>
      </x:c>
    </x:row>
    <x:row r="79" ht="70" customHeight="1">
      <x:c r="A79" s="4" t="str">
        <x:v>Gem quality and work</x:v>
      </x:c>
      <x:c r="B79" s="4" t="str">
        <x:v>Proposed value factors: size, clarity, color, inclusions, cutting/polishing skill and setting work. Raw mineral abundance and a fine specimen's value need not be identical.</x:v>
      </x:c>
    </x:row>
    <x:row r="80" ht="70" customHeight="1">
      <x:c r="A80" s="4" t="str">
        <x:v>Rough and finished state</x:v>
      </x:c>
      <x:c r="B80" s="4" t="str">
        <x:v>Rough, cut and set forms need a later ownership/craft design. Current entries are families, not duplicate rewards for each processing stage; no gem-cutting recipe or yield implemented.</x:v>
      </x:c>
    </x:row>
    <x:row r="81" ht="70" customHeight="1">
      <x:c r="A81" s="4" t="str">
        <x:v>Fashion use</x:v>
      </x:c>
      <x:c r="B81" s="4" t="str">
        <x:v>Ornaments, clasps and inlays are potential uses. Fashion-qualified inputs follow the high-value economy direction, while exact stone grades, prices and demand remain open.</x:v>
      </x:c>
    </x:row>
    <x:row r="82" ht="70" customHeight="1">
      <x:c r="A82" s="4" t="str">
        <x:v>Ancient deposits</x:v>
      </x:c>
      <x:c r="B82" s="4" t="str">
        <x:v>Game deposits could be exposed ancient mineral-bearing strata. These concepts add no present-day water cycle, plant gem source, terrain generation or special elemental powers.</x:v>
      </x:c>
    </x:row>
    <x:row r="83" ht="70" customHeight="1">
      <x:c r="A83" s="4" t="str">
        <x:v>Everyday clothing baseline</x:v>
      </x:c>
      <x:c r="B83" s="4" t="str">
        <x:v>Ordinary clothing includes simple wraps, metal chainmail and practical metal-based wear with minimal fur. No ordinary-wear price/rarity numbers or cloth supply are introduced.</x:v>
      </x:c>
    </x:row>
    <x:row r="84" ht="70" customHeight="1">
      <x:c r="A84" s="4" t="str">
        <x:v>Fashion distinction</x:v>
      </x:c>
      <x:c r="B84" s="4" t="str">
        <x:v>Elaborate husk-fiber/fur/hide garments retain very rare, expensive fashion status. The same material family can support sparse ordinary use and high-input luxury workmanship.</x:v>
      </x:c>
    </x:row>
    <x:row r="85" ht="70" customHeight="1">
      <x:c r="A85" s="4" t="str">
        <x:v>No duplicate chainmail</x:v>
      </x:c>
      <x:c r="B85" s="4" t="str">
        <x:v>The existing chainmail-shirt family now records everyday use; only simple wraps adds a master entry. Equipment patterns, fit, protection and runtime slots remain unimplemented.</x:v>
      </x:c>
    </x:row>
    <x:row r="86" ht="75" customHeight="1">
      <x:c r="A86" s="4" t="str">
        <x:v>Wing sun shades</x:v>
      </x:c>
      <x:c r="B86" s="4" t="str">
        <x:v>Author direction: delicate insectoid megafauna inner wings are resources for vertical sun shades. The prepared panel is a proposed intermediate; existing popup camp owns the shade item concept.</x:v>
      </x:c>
    </x:row>
    <x:row r="87" ht="75" customHeight="1">
      <x:c r="A87" s="4" t="str">
        <x:v>Cheap shells</x:v>
      </x:c>
      <x:c r="B87" s="4" t="str">
        <x:v>Ordinary raw shells are cheap bulk material. Processing, selected fiber quality and skilled precision work can still produce valuable outputs. Raw-shell price and fashion-fiber value are separate.</x:v>
      </x:c>
    </x:row>
    <x:row r="88" ht="75" customHeight="1">
      <x:c r="A88" s="4" t="str">
        <x:v>Canister source status</x:v>
      </x:c>
      <x:c r="B88" s="4" t="str">
        <x:v>Read WLD-0037/0038/0039/0044 and WLD-0016 at source revision f6f98515. These are proposals, including Phagia/air-reserve systems and seal materials; no automatic game adoption.</x:v>
      </x:c>
    </x:row>
    <x:row r="89" ht="75" customHeight="1">
      <x:c r="A89" s="4" t="str">
        <x:v>Seal distinctions</x:v>
      </x:c>
      <x:c r="B89" s="4" t="str">
        <x:v>Seal rings, hard seats, closure collars, sealant and protective endcaps have different roles. Existing compression seal collar is reused conceptually; it is not duplicated as a new item.</x:v>
      </x:c>
    </x:row>
    <x:row r="90" ht="75" customHeight="1">
      <x:c r="A90" s="4" t="str">
        <x:v>Scarcity and service</x:v>
      </x:c>
      <x:c r="B90" s="4" t="str">
        <x:v>Ancient synthetics remain extremely rare. Routine canister seals do not automatically require ancient material. No maintenance frequency, random failure, lifespan, pressure mechanic or recipe approved.</x:v>
      </x:c>
    </x:row>
    <x:row r="91" ht="75" customHeight="1">
      <x:c r="A91" s="4" t="str">
        <x:v>Body and payload ownership</x:v>
      </x:c>
      <x:c r="B91" s="4" t="str">
        <x:v>Personal survival canister, dust device and toxic-material vessel are distinct roles. Parts do not create extra liquid reserves, shared storage or duplicate owned canisters. All trial systems remain unchanged.</x:v>
      </x:c>
    </x:row>
    <x:row r="92" ht="80" customHeight="1">
      <x:c r="A92" s="4" t="str">
        <x:v>Cultural objects</x:v>
      </x:c>
      <x:c r="B92" s="4" t="str">
        <x:v>Religious, political/civic and ritual objects are working game proposals inspired by source drafts WLD-0018, WLD-0036 and WLD-0042. Named faith and institutional details are not silently adopted as game canon.</x:v>
      </x:c>
    </x:row>
    <x:row r="93" ht="80" customHeight="1">
      <x:c r="A93" s="4" t="str">
        <x:v>Ordinary and ceremonial grades</x:v>
      </x:c>
      <x:c r="B93" s="4" t="str">
        <x:v>Simple shell and stamped-metal forms may serve everyday use. Fine engraving, clear glass, selected inlay and processed husk paper create potential prestige craft variants; no rarity or value numbers assigned.</x:v>
      </x:c>
    </x:row>
    <x:row r="94" ht="80" customHeight="1">
      <x:c r="A94" s="4" t="str">
        <x:v>Symbol and function</x:v>
      </x:c>
      <x:c r="B94" s="4" t="str">
        <x:v>Blessings, relic claims, oath tokens and authority badges do not automatically grant buffs, proof of authenticity or access. Document seal stamps are distinct from liquid-container sealing parts.</x:v>
      </x:c>
    </x:row>
    <x:row r="95" ht="80" customHeight="1">
      <x:c r="A95" s="4" t="str">
        <x:v>Household materials</x:v>
      </x:c>
      <x:c r="B95" s="4" t="str">
        <x:v>No ordinary cloth, timber, plant paper, free water or automatic food-safe shell is introduced. Household shell needs suitable preparation; paper uses difficult husk-fiber processing.</x:v>
      </x:c>
    </x:row>
    <x:row r="96" ht="80" customHeight="1">
      <x:c r="A96" s="4" t="str">
        <x:v>Item-family reuse</x:v>
      </x:c>
      <x:c r="B96" s="4" t="str">
        <x:v>Altar vessels and ceremonial gift cases build on existing container families. A blessing or pilgrimage mark is a potential provenance/variant of a canister rather than an extra survival canister or new mechanical reserve.</x:v>
      </x:c>
    </x:row>
  </x:sheetData>
  <x:pageMargins left="0.7" right="0.7" top="0.75" bottom="0.75" header="0.3" footer="0.3"/>
  <x:tableParts count="1">
    <x:tablePart xmlns:r="http://schemas.openxmlformats.org/officeDocument/2006/relationships" r:id="R7d2e10e8dd704e1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c7ab387b92dd42bc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2cd0e37c2502478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053911fcd78e407c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29" hidden="0" customWidth="1"/>
    <x:col min="3" max="3" width="30" hidden="0" customWidth="1"/>
    <x:col min="4" max="4" width="50" hidden="0" customWidth="1"/>
    <x:col min="5" max="5" width="55" hidden="0" customWidth="1"/>
    <x:col min="6" max="6" width="24" hidden="0" customWidth="1"/>
    <x:col min="7" max="7" width="50" hidden="0" customWidth="1"/>
    <x:col min="8" max="8" width="50" hidden="0" customWidth="1"/>
    <x:col min="9" max="9" width="70" hidden="0" customWidth="1"/>
    <x:col min="10" max="10" width="78" hidden="0" customWidth="1"/>
    <x:col min="11" max="11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Liquid vessels, protective carriers and glasswork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All new proposals. Sizes are qualitative; filled resource vessels use finite Legger/local storage.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5" customHeight="1">
      <x:c r="A5" s="40" t="str">
        <x:v>Concept ID</x:v>
      </x:c>
      <x:c r="B5" s="40" t="str">
        <x:v>Working label</x:v>
      </x:c>
      <x:c r="C5" s="40" t="str">
        <x:v>Form</x:v>
      </x:c>
      <x:c r="D5" s="40" t="str">
        <x:v>Proposed materials</x:v>
      </x:c>
      <x:c r="E5" s="40" t="str">
        <x:v>Purpose</x:v>
      </x:c>
      <x:c r="F5" s="40" t="str">
        <x:v>Qualitative size</x:v>
      </x:c>
      <x:c r="G5" s="40" t="str">
        <x:v>Closure concept</x:v>
      </x:c>
      <x:c r="H5" s="40" t="str">
        <x:v>Contents / contact</x:v>
      </x:c>
      <x:c r="I5" s="40" t="str">
        <x:v>Design constraint</x:v>
      </x:c>
      <x:c r="J5" s="40" t="str">
        <x:v>Source relationship</x:v>
      </x:c>
      <x:c r="K5" s="40" t="str">
        <x:v>References</x:v>
      </x:c>
    </x:row>
    <x:row r="6" ht="90" customHeight="1">
      <x:c r="A6" s="4" t="str">
        <x:v>proposal.container.sample_vial</x:v>
      </x:c>
      <x:c r="B6" s="4" t="str">
        <x:v>Clear sample vial</x:v>
      </x:c>
      <x:c r="C6" s="4" t="str">
        <x:v>Primary vessel</x:v>
      </x:c>
      <x:c r="D6" s="4" t="str">
        <x:v>Scarce clear glass</x:v>
      </x:c>
      <x:c r="E6" s="4" t="str">
        <x:v>Inspect a small ichor or chemical sample without opening it</x:v>
      </x:c>
      <x:c r="F6" s="4" t="str">
        <x:v>Small sample</x:v>
      </x:c>
      <x:c r="G6" s="4" t="str">
        <x:v>Matched stopper with retained cover proposed</x:v>
      </x:c>
      <x:c r="H6" s="4" t="str">
        <x:v>Species-tagged ichor; compatible chemical samples</x:v>
      </x:c>
      <x:c r="I6" s="4" t="str">
        <x:v>Clear glass cost; liquid compatibility and fill limit unapproved</x:v>
      </x:c>
      <x:c r="J6" s="4" t="str">
        <x:v>Glass draft supports costly transparent material; this vessel is a new proposal</x:v>
      </x:c>
      <x:c r="K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7" ht="90" customHeight="1">
      <x:c r="A7" s="4" t="str">
        <x:v>proposal.container.reagent_bottle</x:v>
      </x:c>
      <x:c r="B7" s="4" t="str">
        <x:v>Opaque reagent bottle</x:v>
      </x:c>
      <x:c r="C7" s="4" t="str">
        <x:v>Primary vessel</x:v>
      </x:c>
      <x:c r="D7" s="4" t="str">
        <x:v>Opaque mineral glass; shell/metal cap</x:v>
      </x:c>
      <x:c r="E7" s="4" t="str">
        <x:v>Everyday transport of one known material</x:v>
      </x:c>
      <x:c r="F7" s="4" t="str">
        <x:v>Hand-sized</x:v>
      </x:c>
      <x:c r="G7" s="4" t="str">
        <x:v>Compression cap and compatible seat proposed</x:v>
      </x:c>
      <x:c r="H7" s="4" t="str">
        <x:v>One identified ichor or reagent batch</x:v>
      </x:c>
      <x:c r="I7" s="4" t="str">
        <x:v>Cannot inspect contents through the wall; external identity label matters</x:v>
      </x:c>
      <x:c r="J7" s="4" t="str">
        <x:v>Standard opaque glass vessels have a source-draft basis; exact item new</x:v>
      </x:c>
      <x:c r="K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8" ht="90" customHeight="1">
      <x:c r="A8" s="4" t="str">
        <x:v>proposal.container.wide_jar</x:v>
      </x:c>
      <x:c r="B8" s="4" t="str">
        <x:v>Wide-mouth sample jar</x:v>
      </x:c>
      <x:c r="C8" s="4" t="str">
        <x:v>Primary vessel</x:v>
      </x:c>
      <x:c r="D8" s="4" t="str">
        <x:v>Glass body; rigid broad lid</x:v>
      </x:c>
      <x:c r="E8" s="4" t="str">
        <x:v>Carry thick gels, clot samples and mineral-rich slurry</x:v>
      </x:c>
      <x:c r="F8" s="4" t="str">
        <x:v>Small to medium</x:v>
      </x:c>
      <x:c r="G8" s="4" t="str">
        <x:v>Broad fitted lid with compatible sealing seat</x:v>
      </x:c>
      <x:c r="H8" s="4" t="str">
        <x:v>Viscous material or solid/liquid sample</x:v>
      </x:c>
      <x:c r="I8" s="4" t="str">
        <x:v>Wide opening aids access but makes transfers less controlled; no scoop rules set</x:v>
      </x:c>
      <x:c r="J8" s="4" t="str">
        <x:v>Glass vessel basis; wide-mouth item and uses proposed</x:v>
      </x:c>
      <x:c r="K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" ht="90" customHeight="1">
      <x:c r="A9" s="4" t="str">
        <x:v>proposal.container.ampoule</x:v>
      </x:c>
      <x:c r="B9" s="4" t="str">
        <x:v>Sealed sample ampoule</x:v>
      </x:c>
      <x:c r="C9" s="4" t="str">
        <x:v>Primary vessel</x:v>
      </x:c>
      <x:c r="D9" s="4" t="str">
        <x:v>Sealed clear glass</x:v>
      </x:c>
      <x:c r="E9" s="4" t="str">
        <x:v>Preserve an isolated small specimen for later analysis or trade</x:v>
      </x:c>
      <x:c r="F9" s="4" t="str">
        <x:v>Very small</x:v>
      </x:c>
      <x:c r="G9" s="4" t="str">
        <x:v>Factory/workshop sealed</x:v>
      </x:c>
      <x:c r="H9" s="4" t="str">
        <x:v>One specimen; chemistry compatibility unresolved</x:v>
      </x:c>
      <x:c r="I9" s="4" t="str">
        <x:v>Opening and reuse undecided; no mandatory single-use depletion rule approved</x:v>
      </x:c>
      <x:c r="J9" s="4" t="str">
        <x:v>New sealed-glass form inspired by source glasswork</x:v>
      </x:c>
      <x:c r="K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" ht="90" customHeight="1">
      <x:c r="A10" s="4" t="str">
        <x:v>proposal.container.marked_flask</x:v>
      </x:c>
      <x:c r="B10" s="4" t="str">
        <x:v>Marked glass flask</x:v>
      </x:c>
      <x:c r="C10" s="4" t="str">
        <x:v>Primary vessel</x:v>
      </x:c>
      <x:c r="D10" s="4" t="str">
        <x:v>Clear glass with etched marks</x:v>
      </x:c>
      <x:c r="E10" s="4" t="str">
        <x:v>Read fill and compare a specimen before transfer</x:v>
      </x:c>
      <x:c r="F10" s="4" t="str">
        <x:v>Small sample / workshop</x:v>
      </x:c>
      <x:c r="G10" s="4" t="str">
        <x:v>Matched stopper proposed</x:v>
      </x:c>
      <x:c r="H10" s="4" t="str">
        <x:v>Compatible samples and liquids</x:v>
      </x:c>
      <x:c r="I10" s="4" t="str">
        <x:v>Marks do not establish numeric volume, chemistry analysis or automatic quality grading</x:v>
      </x:c>
      <x:c r="J10" s="4" t="str">
        <x:v>New measuring/inspection use; no authored volume system</x:v>
      </x:c>
      <x:c r="K1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" ht="90" customHeight="1">
      <x:c r="A11" s="4" t="str">
        <x:v>proposal.container.shell_cage</x:v>
      </x:c>
      <x:c r="B11" s="4" t="str">
        <x:v>Shell-caged glass flask</x:v>
      </x:c>
      <x:c r="C11" s="4" t="str">
        <x:v>Protected vessel assembly</x:v>
      </x:c>
      <x:c r="D11" s="4" t="str">
        <x:v>Glass inner vessel; slotted shell outer cage</x:v>
      </x:c>
      <x:c r="E11" s="4" t="str">
        <x:v>Protect a carried specimen while keeping a viewing opening</x:v>
      </x:c>
      <x:c r="F11" s="4" t="str">
        <x:v>Medium</x:v>
      </x:c>
      <x:c r="G11" s="4" t="str">
        <x:v>Retained cap and inspectable seat proposed</x:v>
      </x:c>
      <x:c r="H11" s="4" t="str">
        <x:v>One compatible liquid payload</x:v>
      </x:c>
      <x:c r="I11" s="4" t="str">
        <x:v>One assembled container, not two copies of storage; protection behavior undecided</x:v>
      </x:c>
      <x:c r="J11" s="4" t="str">
        <x:v>Chitin plate/curved vessel and glass drafts inspire assembly; item new</x:v>
      </x:c>
      <x:c r="K1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2" ht="90" customHeight="1">
      <x:c r="A12" s="4" t="str">
        <x:v>proposal.container.lined_canister</x:v>
      </x:c>
      <x:c r="B12" s="4" t="str">
        <x:v>Glass-lined haul canister</x:v>
      </x:c>
      <x:c r="C12" s="4" t="str">
        <x:v>Protected vessel assembly</x:v>
      </x:c>
      <x:c r="D12" s="4" t="str">
        <x:v>Metal/shell outer body; replaceable glass liner</x:v>
      </x:c>
      <x:c r="E12" s="4" t="str">
        <x:v>Transport larger quantities to a processing workshop</x:v>
      </x:c>
      <x:c r="F12" s="4" t="str">
        <x:v>Medium haul</x:v>
      </x:c>
      <x:c r="G12" s="4" t="str">
        <x:v>Compression lid with replaceable compatible seat</x:v>
      </x:c>
      <x:c r="H12" s="4" t="str">
        <x:v>One identified raw ichor or chemical batch</x:v>
      </x:c>
      <x:c r="I12" s="4" t="str">
        <x:v>Liner, seal and contents must all be compatible; filled payload belongs in resource cargo</x:v>
      </x:c>
      <x:c r="J12" s="4" t="str">
        <x:v>Glass draft includes internal canister linings; haul role and item new</x:v>
      </x:c>
      <x:c r="K12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3" ht="90" customHeight="1">
      <x:c r="A13" s="4" t="str">
        <x:v>proposal.container.ceramic_jar</x:v>
      </x:c>
      <x:c r="B13" s="4" t="str">
        <x:v>Glazed ceramic reagent jar</x:v>
      </x:c>
      <x:c r="C13" s="4" t="str">
        <x:v>Primary vessel</x:v>
      </x:c>
      <x:c r="D13" s="4" t="str">
        <x:v>Fired ceramic; proposed glaze; rigid lid</x:v>
      </x:c>
      <x:c r="E13" s="4" t="str">
        <x:v>Alternative storage for selected processing compounds</x:v>
      </x:c>
      <x:c r="F13" s="4" t="str">
        <x:v>Medium</x:v>
      </x:c>
      <x:c r="G13" s="4" t="str">
        <x:v>Fitted rigid lid and compatible seal</x:v>
      </x:c>
      <x:c r="H13" s="4" t="str">
        <x:v>Only compounds qualified for that jar</x:v>
      </x:c>
      <x:c r="I13" s="4" t="str">
        <x:v>Opaque; heavier/bulkier tradeoff proposed; glaze is not universally chemical-resistant</x:v>
      </x:c>
      <x:c r="J13" s="4" t="str">
        <x:v>New ceramic vessel proposal; not a validated recipe/material capability</x:v>
      </x:c>
      <x:c r="K13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4" ht="90" customHeight="1">
      <x:c r="A14" s="4" t="str">
        <x:v>proposal.container.bulk_ichor</x:v>
      </x:c>
      <x:c r="B14" s="4" t="str">
        <x:v>Bulk ichor vessel</x:v>
      </x:c>
      <x:c r="C14" s="4" t="str">
        <x:v>Primary vessel</x:v>
      </x:c>
      <x:c r="D14" s="4" t="str">
        <x:v>Reinforced outer body; qualified inner lining TBD</x:v>
      </x:c>
      <x:c r="E14" s="4" t="str">
        <x:v>Make a large harvest an expedition haul decision</x:v>
      </x:c>
      <x:c r="F14" s="4" t="str">
        <x:v>Bulk cargo</x:v>
      </x:c>
      <x:c r="G14" s="4" t="str">
        <x:v>Service lid and separate transfer fitting proposed</x:v>
      </x:c>
      <x:c r="H14" s="4" t="str">
        <x:v>One species/batch of gathered ichor</x:v>
      </x:c>
      <x:c r="I14" s="4" t="str">
        <x:v>Finite Legger cargo and contents mass; no backpack resource exception or free capacity</x:v>
      </x:c>
      <x:c r="J14" s="4" t="str">
        <x:v>New bulk vessel proposal; no liter capacity, hose or extraction mechanic approved</x:v>
      </x:c>
      <x:c r="K14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5" ht="90" customHeight="1">
      <x:c r="A15" s="4" t="str">
        <x:v>proposal.container.vial_case</x:v>
      </x:c>
      <x:c r="B15" s="4" t="str">
        <x:v>Divided vial case</x:v>
      </x:c>
      <x:c r="C15" s="4" t="str">
        <x:v>Protective carrier</x:v>
      </x:c>
      <x:c r="D15" s="4" t="str">
        <x:v>Shell/metal case; shaped mineral seats</x:v>
      </x:c>
      <x:c r="E15" s="4" t="str">
        <x:v>Keep separately sealed specimens organized and supported</x:v>
      </x:c>
      <x:c r="F15" s="4" t="str">
        <x:v>Several small vessels</x:v>
      </x:c>
      <x:c r="G15" s="4" t="str">
        <x:v>Rigid latched case; each vial has its own seal</x:v>
      </x:c>
      <x:c r="H15" s="4" t="str">
        <x:v>Sealed vials only; no direct liquid payload</x:v>
      </x:c>
      <x:c r="I15" s="4" t="str">
        <x:v>Does not create extra inventory capacity; inserts use no assumed wood, cork or cloth</x:v>
      </x:c>
      <x:c r="J15" s="4" t="str">
        <x:v>New case proposal; materials chosen under current no-cloth game rule</x:v>
      </x:c>
      <x:c r="K15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6" ht="90" customHeight="1">
      <x:c r="A16" s="4" t="str">
        <x:v>proposal.container.sealed_box</x:v>
      </x:c>
      <x:c r="B16" s="4" t="str">
        <x:v>Sealed cargo box</x:v>
      </x:c>
      <x:c r="C16" s="4" t="str">
        <x:v>Protective carrier</x:v>
      </x:c>
      <x:c r="D16" s="4" t="str">
        <x:v>Shell panels or metal; rigid dividers</x:v>
      </x:c>
      <x:c r="E16" s="4" t="str">
        <x:v>Carry containers and dry sample packets together</x:v>
      </x:c>
      <x:c r="F16" s="4" t="str">
        <x:v>Cargo package</x:v>
      </x:c>
      <x:c r="G16" s="4" t="str">
        <x:v>Latched lid with dust-excluding seat proposed</x:v>
      </x:c>
      <x:c r="H16" s="4" t="str">
        <x:v>Separately sealed contents</x:v>
      </x:c>
      <x:c r="I16" s="4" t="str">
        <x:v>Outer dust seal is not liquid or vapor certification; all nested contents still count</x:v>
      </x:c>
      <x:c r="J16" s="4" t="str">
        <x:v>New protective box proposal; not automatic liquid containment</x:v>
      </x:c>
      <x:c r="K1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7" ht="90" customHeight="1">
      <x:c r="A17" s="4" t="str">
        <x:v>proposal.container.field_chest</x:v>
      </x:c>
      <x:c r="B17" s="4" t="str">
        <x:v>Locking field chest</x:v>
      </x:c>
      <x:c r="C17" s="4" t="str">
        <x:v>Storage object candidate</x:v>
      </x:c>
      <x:c r="D17" s="4" t="str">
        <x:v>Metal/shell chest; rigid compartment tray</x:v>
      </x:c>
      <x:c r="E17" s="4" t="str">
        <x:v>Secure expedition samples at a physical camp/worksite</x:v>
      </x:c>
      <x:c r="F17" s="4" t="str">
        <x:v>Local storage</x:v>
      </x:c>
      <x:c r="G17" s="4" t="str">
        <x:v>Mechanical lock and rigid lid proposed</x:v>
      </x:c>
      <x:c r="H17" s="4" t="str">
        <x:v>Sealed vessels and dry material</x:v>
      </x:c>
      <x:c r="I17" s="4" t="str">
        <x:v>Physical local owner; no global stockpile. Portable versus fixed identity undecided</x:v>
      </x:c>
      <x:c r="J17" s="4" t="str">
        <x:v>New storage-object candidate; not another implemented camp chest</x:v>
      </x:c>
      <x:c r="K1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8" ht="90" customHeight="1">
      <x:c r="A18" s="4" t="str">
        <x:v>proposal.container.funnel</x:v>
      </x:c>
      <x:c r="B18" s="4" t="str">
        <x:v>Glass transfer funnel</x:v>
      </x:c>
      <x:c r="C18" s="4" t="str">
        <x:v>Transfer glassware</x:v>
      </x:c>
      <x:c r="D18" s="4" t="str">
        <x:v>Glass bowl and stem</x:v>
      </x:c>
      <x:c r="E18" s="4" t="str">
        <x:v>Assist transfers into a compatible narrow-neck vessel</x:v>
      </x:c>
      <x:c r="F18" s="4" t="str">
        <x:v>Tool-sized</x:v>
      </x:c>
      <x:c r="G18" s="4" t="str">
        <x:v>No closure; never a storage vessel</x:v>
      </x:c>
      <x:c r="H18" s="4" t="str">
        <x:v>Temporary transfer contact only</x:v>
      </x:c>
      <x:c r="I18" s="4" t="str">
        <x:v>Residue/cross-contamination and workshop reconditioning unresolved; no ambient fluid pooling</x:v>
      </x:c>
      <x:c r="J18" s="4" t="str">
        <x:v>New glassworking tool proposal</x:v>
      </x:c>
      <x:c r="K1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9" ht="90" customHeight="1">
      <x:c r="A19" s="4" t="str">
        <x:v>proposal.container.draw_tube</x:v>
      </x:c>
      <x:c r="B19" s="4" t="str">
        <x:v>Glass draw tube</x:v>
      </x:c>
      <x:c r="C19" s="4" t="str">
        <x:v>Transfer glassware</x:v>
      </x:c>
      <x:c r="D19" s="4" t="str">
        <x:v>Glass tube; proposed mechanical fitting</x:v>
      </x:c>
      <x:c r="E19" s="4" t="str">
        <x:v>Move a small sample through an inspectable transfer path</x:v>
      </x:c>
      <x:c r="F19" s="4" t="str">
        <x:v>Tool-sized</x:v>
      </x:c>
      <x:c r="G19" s="4" t="str">
        <x:v>Closed mechanical interface to design</x:v>
      </x:c>
      <x:c r="H19" s="4" t="str">
        <x:v>Compatible small specimen transfer</x:v>
      </x:c>
      <x:c r="I19" s="4" t="str">
        <x:v>No mouth operation or real extraction procedure; gameplay tool and fittings unapproved</x:v>
      </x:c>
      <x:c r="J19" s="4" t="str">
        <x:v>New mechanical sample-transfer tool proposal</x:v>
      </x:c>
      <x:c r="K1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0" ht="90" customHeight="1">
      <x:c r="A20" s="4" t="str">
        <x:v>proposal.container.glass_stopper</x:v>
      </x:c>
      <x:c r="B20" s="4" t="str">
        <x:v>Matched glass stopper</x:v>
      </x:c>
      <x:c r="C20" s="4" t="str">
        <x:v>Closure component</x:v>
      </x:c>
      <x:c r="D20" s="4" t="str">
        <x:v>Ground glass seat; retaining clip optional</x:v>
      </x:c>
      <x:c r="E20" s="4" t="str">
        <x:v>Close its matching vessel without cork or cloth</x:v>
      </x:c>
      <x:c r="F20" s="4" t="str">
        <x:v>Part-sized</x:v>
      </x:c>
      <x:c r="G20" s="4" t="str">
        <x:v>Matched seat</x:v>
      </x:c>
      <x:c r="H20" s="4" t="str">
        <x:v>Vessel closure, not an independent payload</x:v>
      </x:c>
      <x:c r="I20" s="4" t="str">
        <x:v>Fit and material compatibility matter; no universal stopper or separate durability chore assumed</x:v>
      </x:c>
      <x:c r="J20" s="4" t="str">
        <x:v>New glass closure component proposal</x:v>
      </x:c>
      <x:c r="K2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1" ht="90" customHeight="1">
      <x:c r="A21" s="4" t="str">
        <x:v>proposal.container.seal_collar</x:v>
      </x:c>
      <x:c r="B21" s="4" t="str">
        <x:v>Compression seal collar</x:v>
      </x:c>
      <x:c r="C21" s="4" t="str">
        <x:v>Closure component</x:v>
      </x:c>
      <x:c r="D21" s="4" t="str">
        <x:v>Metal/shell collar; compatible mineral/biological seal insert TBD</x:v>
      </x:c>
      <x:c r="E21" s="4" t="str">
        <x:v>Retain and compress a vessel lid/seat</x:v>
      </x:c>
      <x:c r="F21" s="4" t="str">
        <x:v>Part-sized</x:v>
      </x:c>
      <x:c r="G21" s="4" t="str">
        <x:v>Mechanical collar</x:v>
      </x:c>
      <x:c r="H21" s="4" t="str">
        <x:v>Vessel closure, not a liquid container</x:v>
      </x:c>
      <x:c r="I21" s="4" t="str">
        <x:v>Biological membrane is not automatically compatible; no fat/oil/gasket recipe accepted</x:v>
      </x:c>
      <x:c r="J21" s="4" t="str">
        <x:v>New closure assembly proposal; exact seal material unresolved</x:v>
      </x:c>
      <x:c r="K2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pageMargins left="0.7" right="0.7" top="0.75" bottom="0.75" header="0.3" footer="0.3"/>
  <x:tableParts count="1">
    <x:tablePart xmlns:r="http://schemas.openxmlformats.org/officeDocument/2006/relationships" r:id="R6b050816035a4ce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52" hidden="0" customWidth="1"/>
    <x:col min="5" max="5" width="52" hidden="0" customWidth="1"/>
    <x:col min="6" max="6" width="58" hidden="0" customWidth="1"/>
    <x:col min="7" max="7" width="62" hidden="0" customWidth="1"/>
    <x:col min="8" max="8" width="52" hidden="0" customWidth="1"/>
    <x:col min="9" max="9" width="78" hidden="0" customWidth="1"/>
    <x:col min="10" max="10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Armor, shields and backpacks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Requested families. Construction bands are proposals; slots, layering, capacity and effects remain undecided.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6" customHeight="1">
      <x:c r="A5" s="45" t="str">
        <x:v>Concept ID</x:v>
      </x:c>
      <x:c r="B5" s="45" t="str">
        <x:v>Item family</x:v>
      </x:c>
      <x:c r="C5" s="45" t="str">
        <x:v>Region / form</x:v>
      </x:c>
      <x:c r="D5" s="45" t="str">
        <x:v>Crude concept</x:v>
      </x:c>
      <x:c r="E5" s="45" t="str">
        <x:v>Serviceable concept</x:v>
      </x:c>
      <x:c r="F5" s="45" t="str">
        <x:v>Elaborate concept</x:v>
      </x:c>
      <x:c r="G5" s="45" t="str">
        <x:v>Material candidates</x:v>
      </x:c>
      <x:c r="H5" s="45" t="str">
        <x:v>Design purpose</x:v>
      </x:c>
      <x:c r="I5" s="45" t="str">
        <x:v>Open compatibility / ownership</x:v>
      </x:c>
      <x:c r="J5" s="45" t="str">
        <x:v>Status / basis</x:v>
      </x:c>
    </x:row>
    <x:row r="6" ht="100" customHeight="1">
      <x:c r="A6" s="4" t="str">
        <x:v>proposal.gear.mail_shirt</x:v>
      </x:c>
      <x:c r="B6" s="4" t="str">
        <x:v>Chainmail shirt</x:v>
      </x:c>
      <x:c r="C6" s="4" t="str">
        <x:v>Torso layer</x:v>
      </x:c>
      <x:c r="D6" s="4" t="str">
        <x:v>Patched ring sections with conspicuous repairs</x:v>
      </x:c>
      <x:c r="E6" s="4" t="str">
        <x:v>Consistent linked rings and repairable closures</x:v>
      </x:c>
      <x:c r="F6" s="4" t="str">
        <x:v>Closely fitted ringwork, shaped sleeves and deliberate detailing</x:v>
      </x:c>
      <x:c r="G6" s="4" t="str">
        <x:v>Metal rings; attachment/underlayer material undecided</x:v>
      </x:c>
      <x:c r="H6" s="4" t="str">
        <x:v>Everyday metal clothing; protective mechanics TBD</x:v>
      </x:c>
      <x:c r="I6" s="4" t="str">
        <x:v>Layering, weight, noise and underlayer requirements need design; no cloth assumed</x:v>
      </x:c>
      <x:c r="J6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7" ht="100" customHeight="1">
      <x:c r="A7" s="4" t="str">
        <x:v>proposal.gear.metal_armor_set</x:v>
      </x:c>
      <x:c r="B7" s="4" t="str">
        <x:v>Assembled metal armor</x:v>
      </x:c>
      <x:c r="C7" s="4" t="str">
        <x:v>Whole-body assembly candidate</x:v>
      </x:c>
      <x:c r="D7" s="4" t="str">
        <x:v>Mixed scavenged plates on a simple carrier</x:v>
      </x:c>
      <x:c r="E7" s="4" t="str">
        <x:v>Coordinated torso and limb pieces</x:v>
      </x:c>
      <x:c r="F7" s="4" t="str">
        <x:v>Fitted articulated ensemble with matched joints</x:v>
      </x:c>
      <x:c r="G7" s="4" t="str">
        <x:v>Metal plates; hinges/rivets; backing and connectors undecided</x:v>
      </x:c>
      <x:c r="H7" s="4" t="str">
        <x:v>A coordinated armor family from crude to elaborate</x:v>
      </x:c>
      <x:c r="I7" s="4" t="str">
        <x:v>Set versus independently owned pieces unresolved; do not count the same plates as both set and components</x:v>
      </x:c>
      <x:c r="J7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8" ht="100" customHeight="1">
      <x:c r="A8" s="4" t="str">
        <x:v>proposal.gear.chest_armor</x:v>
      </x:c>
      <x:c r="B8" s="4" t="str">
        <x:v>Chest armor</x:v>
      </x:c>
      <x:c r="C8" s="4" t="str">
        <x:v>Torso plate</x:v>
      </x:c>
      <x:c r="D8" s="4" t="str">
        <x:v>Single repaired plate and simple retaining hardware</x:v>
      </x:c>
      <x:c r="E8" s="4" t="str">
        <x:v>Shaped front/back panels with accessible closures</x:v>
      </x:c>
      <x:c r="F8" s="4" t="str">
        <x:v>Fitted articulated chest assembly with replaceable panels</x:v>
      </x:c>
      <x:c r="G8" s="4" t="str">
        <x:v>Worked metal; optional shell/mineral-backed design</x:v>
      </x:c>
      <x:c r="H8" s="4" t="str">
        <x:v>Torso protection candidate</x:v>
      </x:c>
      <x:c r="I8" s="4" t="str">
        <x:v>Relationship to chainmail, jacket, cloak and canisters unresolved; no automatic Jacket-slot compatibility</x:v>
      </x:c>
      <x:c r="J8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9" ht="100" customHeight="1">
      <x:c r="A9" s="4" t="str">
        <x:v>proposal.gear.helmet</x:v>
      </x:c>
      <x:c r="B9" s="4" t="str">
        <x:v>Helmet</x:v>
      </x:c>
      <x:c r="C9" s="4" t="str">
        <x:v>Head</x:v>
      </x:c>
      <x:c r="D9" s="4" t="str">
        <x:v>Simple open bowl or salvaged cap</x:v>
      </x:c>
      <x:c r="E9" s="4" t="str">
        <x:v>Fitted shell with cheek/neck coverage options</x:v>
      </x:c>
      <x:c r="F9" s="4" t="str">
        <x:v>Articulated protective helmet with carefully framed sightlines</x:v>
      </x:c>
      <x:c r="G9" s="4" t="str">
        <x:v>Metal; optional shell panels; liner material undecided</x:v>
      </x:c>
      <x:c r="H9" s="4" t="str">
        <x:v>Head protection with readable sight/hearing tradeoffs</x:v>
      </x:c>
      <x:c r="I9" s="4" t="str">
        <x:v>Visibility, hearing, breathing and worn canister interaction need design; no sealed respiratory protection implied</x:v>
      </x:c>
      <x:c r="J9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0" ht="100" customHeight="1">
      <x:c r="A10" s="4" t="str">
        <x:v>proposal.gear.leg_armor</x:v>
      </x:c>
      <x:c r="B10" s="4" t="str">
        <x:v>Leg armor</x:v>
      </x:c>
      <x:c r="C10" s="4" t="str">
        <x:v>Lower limbs</x:v>
      </x:c>
      <x:c r="D10" s="4" t="str">
        <x:v>Separate shin plates and exposed joints</x:v>
      </x:c>
      <x:c r="E10" s="4" t="str">
        <x:v>Matched shin/knee protection</x:v>
      </x:c>
      <x:c r="F10" s="4" t="str">
        <x:v>Articulated thigh/knee/shin assembly</x:v>
      </x:c>
      <x:c r="G10" s="4" t="str">
        <x:v>Metal plate segments; mechanical/flexible joints TBD</x:v>
      </x:c>
      <x:c r="H10" s="4" t="str">
        <x:v>Lower-limb protection candidate</x:v>
      </x:c>
      <x:c r="I10" s="4" t="str">
        <x:v>Crouch, climb, gait and boots must remain compatible; no movement penalties fixed</x:v>
      </x:c>
      <x:c r="J10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" ht="100" customHeight="1">
      <x:c r="A11" s="4" t="str">
        <x:v>proposal.gear.boots</x:v>
      </x:c>
      <x:c r="B11" s="4" t="str">
        <x:v>Boots</x:v>
      </x:c>
      <x:c r="C11" s="4" t="str">
        <x:v>Feet</x:v>
      </x:c>
      <x:c r="D11" s="4" t="str">
        <x:v>Rigid foot shell with basic closure and replaceable sole pieces</x:v>
      </x:c>
      <x:c r="E11" s="4" t="str">
        <x:v>Fitted boot with articulated ankle and serviceable tread</x:v>
      </x:c>
      <x:c r="F11" s="4" t="str">
        <x:v>Carefully fitted armored boot with replaceable contact surfaces</x:v>
      </x:c>
      <x:c r="G11" s="4" t="str">
        <x:v>Metal/shell structure; sole and flexible insert materials TBD</x:v>
      </x:c>
      <x:c r="H11" s="4" t="str">
        <x:v>Footwear for traversal and exposure</x:v>
      </x:c>
      <x:c r="I11" s="4" t="str">
        <x:v>Grip, sound, grounding and insulation are separate proposals; no leather, rubber or cloth assumed</x:v>
      </x:c>
      <x:c r="J11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" ht="100" customHeight="1">
      <x:c r="A12" s="4" t="str">
        <x:v>proposal.gear.gloves</x:v>
      </x:c>
      <x:c r="B12" s="4" t="str">
        <x:v>Gloves</x:v>
      </x:c>
      <x:c r="C12" s="4" t="str">
        <x:v>Hands</x:v>
      </x:c>
      <x:c r="D12" s="4" t="str">
        <x:v>Palm/knuckle guards on a sparse carrier</x:v>
      </x:c>
      <x:c r="E12" s="4" t="str">
        <x:v>Fitted hand protection with usable finger movement</x:v>
      </x:c>
      <x:c r="F12" s="4" t="str">
        <x:v>Articulated plated glove with replaceable fingertips</x:v>
      </x:c>
      <x:c r="G12" s="4" t="str">
        <x:v>Metal/shell guards; flexible insert material TBD</x:v>
      </x:c>
      <x:c r="H12" s="4" t="str">
        <x:v>Hand protection while handling tools and gear</x:v>
      </x:c>
      <x:c r="I12" s="4" t="str">
        <x:v>Dexterity, grip and chemical/electrical compatibility need design; no universal protective effect</x:v>
      </x:c>
      <x:c r="J12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3" ht="100" customHeight="1">
      <x:c r="A13" s="4" t="str">
        <x:v>proposal.gear.backpack</x:v>
      </x:c>
      <x:c r="B13" s="4" t="str">
        <x:v>Backpack</x:v>
      </x:c>
      <x:c r="C13" s="4" t="str">
        <x:v>Back-mounted carrier</x:v>
      </x:c>
      <x:c r="D13" s="4" t="str">
        <x:v>Rigid back basket or simple carrying frame</x:v>
      </x:c>
      <x:c r="E13" s="4" t="str">
        <x:v>Compartmented shell/metal case on a fitted frame</x:v>
      </x:c>
      <x:c r="F13" s="4" t="str">
        <x:v>Tailored frame with modular tool mounts and access panels</x:v>
      </x:c>
      <x:c r="G13" s="4" t="str">
        <x:v>Shell panels, metal frame, hinges; harness material unresolved</x:v>
      </x:c>
      <x:c r="H13" s="4" t="str">
        <x:v>Booter-carried supplies/tool carrier candidate</x:v>
      </x:c>
      <x:c r="I13" s="4" t="str">
        <x:v>No raw-resource carrying exception. Capacity, equipment spares, cloak clearance and mounts remain open</x:v>
      </x:c>
      <x:c r="J13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4" ht="100" customHeight="1">
      <x:c r="A14" s="4" t="str">
        <x:v>proposal.gear.special_plates</x:v>
      </x:c>
      <x:c r="B14" s="4" t="str">
        <x:v>Specialized armor plates</x:v>
      </x:c>
      <x:c r="C14" s="4" t="str">
        <x:v>Modular protection</x:v>
      </x:c>
      <x:c r="D14" s="4" t="str">
        <x:v>Replaceable abrasion plate or bolted reinforcement</x:v>
      </x:c>
      <x:c r="E14" s="4" t="str">
        <x:v>Purpose-shaped joint cover or impact-spreading module</x:v>
      </x:c>
      <x:c r="F14" s="4" t="str">
        <x:v>Integrated interchangeable plate system for specific tasks</x:v>
      </x:c>
      <x:c r="G14" s="4" t="str">
        <x:v>Metal, shell and optional mineral/ceramic layers; recipes TBD</x:v>
      </x:c>
      <x:c r="H14" s="4" t="str">
        <x:v>Purpose-specific protection modules</x:v>
      </x:c>
      <x:c r="I14" s="4" t="str">
        <x:v>Candidate functions: impact distribution, abrasion protection, joint coverage and electrical separation; all effects unapproved</x:v>
      </x:c>
      <x:c r="J14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5" ht="100" customHeight="1">
      <x:c r="A15" s="4" t="str">
        <x:v>proposal.gear.shield</x:v>
      </x:c>
      <x:c r="B15" s="4" t="str">
        <x:v>Shield</x:v>
      </x:c>
      <x:c r="C15" s="4" t="str">
        <x:v>Held / mounted defensive gear</x:v>
      </x:c>
      <x:c r="D15" s="4" t="str">
        <x:v>Cut salvaged plate with a rigid grip</x:v>
      </x:c>
      <x:c r="E15" s="4" t="str">
        <x:v>Shaped shield with reinforced edge and repairable face</x:v>
      </x:c>
      <x:c r="F15" s="4" t="str">
        <x:v>Fitted layered shield with deliberate sightline and handling geometry</x:v>
      </x:c>
      <x:c r="G15" s="4" t="str">
        <x:v>Metal and/or shell panels; grip and rim materials TBD</x:v>
      </x:c>
      <x:c r="H15" s="4" t="str">
        <x:v>Directional protection candidate</x:v>
      </x:c>
      <x:c r="I15" s="4" t="str">
        <x:v>Hand ownership, tool use, carrying posture and Legger cargo storage need design; no blocking mechanics implemented</x:v>
      </x:c>
      <x:c r="J15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6" ht="100" customHeight="1">
      <x:c r="A16" s="4" t="str">
        <x:v>proposal.fashion.special_spectacles</x:v>
      </x:c>
      <x:c r="B16" s="4" t="str">
        <x:v>Specialized spectacles</x:v>
      </x:c>
      <x:c r="C16" s="4" t="str">
        <x:v>Specialist eyewear</x:v>
      </x:c>
      <x:c r="D16" s="4" t="str">
        <x:v>Simple form remains rare; construction TBD</x:v>
      </x:c>
      <x:c r="E16" s="4" t="str">
        <x:v>Workmanship and fit TBD</x:v>
      </x:c>
      <x:c r="F16" s="4" t="str">
        <x:v>Fine finish and specialist details TBD</x:v>
      </x:c>
      <x:c r="G16" s="4" t="str">
        <x:v>Lens and frame materials/requirements TBD</x:v>
      </x:c>
      <x:c r="H16" s="4" t="str">
        <x:v>Rare specialized eyewear; precise purpose and optical effect to define.</x:v>
      </x:c>
      <x:c r="I16" s="4" t="str">
        <x:v>Specific purpose, lens manufacture, face fit and equipment compatibility remain open</x:v>
      </x:c>
      <x:c r="J16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7" ht="100" customHeight="1">
      <x:c r="A17" s="4" t="str">
        <x:v>proposal.fashion.eyeglasses</x:v>
      </x:c>
      <x:c r="B17" s="4" t="str">
        <x:v>Eyeglasses</x:v>
      </x:c>
      <x:c r="C17" s="4" t="str">
        <x:v>Eyewear</x:v>
      </x:c>
      <x:c r="D17" s="4" t="str">
        <x:v>Simple form remains rare; construction TBD</x:v>
      </x:c>
      <x:c r="E17" s="4" t="str">
        <x:v>Workmanship and fit TBD</x:v>
      </x:c>
      <x:c r="F17" s="4" t="str">
        <x:v>Fine finish and specialist details TBD</x:v>
      </x:c>
      <x:c r="G17" s="4" t="str">
        <x:v>Lens and frame materials/requirements TBD</x:v>
      </x:c>
      <x:c r="H17" s="4" t="str">
        <x:v>Rare eyeglasses; lens function, frame and fitting need design.</x:v>
      </x:c>
      <x:c r="I17" s="4" t="str">
        <x:v>Distinction from specialized spectacles and actual vision effects remain open</x:v>
      </x:c>
      <x:c r="J17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8" ht="100" customHeight="1">
      <x:c r="A18" s="4" t="str">
        <x:v>proposal.fashion.hat</x:v>
      </x:c>
      <x:c r="B18" s="4" t="str">
        <x:v>Hat</x:v>
      </x:c>
      <x:c r="C18" s="4" t="str">
        <x:v>Headwear</x:v>
      </x:c>
      <x:c r="D18" s="4" t="str">
        <x:v>Simple form remains rare; construction TBD</x:v>
      </x:c>
      <x:c r="E18" s="4" t="str">
        <x:v>Workmanship and fit TBD</x:v>
      </x:c>
      <x:c r="F18" s="4" t="str">
        <x:v>Fine finish and specialist details TBD</x:v>
      </x:c>
      <x:c r="G18" s="4" t="str">
        <x:v>Husk-fiber/fur/hide options proposed; exact construction TBD</x:v>
      </x:c>
      <x:c r="H18" s="4" t="str">
        <x:v>Rare headwear; fashion variants belong to the very rare expensive fashion economy.</x:v>
      </x:c>
      <x:c r="I18" s="4" t="str">
        <x:v>Hat versus helmet, cloak clearance, shade and decorative function unresolved</x:v>
      </x:c>
      <x:c r="J18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9" ht="100" customHeight="1">
      <x:c r="A19" s="4" t="str">
        <x:v>proposal.fashion.husk_garment</x:v>
      </x:c>
      <x:c r="B19" s="4" t="str">
        <x:v>Elaborate husk-fiber wear</x:v>
      </x:c>
      <x:c r="C19" s="4" t="str">
        <x:v>Fashion garment</x:v>
      </x:c>
      <x:c r="D19" s="4" t="str">
        <x:v>Simpler finish within the rare fashion family</x:v>
      </x:c>
      <x:c r="E19" s="4" t="str">
        <x:v>Workmanship and fit TBD</x:v>
      </x:c>
      <x:c r="F19" s="4" t="str">
        <x:v>Fine finish and specialist details TBD</x:v>
      </x:c>
      <x:c r="G19" s="4" t="str">
        <x:v>Husk-fiber material; no cloth</x:v>
      </x:c>
      <x:c r="H19" s="4" t="str">
        <x:v>Very rare elaborate fashion; everyday simple wraps/metal wear separate</x:v>
      </x:c>
      <x:c r="I19" s="4" t="str">
        <x:v>Large material/time demand; no universal scarcity for ordinary wear</x:v>
      </x:c>
      <x:c r="J19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0" ht="100" customHeight="1">
      <x:c r="A20" s="4" t="str">
        <x:v>proposal.fashion.fur_garment</x:v>
      </x:c>
      <x:c r="B20" s="4" t="str">
        <x:v>Elaborate fur wear</x:v>
      </x:c>
      <x:c r="C20" s="4" t="str">
        <x:v>Fashion garment</x:v>
      </x:c>
      <x:c r="D20" s="4" t="str">
        <x:v>Simpler finish within the rare fashion family</x:v>
      </x:c>
      <x:c r="E20" s="4" t="str">
        <x:v>Workmanship and fit TBD</x:v>
      </x:c>
      <x:c r="F20" s="4" t="str">
        <x:v>Fine finish and specialist details TBD</x:v>
      </x:c>
      <x:c r="G20" s="4" t="str">
        <x:v>Animal fur; supporting material TBD; no cloth</x:v>
      </x:c>
      <x:c r="H20" s="4" t="str">
        <x:v>Very rare elaborate fashion; everyday simple wraps/metal wear separate</x:v>
      </x:c>
      <x:c r="I20" s="4" t="str">
        <x:v>Large material/time demand; no universal scarcity for ordinary wear</x:v>
      </x:c>
      <x:c r="J20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1" ht="100" customHeight="1">
      <x:c r="A21" s="4" t="str">
        <x:v>proposal.fashion.hide_garment</x:v>
      </x:c>
      <x:c r="B21" s="4" t="str">
        <x:v>Elaborate hide wear</x:v>
      </x:c>
      <x:c r="C21" s="4" t="str">
        <x:v>Fashion garment</x:v>
      </x:c>
      <x:c r="D21" s="4" t="str">
        <x:v>Simpler finish within the rare fashion family</x:v>
      </x:c>
      <x:c r="E21" s="4" t="str">
        <x:v>Workmanship and fit TBD</x:v>
      </x:c>
      <x:c r="F21" s="4" t="str">
        <x:v>Fine finish and specialist details TBD</x:v>
      </x:c>
      <x:c r="G21" s="4" t="str">
        <x:v>Processed hide; supporting material TBD; no cloth</x:v>
      </x:c>
      <x:c r="H21" s="4" t="str">
        <x:v>Very rare elaborate fashion; everyday simple wraps/metal wear separate</x:v>
      </x:c>
      <x:c r="I21" s="4" t="str">
        <x:v>Large material/time demand; no universal scarcity for ordinary wear</x:v>
      </x:c>
      <x:c r="J21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2" ht="100" customHeight="1">
      <x:c r="A22" s="4" t="str">
        <x:v>proposal.gear.simple_wraps</x:v>
      </x:c>
      <x:c r="B22" s="4" t="str">
        <x:v>Simple everyday wraps</x:v>
      </x:c>
      <x:c r="C22" s="4" t="str">
        <x:v>Everyday clothing</x:v>
      </x:c>
      <x:c r="D22" s="4" t="str">
        <x:v>Simple wrap; pattern TBD</x:v>
      </x:c>
      <x:c r="E22" s="4" t="str">
        <x:v>Fastening and fit TBD</x:v>
      </x:c>
      <x:c r="F22" s="4" t="str">
        <x:v>Elaborate fashion variant would be separate</x:v>
      </x:c>
      <x:c r="G22" s="4" t="str">
        <x:v>No cloth; exact wrap construction and minimal-fur/metal combination TBD</x:v>
      </x:c>
      <x:c r="H22" s="4" t="str">
        <x:v>Everyday clothing baseline</x:v>
      </x:c>
      <x:c r="I22" s="4" t="str">
        <x:v>Coverage, layering and attachment remain open</x:v>
      </x:c>
      <x:c r="J22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</x:sheetData>
  <x:pageMargins left="0.7" right="0.7" top="0.75" bottom="0.75" header="0.3" footer="0.3"/>
  <x:tableParts count="1">
    <x:tablePart xmlns:r="http://schemas.openxmlformats.org/officeDocument/2006/relationships" r:id="R7f30ee417c894dfa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5" hidden="0" customWidth="1"/>
    <x:col min="2" max="2" width="32" hidden="0" customWidth="1"/>
    <x:col min="3" max="3" width="24" hidden="0" customWidth="1"/>
    <x:col min="4" max="4" width="55" hidden="0" customWidth="1"/>
    <x:col min="5" max="5" width="65" hidden="0" customWidth="1"/>
    <x:col min="6" max="6" width="62" hidden="0" customWidth="1"/>
    <x:col min="7" max="7" width="82" hidden="0" customWidth="1"/>
    <x:col min="8" max="8" width="11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Canister parts, service and craft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item proposals from source drafts. Existing algae/dust canisters and gameplay remain unchanged.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6" customHeight="1">
      <x:c r="A5" s="51" t="str">
        <x:v>Concept ID</x:v>
      </x:c>
      <x:c r="B5" s="51" t="str">
        <x:v>Part / item</x:v>
      </x:c>
      <x:c r="C5" s="51" t="str">
        <x:v>Category</x:v>
      </x:c>
      <x:c r="D5" s="51" t="str">
        <x:v>Proposed role</x:v>
      </x:c>
      <x:c r="E5" s="51" t="str">
        <x:v>Source relationship</x:v>
      </x:c>
      <x:c r="F5" s="51" t="str">
        <x:v>Material candidates</x:v>
      </x:c>
      <x:c r="G5" s="51" t="str">
        <x:v>Compatibility / boundary</x:v>
      </x:c>
      <x:c r="H5" s="51" t="str">
        <x:v>Source proposal</x:v>
      </x:c>
    </x:row>
    <x:row r="6" ht="95" customHeight="1">
      <x:c r="A6" s="4" t="str">
        <x:v>proposal.canister.body_blank</x:v>
      </x:c>
      <x:c r="B6" s="4" t="str">
        <x:v>Canister body blank</x:v>
      </x:c>
      <x:c r="C6" s="4" t="str">
        <x:v>Crafting components</x:v>
      </x:c>
      <x:c r="D6" s="4" t="str">
        <x:v>Unfinished body for specialist assembly</x:v>
      </x:c>
      <x:c r="E6" s="4" t="str">
        <x:v>Source explicitly distinguishes body fabrication</x:v>
      </x:c>
      <x:c r="F6" s="4" t="str">
        <x:v>Worked metal/alloy choice TBD; shell outer casing possible</x:v>
      </x:c>
      <x:c r="G6" s="4" t="str">
        <x:v>Personal life-support canister and raw-chemical vessel are distinct service roles</x:v>
      </x:c>
      <x:c r="H6" s="4" t="str">
        <x:v>https://github.com/sleepyseamonster/Arc-Dust/blob/f6f98515c005dc3c73cccd9cbc031691745740c6/02-Arc-Dust-Worldbuilding/world/economy/canister/caster-craft.md</x:v>
      </x:c>
    </x:row>
    <x:row r="7" ht="95" customHeight="1">
      <x:c r="A7" s="4" t="str">
        <x:v>proposal.canister.seal_ring</x:v>
      </x:c>
      <x:c r="B7" s="4" t="str">
        <x:v>Replacement seal ring</x:v>
      </x:c>
      <x:c r="C7" s="4" t="str">
        <x:v>Crafting components</x:v>
      </x:c>
      <x:c r="D7" s="4" t="str">
        <x:v>Replaceable fitted sealing part</x:v>
      </x:c>
      <x:c r="E7" s="4" t="str">
        <x:v>Source explicitly describes replaceable seal systems</x:v>
      </x:c>
      <x:c r="F7" s="4" t="str">
        <x:v>Biological/mineral elastic material candidate; formulation TBD</x:v>
      </x:c>
      <x:c r="G7" s="4" t="str">
        <x:v>Seal diameter, compound and service must match; ancient synthetic input not universally required</x:v>
      </x:c>
      <x:c r="H7" s="4" t="str">
        <x:v>https://github.com/sleepyseamonster/Arc-Dust/blob/f6f98515c005dc3c73cccd9cbc031691745740c6/02-Arc-Dust-Worldbuilding/world/economy/canister/caster-craft.md</x:v>
      </x:c>
    </x:row>
    <x:row r="8" ht="95" customHeight="1">
      <x:c r="A8" s="4" t="str">
        <x:v>proposal.canister.seal_seat</x:v>
      </x:c>
      <x:c r="B8" s="4" t="str">
        <x:v>Fitted seal seat</x:v>
      </x:c>
      <x:c r="C8" s="4" t="str">
        <x:v>Crafting components</x:v>
      </x:c>
      <x:c r="D8" s="4" t="str">
        <x:v>Precision contact surface supporting a seal</x:v>
      </x:c>
      <x:c r="E8" s="4" t="str">
        <x:v>New explicit part derived from source seal-system precision</x:v>
      </x:c>
      <x:c r="F8" s="4" t="str">
        <x:v>Worked metal or compatible hard insert TBD</x:v>
      </x:c>
      <x:c r="G8" s="4" t="str">
        <x:v>A seat supports the seal; not a duplicate compression collar or replacement ring</x:v>
      </x:c>
      <x:c r="H8" s="4" t="str">
        <x:v>https://github.com/sleepyseamonster/Arc-Dust/blob/f6f98515c005dc3c73cccd9cbc031691745740c6/02-Arc-Dust-Worldbuilding/world/economy/canister/caster-craft.md</x:v>
      </x:c>
    </x:row>
    <x:row r="9" ht="95" customHeight="1">
      <x:c r="A9" s="4" t="str">
        <x:v>proposal.canister.sealant</x:v>
      </x:c>
      <x:c r="B9" s="4" t="str">
        <x:v>Canister joint sealant</x:v>
      </x:c>
      <x:c r="C9" s="4" t="str">
        <x:v>Crafting components</x:v>
      </x:c>
      <x:c r="D9" s="4" t="str">
        <x:v>Prepared compound for compatible joints</x:v>
      </x:c>
      <x:c r="E9" s="4" t="str">
        <x:v>Author requests sealant; source describes biological seal compounds</x:v>
      </x:c>
      <x:c r="F9" s="4" t="str">
        <x:v>Compatible biological/mineral binder formulation TBD</x:v>
      </x:c>
      <x:c r="G9" s="4" t="str">
        <x:v>Not interchangeable with glue, toxic shell binder or a failed pressure seal; exact applications unresolved</x:v>
      </x:c>
      <x:c r="H9" s="4" t="str">
        <x:v>https://github.com/sleepyseamonster/Arc-Dust/blob/f6f98515c005dc3c73cccd9cbc031691745740c6/02-Arc-Dust-Worldbuilding/world/economy/canister/caster-craft.md</x:v>
      </x:c>
    </x:row>
    <x:row r="10" ht="95" customHeight="1">
      <x:c r="A10" s="4" t="str">
        <x:v>proposal.canister.feed_line</x:v>
      </x:c>
      <x:c r="B10" s="4" t="str">
        <x:v>Feed-line section</x:v>
      </x:c>
      <x:c r="C10" s="4" t="str">
        <x:v>Crafting components</x:v>
      </x:c>
      <x:c r="D10" s="4" t="str">
        <x:v>Replacement contained conduit for a personal canister</x:v>
      </x:c>
      <x:c r="E10" s="4" t="str">
        <x:v>Source explicitly describes feed-line routing and material quality</x:v>
      </x:c>
      <x:c r="F10" s="4" t="str">
        <x:v>Flexible biological/mineral component or recovered part TBD</x:v>
      </x:c>
      <x:c r="G10" s="4" t="str">
        <x:v>No ordinary rubber/cloth or new respiratory system assumed; service and purity matter</x:v>
      </x:c>
      <x:c r="H10" s="4" t="str">
        <x:v>https://github.com/sleepyseamonster/Arc-Dust/blob/f6f98515c005dc3c73cccd9cbc031691745740c6/02-Arc-Dust-Worldbuilding/world/economy/canister/carry-styles.md</x:v>
      </x:c>
    </x:row>
    <x:row r="11" ht="95" customHeight="1">
      <x:c r="A11" s="4" t="str">
        <x:v>proposal.canister.coupling</x:v>
      </x:c>
      <x:c r="B11" s="4" t="str">
        <x:v>Feed-line coupling</x:v>
      </x:c>
      <x:c r="C11" s="4" t="str">
        <x:v>Crafting components</x:v>
      </x:c>
      <x:c r="D11" s="4" t="str">
        <x:v>Connect a line to a matching canister/interface</x:v>
      </x:c>
      <x:c r="E11" s="4" t="str">
        <x:v>New explicit fitting from source connection systems</x:v>
      </x:c>
      <x:c r="F11" s="4" t="str">
        <x:v>Machined metal with qualified sealing insert TBD</x:v>
      </x:c>
      <x:c r="G11" s="4" t="str">
        <x:v>Match intended service; not a generic connector for every toxic liquid</x:v>
      </x:c>
      <x:c r="H11" s="4" t="str">
        <x:v>https://github.com/sleepyseamonster/Arc-Dust/blob/f6f98515c005dc3c73cccd9cbc031691745740c6/02-Arc-Dust-Worldbuilding/world/economy/canister/carry-styles.md</x:v>
      </x:c>
    </x:row>
    <x:row r="12" ht="95" customHeight="1">
      <x:c r="A12" s="4" t="str">
        <x:v>proposal.canister.mouthpiece</x:v>
      </x:c>
      <x:c r="B12" s="4" t="str">
        <x:v>Canister mouthpiece interface</x:v>
      </x:c>
      <x:c r="C12" s="4" t="str">
        <x:v>Crafting components</x:v>
      </x:c>
      <x:c r="D12" s="4" t="str">
        <x:v>Personal delivery interface candidate</x:v>
      </x:c>
      <x:c r="E12" s="4" t="str">
        <x:v>Source describes mouthpiece/collar interfaces</x:v>
      </x:c>
      <x:c r="F12" s="4" t="str">
        <x:v>Qualified body-contact material TBD</x:v>
      </x:c>
      <x:c r="G12" s="4" t="str">
        <x:v>Game algae-use and breathing systems are unchanged; anatomy and hygiene design needed</x:v>
      </x:c>
      <x:c r="H12" s="4" t="str">
        <x:v>https://github.com/sleepyseamonster/Arc-Dust/blob/f6f98515c005dc3c73cccd9cbc031691745740c6/02-Arc-Dust-Worldbuilding/world/economy/canister/carry-styles.md</x:v>
      </x:c>
    </x:row>
    <x:row r="13" ht="95" customHeight="1">
      <x:c r="A13" s="4" t="str">
        <x:v>proposal.canister.window</x:v>
      </x:c>
      <x:c r="B13" s="4" t="str">
        <x:v>Canister viewing-port insert</x:v>
      </x:c>
      <x:c r="C13" s="4" t="str">
        <x:v>Crafting components</x:v>
      </x:c>
      <x:c r="D13" s="4" t="str">
        <x:v>Inspect a compatible interior without opening it</x:v>
      </x:c>
      <x:c r="E13" s="4" t="str">
        <x:v>Glass source and canister craft describe viewing ports</x:v>
      </x:c>
      <x:c r="F13" s="4" t="str">
        <x:v>Clear glass and fitted retaining seat</x:v>
      </x:c>
      <x:c r="G13" s="4" t="str">
        <x:v>Clear glass craft cost; no automatic fill sensor, pressure certification or new HUD</x:v>
      </x:c>
      <x:c r="H13" s="4" t="str">
        <x:v>https://github.com/sleepyseamonster/Arc-Dust/blob/f6f98515c005dc3c73cccd9cbc031691745740c6/02-Arc-Dust-Worldbuilding/world/materials/glass.md</x:v>
      </x:c>
    </x:row>
    <x:row r="14" ht="95" customHeight="1">
      <x:c r="A14" s="4" t="str">
        <x:v>proposal.canister.mount</x:v>
      </x:c>
      <x:c r="B14" s="4" t="str">
        <x:v>Canister mounting bracket</x:v>
      </x:c>
      <x:c r="C14" s="4" t="str">
        <x:v>Crafting components</x:v>
      </x:c>
      <x:c r="D14" s="4" t="str">
        <x:v>Attach one canister to a fitted carrier</x:v>
      </x:c>
      <x:c r="E14" s="4" t="str">
        <x:v>Source explicitly separates fitments from body/seal</x:v>
      </x:c>
      <x:c r="F14" s="4" t="str">
        <x:v>Metal bracket and retainers</x:v>
      </x:c>
      <x:c r="G14" s="4" t="str">
        <x:v>Coexist with armor, cloak, backpack, magnets and grounding equipment; no new slot authority</x:v>
      </x:c>
      <x:c r="H14" s="4" t="str">
        <x:v>https://github.com/sleepyseamonster/Arc-Dust/blob/f6f98515c005dc3c73cccd9cbc031691745740c6/02-Arc-Dust-Worldbuilding/world/economy/canister/caster-craft.md</x:v>
      </x:c>
    </x:row>
    <x:row r="15" ht="95" customHeight="1">
      <x:c r="A15" s="4" t="str">
        <x:v>proposal.canister.harness</x:v>
      </x:c>
      <x:c r="B15" s="4" t="str">
        <x:v>Fitted canister harness</x:v>
      </x:c>
      <x:c r="C15" s="4" t="str">
        <x:v>Equipment</x:v>
      </x:c>
      <x:c r="D15" s="4" t="str">
        <x:v>Wear a canister in a selected carry arrangement</x:v>
      </x:c>
      <x:c r="E15" s="4" t="str">
        <x:v>Source chest/hip/back/cross-body carry styles</x:v>
      </x:c>
      <x:c r="F15" s="4" t="str">
        <x:v>Metal/shell carrier; minimal-fur contact material or difficult husk material proposed</x:v>
      </x:c>
      <x:c r="G15" s="4" t="str">
        <x:v>Exact harness material and capacities unresolved; no cloth straps or changed trial equipment slots</x:v>
      </x:c>
      <x:c r="H15" s="4" t="str">
        <x:v>https://github.com/sleepyseamonster/Arc-Dust/blob/f6f98515c005dc3c73cccd9cbc031691745740c6/02-Arc-Dust-Worldbuilding/world/economy/canister/carry-styles.md</x:v>
      </x:c>
    </x:row>
    <x:row r="16" ht="95" customHeight="1">
      <x:c r="A16" s="4" t="str">
        <x:v>proposal.canister.inspection_gauge</x:v>
      </x:c>
      <x:c r="B16" s="4" t="str">
        <x:v>Seal inspection gauge</x:v>
      </x:c>
      <x:c r="C16" s="4" t="str">
        <x:v>Equipment</x:v>
      </x:c>
      <x:c r="D16" s="4" t="str">
        <x:v>Specialist workshop inspection aid</x:v>
      </x:c>
      <x:c r="E16" s="4" t="str">
        <x:v>New tool idea inspired by source seal checks/testing</x:v>
      </x:c>
      <x:c r="F16" s="4" t="str">
        <x:v>Precision metal/glass tool candidate</x:v>
      </x:c>
      <x:c r="G16" s="4" t="str">
        <x:v>No numerical pressure behavior or mandatory recurring inspection chore introduced</x:v>
      </x:c>
      <x:c r="H16" s="4" t="str">
        <x:v>https://github.com/sleepyseamonster/Arc-Dust/blob/f6f98515c005dc3c73cccd9cbc031691745740c6/02-Arc-Dust-Worldbuilding/world/economy/canister/daily-ritual.md</x:v>
      </x:c>
    </x:row>
    <x:row r="17" ht="95" customHeight="1">
      <x:c r="A17" s="4" t="str">
        <x:v>proposal.canister.service_kit</x:v>
      </x:c>
      <x:c r="B17" s="4" t="str">
        <x:v>Canister service kit</x:v>
      </x:c>
      <x:c r="C17" s="4" t="str">
        <x:v>Field supplies</x:v>
      </x:c>
      <x:c r="D17" s="4" t="str">
        <x:v>Carry a selected set of compatible spare seals/fittings</x:v>
      </x:c>
      <x:c r="E17" s="4" t="str">
        <x:v>Source caravan carry includes repair kits/spare seals</x:v>
      </x:c>
      <x:c r="F17" s="4" t="str">
        <x:v>Existing candidate parts in a fitted case</x:v>
      </x:c>
      <x:c r="G17" s="4" t="str">
        <x:v>Bundle contents count once and occupy finite capacity; recipe/quantity and repair action unapproved</x:v>
      </x:c>
      <x:c r="H17" s="4" t="str">
        <x:v>https://github.com/sleepyseamonster/Arc-Dust/blob/f6f98515c005dc3c73cccd9cbc031691745740c6/02-Arc-Dust-Worldbuilding/world/economy/canister/carry-styles.md</x:v>
      </x:c>
    </x:row>
    <x:row r="18" ht="95" customHeight="1">
      <x:c r="A18" s="4" t="str">
        <x:v>proposal.canister.maker_plate</x:v>
      </x:c>
      <x:c r="B18" s="4" t="str">
        <x:v>Canister maker plate</x:v>
      </x:c>
      <x:c r="C18" s="4" t="str">
        <x:v>Crafting components</x:v>
      </x:c>
      <x:c r="D18" s="4" t="str">
        <x:v>Visible craft provenance or personal decoration</x:v>
      </x:c>
      <x:c r="E18" s="4" t="str">
        <x:v>Source guild marks and maker reputation</x:v>
      </x:c>
      <x:c r="F18" s="4" t="str">
        <x:v>Engraved metal; exact format TBD</x:v>
      </x:c>
      <x:c r="G18" s="4" t="str">
        <x:v>Not functional seal quality, an achievement award or a verified authenticity system by itself</x:v>
      </x:c>
      <x:c r="H18" s="4" t="str">
        <x:v>https://github.com/sleepyseamonster/Arc-Dust/blob/f6f98515c005dc3c73cccd9cbc031691745740c6/02-Arc-Dust-Worldbuilding/world/economy/canister-identity.md</x:v>
      </x:c>
    </x:row>
    <x:row r="19" ht="95" customHeight="1">
      <x:c r="A19" s="4" t="str">
        <x:v>proposal.canister.trim</x:v>
      </x:c>
      <x:c r="B19" s="4" t="str">
        <x:v>Decorative canister panel</x:v>
      </x:c>
      <x:c r="C19" s="4" t="str">
        <x:v>Crafting components</x:v>
      </x:c>
      <x:c r="D19" s="4" t="str">
        <x:v>Nonstructural custom finish candidate</x:v>
      </x:c>
      <x:c r="E19" s="4" t="str">
        <x:v>Source engravings, surface work and identity</x:v>
      </x:c>
      <x:c r="F19" s="4" t="str">
        <x:v>Worked metal/shell; fashion-grade inlay optional</x:v>
      </x:c>
      <x:c r="G19" s="4" t="str">
        <x:v>Decoration remains separate from seal/body functionality; material requirements and price TBD</x:v>
      </x:c>
      <x:c r="H19" s="4" t="str">
        <x:v>https://github.com/sleepyseamonster/Arc-Dust/blob/f6f98515c005dc3c73cccd9cbc031691745740c6/02-Arc-Dust-Worldbuilding/world/economy/canister-identity.md</x:v>
      </x:c>
    </x:row>
    <x:row r="20" ht="95" customHeight="1">
      <x:c r="A20" s="4" t="str">
        <x:v>proposal.canister.endcap</x:v>
      </x:c>
      <x:c r="B20" s="4" t="str">
        <x:v>Canister protective endcap</x:v>
      </x:c>
      <x:c r="C20" s="4" t="str">
        <x:v>Crafting components</x:v>
      </x:c>
      <x:c r="D20" s="4" t="str">
        <x:v>Outer impact/dust guard candidate</x:v>
      </x:c>
      <x:c r="E20" s="4" t="str">
        <x:v>New part inspired by source protective deep-operation casing</x:v>
      </x:c>
      <x:c r="F20" s="4" t="str">
        <x:v>Cheap shell outer guard or metal form proposed</x:v>
      </x:c>
      <x:c r="G20" s="4" t="str">
        <x:v>Protective casing is not a pressure seal; no damage/breakage simulation approved</x:v>
      </x:c>
      <x:c r="H20" s="4" t="str">
        <x:v>https://github.com/sleepyseamonster/Arc-Dust/blob/f6f98515c005dc3c73cccd9cbc031691745740c6/02-Arc-Dust-Worldbuilding/world/economy/canister/carry-styles.md</x:v>
      </x:c>
    </x:row>
  </x:sheetData>
  <x:pageMargins left="0.7" right="0.7" top="0.75" bottom="0.75" header="0.3" footer="0.3"/>
  <x:tableParts count="1">
    <x:tablePart xmlns:r="http://schemas.openxmlformats.org/officeDocument/2006/relationships" r:id="R3407710b21c9458b"/>
  </x:tableParts>
</x:worksheet>
</file>