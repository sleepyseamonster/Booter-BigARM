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e9a4c2b23e43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4c3a01216e0d4b7a"/>
    <x:sheet xmlns:r="http://schemas.openxmlformats.org/officeDocument/2006/relationships" name="Variants" sheetId="2" r:id="Rd92b9eca6a7b42dd"/>
    <x:sheet xmlns:r="http://schemas.openxmlformats.org/officeDocument/2006/relationships" name="Recipes" sheetId="3" r:id="Rf3932ceff7d04ac7"/>
    <x:sheet xmlns:r="http://schemas.openxmlformats.org/officeDocument/2006/relationships" name="Categories" sheetId="4" r:id="R734a22109d2344b2"/>
    <x:sheet xmlns:r="http://schemas.openxmlformats.org/officeDocument/2006/relationships" name="Guide" sheetId="5" r:id="R3253f7f72f6a44fa"/>
    <x:sheet xmlns:r="http://schemas.openxmlformats.org/officeDocument/2006/relationships" name="Resource chains" sheetId="6" r:id="R04d02d969abf4bcf"/>
    <x:sheet xmlns:r="http://schemas.openxmlformats.org/officeDocument/2006/relationships" name="Creature concepts" sheetId="7" r:id="Rc297cf83ca464585"/>
    <x:sheet xmlns:r="http://schemas.openxmlformats.org/officeDocument/2006/relationships" name="Chemical concepts" sheetId="8" r:id="R1852260165f64fa8"/>
    <x:sheet xmlns:r="http://schemas.openxmlformats.org/officeDocument/2006/relationships" name="Container concepts" sheetId="9" r:id="R1f2089a67bef40f0"/>
    <x:sheet xmlns:r="http://schemas.openxmlformats.org/officeDocument/2006/relationships" name="Equipment concepts" sheetId="10" r:id="Rc4d24c51b2e348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a774b8f0354516" /><Relationship Type="http://schemas.openxmlformats.org/officeDocument/2006/relationships/theme" Target="/xl/theme/theme1.xml" Id="Rc08af1a784b84a56" /><Relationship Type="http://schemas.microsoft.com/office/2022/11/relationships/FeaturePropertyBag" Target="/xl/featurePropertyBag/featurePropertyBag.xml" Id="Rbd30d6c1cb12420f" /><Relationship Type="http://schemas.openxmlformats.org/officeDocument/2006/relationships/sharedStrings" Target="/xl/sharedStrings.xml" Id="R69c03537700d43f8" /><Relationship Type="http://schemas.openxmlformats.org/officeDocument/2006/relationships/worksheet" Target="/xl/worksheets/sheet1.xml" Id="R4c3a01216e0d4b7a" /><Relationship Type="http://schemas.openxmlformats.org/officeDocument/2006/relationships/worksheet" Target="/xl/worksheets/sheet2.xml" Id="Rd92b9eca6a7b42dd" /><Relationship Type="http://schemas.openxmlformats.org/officeDocument/2006/relationships/worksheet" Target="/xl/worksheets/sheet3.xml" Id="Rf3932ceff7d04ac7" /><Relationship Type="http://schemas.openxmlformats.org/officeDocument/2006/relationships/worksheet" Target="/xl/worksheets/sheet4.xml" Id="R734a22109d2344b2" /><Relationship Type="http://schemas.openxmlformats.org/officeDocument/2006/relationships/worksheet" Target="/xl/worksheets/sheet5.xml" Id="R3253f7f72f6a44fa" /><Relationship Type="http://schemas.openxmlformats.org/officeDocument/2006/relationships/worksheet" Target="/xl/worksheets/sheet6.xml" Id="R04d02d969abf4bcf" /><Relationship Type="http://schemas.openxmlformats.org/officeDocument/2006/relationships/worksheet" Target="/xl/worksheets/sheet7.xml" Id="Rc297cf83ca464585" /><Relationship Type="http://schemas.openxmlformats.org/officeDocument/2006/relationships/worksheet" Target="/xl/worksheets/sheet8.xml" Id="R1852260165f64fa8" /><Relationship Type="http://schemas.openxmlformats.org/officeDocument/2006/relationships/worksheet" Target="/xl/worksheets/sheet9.xml" Id="R1f2089a67bef40f0" /><Relationship Type="http://schemas.openxmlformats.org/officeDocument/2006/relationships/worksheet" Target="/xl/worksheets/sheet10.xml" Id="Rc4d24c51b2e3481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122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20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68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ainerConceptsTable" displayName="ContainerConceptsTable" ref="A5:K21" headerRowCount="1" totalsRowCount="0" totalsRowShown="0">
  <x:tableColumns count="11">
    <x:tableColumn id="1" name="Concept ID"/>
    <x:tableColumn id="2" name="Working label"/>
    <x:tableColumn id="3" name="Form"/>
    <x:tableColumn id="4" name="Proposed materials"/>
    <x:tableColumn id="5" name="Purpose"/>
    <x:tableColumn id="6" name="Qualitative size"/>
    <x:tableColumn id="7" name="Closure concept"/>
    <x:tableColumn id="8" name="Contents / contact"/>
    <x:tableColumn id="9" name="Design constraint"/>
    <x:tableColumn id="10" name="Source relationship"/>
    <x:tableColumn id="11" name="Referenc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EquipmentConceptsTable" displayName="EquipmentConceptsTable" ref="A5:J15" headerRowCount="1" totalsRowCount="0" totalsRowShown="0">
  <x:tableColumns count="10">
    <x:tableColumn id="1" name="Concept ID"/>
    <x:tableColumn id="2" name="Item family"/>
    <x:tableColumn id="3" name="Region / form"/>
    <x:tableColumn id="4" name="Crude concept"/>
    <x:tableColumn id="5" name="Serviceable concept"/>
    <x:tableColumn id="6" name="Elaborate concept"/>
    <x:tableColumn id="7" name="Material candidates"/>
    <x:tableColumn id="8" name="Design purpose"/>
    <x:tableColumn id="9" name="Open compatibility / ownership"/>
    <x:tableColumn id="10" name="Status / bas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4918f7c2f694de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56d8b9d619444f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3d84b0ca4e849a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a435a6716294e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8d20a55ff0c40a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d73ac67262b455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cf819597266452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642415c6cf24423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dc494984be7b4bf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6e36ef076f6842d0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6" ht="100" customHeight="1">
      <x:c r="A96" s="9" t="str">
        <x:v>proposal.container.sample_vial</x:v>
      </x:c>
      <x:c r="B96" s="9" t="str">
        <x:v>Clear sample vial</x:v>
      </x:c>
      <x:c r="C96" s="9" t="str">
        <x:v>Containers</x:v>
      </x:c>
      <x:c r="D96" s="9" t="str">
        <x:v>Primary vessel</x:v>
      </x:c>
      <x:c r="E96" s="9" t="str">
        <x:v>New proposal</x:v>
      </x:c>
      <x:c r="F96" s="9" t="str">
        <x:v>Inspect a small ichor or chemical sample without opening it</x:v>
      </x:c>
      <x:c r="G96" s="9" t="str">
        <x:v>None</x:v>
      </x:c>
      <x:c r="H96" s="9" t="str">
        <x:v>Filled raw-resource vessel: Legger/local owner; other carrier eligibility TBD</x:v>
      </x:c>
      <x:c r="I96" s="13"/>
      <x:c r="J96" s="15"/>
      <x:c r="K96" s="9" t="str">
        <x:v>Glassworker/fabricator or salvage candidate; no recipe authored</x:v>
      </x:c>
      <x:c r="L96" s="9" t="str">
        <x:v>Materials: Scarce clear glass</x:v>
      </x:c>
      <x:c r="M96" s="9" t="str">
        <x:v>Not implemented</x:v>
      </x:c>
      <x:c r="N96" s="9" t="str">
        <x:v>Clear glass cost; liquid compatibility and fill limit unapproved</x:v>
      </x:c>
      <x:c r="O96" s="36"/>
      <x:c r="P96" s="36"/>
      <x:c r="Q96" s="36"/>
      <x:c r="R96" s="36"/>
      <x:c r="S96" s="36"/>
      <x:c r="T96" s="9" t="str">
        <x:v>Qualitative size: Small sample. Closure: Matched stopper with retained cover proposed. Contents: Species-tagged ichor; compatible chemical samples</x:v>
      </x:c>
      <x:c r="U96" s="37"/>
      <x:c r="V96" s="9" t="str">
        <x:v>New game proposal, October 14, 2026. Glass draft supports costly transparent material; this vessel is a new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7" ht="100" customHeight="1">
      <x:c r="A97" s="9" t="str">
        <x:v>proposal.container.reagent_bottle</x:v>
      </x:c>
      <x:c r="B97" s="9" t="str">
        <x:v>Opaque reagent bottle</x:v>
      </x:c>
      <x:c r="C97" s="9" t="str">
        <x:v>Containers</x:v>
      </x:c>
      <x:c r="D97" s="9" t="str">
        <x:v>Primary vessel</x:v>
      </x:c>
      <x:c r="E97" s="9" t="str">
        <x:v>New proposal</x:v>
      </x:c>
      <x:c r="F97" s="9" t="str">
        <x:v>Everyday transport of one known material</x:v>
      </x:c>
      <x:c r="G97" s="9" t="str">
        <x:v>None</x:v>
      </x:c>
      <x:c r="H97" s="9" t="str">
        <x:v>Filled raw-resource vessel: Legger/local owner; other carrier eligibility TBD</x:v>
      </x:c>
      <x:c r="I97" s="13"/>
      <x:c r="J97" s="15"/>
      <x:c r="K97" s="9" t="str">
        <x:v>Glassworker/fabricator or salvage candidate; no recipe authored</x:v>
      </x:c>
      <x:c r="L97" s="9" t="str">
        <x:v>Materials: Opaque mineral glass; shell/metal cap</x:v>
      </x:c>
      <x:c r="M97" s="9" t="str">
        <x:v>Not implemented</x:v>
      </x:c>
      <x:c r="N97" s="9" t="str">
        <x:v>Cannot inspect contents through the wall; external identity label matters</x:v>
      </x:c>
      <x:c r="O97" s="36"/>
      <x:c r="P97" s="36"/>
      <x:c r="Q97" s="36"/>
      <x:c r="R97" s="36"/>
      <x:c r="S97" s="36"/>
      <x:c r="T97" s="9" t="str">
        <x:v>Qualitative size: Hand-sized. Closure: Compression cap and compatible seat proposed. Contents: One identified ichor or reagent batch</x:v>
      </x:c>
      <x:c r="U97" s="37"/>
      <x:c r="V97" s="9" t="str">
        <x:v>New game proposal, October 14, 2026. Standard opaque glass vessels have a source-draft basis; exact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8" ht="100" customHeight="1">
      <x:c r="A98" s="9" t="str">
        <x:v>proposal.container.wide_jar</x:v>
      </x:c>
      <x:c r="B98" s="9" t="str">
        <x:v>Wide-mouth sample jar</x:v>
      </x:c>
      <x:c r="C98" s="9" t="str">
        <x:v>Containers</x:v>
      </x:c>
      <x:c r="D98" s="9" t="str">
        <x:v>Primary vessel</x:v>
      </x:c>
      <x:c r="E98" s="9" t="str">
        <x:v>New proposal</x:v>
      </x:c>
      <x:c r="F98" s="9" t="str">
        <x:v>Carry thick gels, clot samples and mineral-rich slurry</x:v>
      </x:c>
      <x:c r="G98" s="9" t="str">
        <x:v>None</x:v>
      </x:c>
      <x:c r="H98" s="9" t="str">
        <x:v>Filled raw-resource vessel: Legger/local owner; other carrier eligibility TBD</x:v>
      </x:c>
      <x:c r="I98" s="13"/>
      <x:c r="J98" s="15"/>
      <x:c r="K98" s="9" t="str">
        <x:v>Glassworker/fabricator or salvage candidate; no recipe authored</x:v>
      </x:c>
      <x:c r="L98" s="9" t="str">
        <x:v>Materials: Glass body; rigid broad lid</x:v>
      </x:c>
      <x:c r="M98" s="9" t="str">
        <x:v>Not implemented</x:v>
      </x:c>
      <x:c r="N98" s="9" t="str">
        <x:v>Wide opening aids access but makes transfers less controlled; no scoop rules set</x:v>
      </x:c>
      <x:c r="O98" s="36"/>
      <x:c r="P98" s="36"/>
      <x:c r="Q98" s="36"/>
      <x:c r="R98" s="36"/>
      <x:c r="S98" s="36"/>
      <x:c r="T98" s="9" t="str">
        <x:v>Qualitative size: Small to medium. Closure: Broad fitted lid with compatible sealing seat. Contents: Viscous material or solid/liquid sample</x:v>
      </x:c>
      <x:c r="U98" s="37"/>
      <x:c r="V98" s="9" t="str">
        <x:v>New game proposal, October 14, 2026. Glass vessel basis; wide-mouth item and uses proposed.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9" ht="100" customHeight="1">
      <x:c r="A99" s="9" t="str">
        <x:v>proposal.container.ampoule</x:v>
      </x:c>
      <x:c r="B99" s="9" t="str">
        <x:v>Sealed sample ampoule</x:v>
      </x:c>
      <x:c r="C99" s="9" t="str">
        <x:v>Containers</x:v>
      </x:c>
      <x:c r="D99" s="9" t="str">
        <x:v>Primary vessel</x:v>
      </x:c>
      <x:c r="E99" s="9" t="str">
        <x:v>New proposal</x:v>
      </x:c>
      <x:c r="F99" s="9" t="str">
        <x:v>Preserve an isolated small specimen for later analysis or trade</x:v>
      </x:c>
      <x:c r="G99" s="9" t="str">
        <x:v>None</x:v>
      </x:c>
      <x:c r="H99" s="9" t="str">
        <x:v>Filled raw-resource vessel: Legger/local owner; other carrier eligibility TBD</x:v>
      </x:c>
      <x:c r="I99" s="13"/>
      <x:c r="J99" s="15"/>
      <x:c r="K99" s="9" t="str">
        <x:v>Glassworker/fabricator or salvage candidate; no recipe authored</x:v>
      </x:c>
      <x:c r="L99" s="9" t="str">
        <x:v>Materials: Sealed clear glass</x:v>
      </x:c>
      <x:c r="M99" s="9" t="str">
        <x:v>Not implemented</x:v>
      </x:c>
      <x:c r="N99" s="9" t="str">
        <x:v>Opening and reuse undecided; no mandatory single-use depletion rule approved</x:v>
      </x:c>
      <x:c r="O99" s="36"/>
      <x:c r="P99" s="36"/>
      <x:c r="Q99" s="36"/>
      <x:c r="R99" s="36"/>
      <x:c r="S99" s="36"/>
      <x:c r="T99" s="9" t="str">
        <x:v>Qualitative size: Very small. Closure: Factory/workshop sealed. Contents: One specimen; chemistry compatibility unresolved</x:v>
      </x:c>
      <x:c r="U99" s="37"/>
      <x:c r="V99" s="9" t="str">
        <x:v>New game proposal, October 14, 2026. New sealed-glass form inspired by source glasswork.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0" ht="100" customHeight="1">
      <x:c r="A100" s="9" t="str">
        <x:v>proposal.container.marked_flask</x:v>
      </x:c>
      <x:c r="B100" s="9" t="str">
        <x:v>Marked glass flask</x:v>
      </x:c>
      <x:c r="C100" s="9" t="str">
        <x:v>Containers</x:v>
      </x:c>
      <x:c r="D100" s="9" t="str">
        <x:v>Primary vessel</x:v>
      </x:c>
      <x:c r="E100" s="9" t="str">
        <x:v>New proposal</x:v>
      </x:c>
      <x:c r="F100" s="9" t="str">
        <x:v>Read fill and compare a specimen before transfer</x:v>
      </x:c>
      <x:c r="G100" s="9" t="str">
        <x:v>None</x:v>
      </x:c>
      <x:c r="H100" s="9" t="str">
        <x:v>Filled raw-resource vessel: Legger/local owner; other carrier eligibility TBD</x:v>
      </x:c>
      <x:c r="I100" s="13"/>
      <x:c r="J100" s="15"/>
      <x:c r="K100" s="9" t="str">
        <x:v>Glassworker/fabricator or salvage candidate; no recipe authored</x:v>
      </x:c>
      <x:c r="L100" s="9" t="str">
        <x:v>Materials: Clear glass with etched marks</x:v>
      </x:c>
      <x:c r="M100" s="9" t="str">
        <x:v>Not implemented</x:v>
      </x:c>
      <x:c r="N100" s="9" t="str">
        <x:v>Marks do not establish numeric volume, chemistry analysis or automatic quality grading</x:v>
      </x:c>
      <x:c r="O100" s="36"/>
      <x:c r="P100" s="36"/>
      <x:c r="Q100" s="36"/>
      <x:c r="R100" s="36"/>
      <x:c r="S100" s="36"/>
      <x:c r="T100" s="9" t="str">
        <x:v>Qualitative size: Small sample / workshop. Closure: Matched stopper proposed. Contents: Compatible samples and liquids</x:v>
      </x:c>
      <x:c r="U100" s="37"/>
      <x:c r="V100" s="9" t="str">
        <x:v>New game proposal, October 14, 2026. New measuring/inspection use; no authored volume system.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1" ht="100" customHeight="1">
      <x:c r="A101" s="9" t="str">
        <x:v>proposal.container.shell_cage</x:v>
      </x:c>
      <x:c r="B101" s="9" t="str">
        <x:v>Shell-caged glass flask</x:v>
      </x:c>
      <x:c r="C101" s="9" t="str">
        <x:v>Containers</x:v>
      </x:c>
      <x:c r="D101" s="9" t="str">
        <x:v>Protected vessel assembly</x:v>
      </x:c>
      <x:c r="E101" s="9" t="str">
        <x:v>New proposal</x:v>
      </x:c>
      <x:c r="F101" s="9" t="str">
        <x:v>Protect a carried specimen while keeping a viewing opening</x:v>
      </x:c>
      <x:c r="G101" s="9" t="str">
        <x:v>None</x:v>
      </x:c>
      <x:c r="H101" s="9" t="str">
        <x:v>Filled raw-resource vessel: Legger/local owner; other carrier eligibility TBD</x:v>
      </x:c>
      <x:c r="I101" s="13"/>
      <x:c r="J101" s="15"/>
      <x:c r="K101" s="9" t="str">
        <x:v>Glassworker/fabricator or salvage candidate; no recipe authored</x:v>
      </x:c>
      <x:c r="L101" s="9" t="str">
        <x:v>Materials: Glass inner vessel; slotted shell outer cage</x:v>
      </x:c>
      <x:c r="M101" s="9" t="str">
        <x:v>Not implemented</x:v>
      </x:c>
      <x:c r="N101" s="9" t="str">
        <x:v>One assembled container, not two copies of storage; protection behavior undecided</x:v>
      </x:c>
      <x:c r="O101" s="36"/>
      <x:c r="P101" s="36"/>
      <x:c r="Q101" s="36"/>
      <x:c r="R101" s="36"/>
      <x:c r="S101" s="36"/>
      <x:c r="T101" s="9" t="str">
        <x:v>Qualitative size: Medium. Closure: Retained cap and inspectable seat proposed. Contents: One compatible liquid payload</x:v>
      </x:c>
      <x:c r="U101" s="37"/>
      <x:c r="V101" s="9" t="str">
        <x:v>New game proposal, October 14, 2026. Chitin plate/curved vessel and glass drafts inspire assembly;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2" ht="100" customHeight="1">
      <x:c r="A102" s="9" t="str">
        <x:v>proposal.container.lined_canister</x:v>
      </x:c>
      <x:c r="B102" s="9" t="str">
        <x:v>Glass-lined haul canister</x:v>
      </x:c>
      <x:c r="C102" s="9" t="str">
        <x:v>Containers</x:v>
      </x:c>
      <x:c r="D102" s="9" t="str">
        <x:v>Protected vessel assembly</x:v>
      </x:c>
      <x:c r="E102" s="9" t="str">
        <x:v>New proposal</x:v>
      </x:c>
      <x:c r="F102" s="9" t="str">
        <x:v>Transport larger quantities to a processing workshop</x:v>
      </x:c>
      <x:c r="G102" s="9" t="str">
        <x:v>None</x:v>
      </x:c>
      <x:c r="H102" s="9" t="str">
        <x:v>Filled raw-resource vessel: Legger/local owner; other carrier eligibility TBD</x:v>
      </x:c>
      <x:c r="I102" s="13"/>
      <x:c r="J102" s="15"/>
      <x:c r="K102" s="9" t="str">
        <x:v>Glassworker/fabricator or salvage candidate; no recipe authored</x:v>
      </x:c>
      <x:c r="L102" s="9" t="str">
        <x:v>Materials: Metal/shell outer body; replaceable glass liner</x:v>
      </x:c>
      <x:c r="M102" s="9" t="str">
        <x:v>Not implemented</x:v>
      </x:c>
      <x:c r="N102" s="9" t="str">
        <x:v>Liner, seal and contents must all be compatible; filled payload belongs in resource cargo</x:v>
      </x:c>
      <x:c r="O102" s="36"/>
      <x:c r="P102" s="36"/>
      <x:c r="Q102" s="36"/>
      <x:c r="R102" s="36"/>
      <x:c r="S102" s="36"/>
      <x:c r="T102" s="9" t="str">
        <x:v>Qualitative size: Medium haul. Closure: Compression lid with replaceable compatible seat. Contents: One identified raw ichor or chemical batch</x:v>
      </x:c>
      <x:c r="U102" s="37"/>
      <x:c r="V102" s="9" t="str">
        <x:v>New game proposal, October 14, 2026. Glass draft includes internal canister linings; haul role and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3" ht="100" customHeight="1">
      <x:c r="A103" s="9" t="str">
        <x:v>proposal.container.ceramic_jar</x:v>
      </x:c>
      <x:c r="B103" s="9" t="str">
        <x:v>Glazed ceramic reagent jar</x:v>
      </x:c>
      <x:c r="C103" s="9" t="str">
        <x:v>Containers</x:v>
      </x:c>
      <x:c r="D103" s="9" t="str">
        <x:v>Primary vessel</x:v>
      </x:c>
      <x:c r="E103" s="9" t="str">
        <x:v>New proposal</x:v>
      </x:c>
      <x:c r="F103" s="9" t="str">
        <x:v>Alternative storage for selected processing compounds</x:v>
      </x:c>
      <x:c r="G103" s="9" t="str">
        <x:v>None</x:v>
      </x:c>
      <x:c r="H103" s="9" t="str">
        <x:v>Filled raw-resource vessel: Legger/local owner; other carrier eligibility TBD</x:v>
      </x:c>
      <x:c r="I103" s="13"/>
      <x:c r="J103" s="15"/>
      <x:c r="K103" s="9" t="str">
        <x:v>Glassworker/fabricator or salvage candidate; no recipe authored</x:v>
      </x:c>
      <x:c r="L103" s="9" t="str">
        <x:v>Materials: Fired ceramic; proposed glaze; rigid lid</x:v>
      </x:c>
      <x:c r="M103" s="9" t="str">
        <x:v>Not implemented</x:v>
      </x:c>
      <x:c r="N103" s="9" t="str">
        <x:v>Opaque; heavier/bulkier tradeoff proposed; glaze is not universally chemical-resistant</x:v>
      </x:c>
      <x:c r="O103" s="36"/>
      <x:c r="P103" s="36"/>
      <x:c r="Q103" s="36"/>
      <x:c r="R103" s="36"/>
      <x:c r="S103" s="36"/>
      <x:c r="T103" s="9" t="str">
        <x:v>Qualitative size: Medium. Closure: Fitted rigid lid and compatible seal. Contents: Only compounds qualified for that jar</x:v>
      </x:c>
      <x:c r="U103" s="37"/>
      <x:c r="V103" s="9" t="str">
        <x:v>New game proposal, October 14, 2026. New ceramic vessel proposal; not a validated recipe/material capability.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4" ht="100" customHeight="1">
      <x:c r="A104" s="9" t="str">
        <x:v>proposal.container.bulk_ichor</x:v>
      </x:c>
      <x:c r="B104" s="9" t="str">
        <x:v>Bulk ichor vessel</x:v>
      </x:c>
      <x:c r="C104" s="9" t="str">
        <x:v>Containers</x:v>
      </x:c>
      <x:c r="D104" s="9" t="str">
        <x:v>Primary vessel</x:v>
      </x:c>
      <x:c r="E104" s="9" t="str">
        <x:v>New proposal</x:v>
      </x:c>
      <x:c r="F104" s="9" t="str">
        <x:v>Make a large harvest an expedition haul decision</x:v>
      </x:c>
      <x:c r="G104" s="9" t="str">
        <x:v>None</x:v>
      </x:c>
      <x:c r="H104" s="9" t="str">
        <x:v>Filled raw-resource vessel: Legger/local owner; other carrier eligibility TBD</x:v>
      </x:c>
      <x:c r="I104" s="13"/>
      <x:c r="J104" s="15"/>
      <x:c r="K104" s="9" t="str">
        <x:v>Glassworker/fabricator or salvage candidate; no recipe authored</x:v>
      </x:c>
      <x:c r="L104" s="9" t="str">
        <x:v>Materials: Reinforced outer body; qualified inner lining TBD</x:v>
      </x:c>
      <x:c r="M104" s="9" t="str">
        <x:v>Not implemented</x:v>
      </x:c>
      <x:c r="N104" s="9" t="str">
        <x:v>Finite Legger cargo and contents mass; no backpack resource exception or free capacity</x:v>
      </x:c>
      <x:c r="O104" s="36"/>
      <x:c r="P104" s="36"/>
      <x:c r="Q104" s="36"/>
      <x:c r="R104" s="36"/>
      <x:c r="S104" s="36"/>
      <x:c r="T104" s="9" t="str">
        <x:v>Qualitative size: Bulk cargo. Closure: Service lid and separate transfer fitting proposed. Contents: One species/batch of gathered ichor</x:v>
      </x:c>
      <x:c r="U104" s="37"/>
      <x:c r="V104" s="9" t="str">
        <x:v>New game proposal, October 14, 2026. New bulk vessel proposal; no liter capacity, hose or extraction mechanic approved.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5" ht="100" customHeight="1">
      <x:c r="A105" s="9" t="str">
        <x:v>proposal.container.vial_case</x:v>
      </x:c>
      <x:c r="B105" s="9" t="str">
        <x:v>Divided vial case</x:v>
      </x:c>
      <x:c r="C105" s="9" t="str">
        <x:v>Containers</x:v>
      </x:c>
      <x:c r="D105" s="9" t="str">
        <x:v>Protective carrier</x:v>
      </x:c>
      <x:c r="E105" s="9" t="str">
        <x:v>New proposal</x:v>
      </x:c>
      <x:c r="F105" s="9" t="str">
        <x:v>Keep separately sealed specimens organized and supported</x:v>
      </x:c>
      <x:c r="G105" s="9" t="str">
        <x:v>None</x:v>
      </x:c>
      <x:c r="H105" s="9" t="str">
        <x:v>Filled raw-resource vessel: Legger/local owner; other carrier eligibility TBD</x:v>
      </x:c>
      <x:c r="I105" s="13"/>
      <x:c r="J105" s="15"/>
      <x:c r="K105" s="9" t="str">
        <x:v>Glassworker/fabricator or salvage candidate; no recipe authored</x:v>
      </x:c>
      <x:c r="L105" s="9" t="str">
        <x:v>Materials: Shell/metal case; shaped mineral seats</x:v>
      </x:c>
      <x:c r="M105" s="9" t="str">
        <x:v>Not implemented</x:v>
      </x:c>
      <x:c r="N105" s="9" t="str">
        <x:v>Does not create extra inventory capacity; inserts use no assumed wood, cork or cloth</x:v>
      </x:c>
      <x:c r="O105" s="36"/>
      <x:c r="P105" s="36"/>
      <x:c r="Q105" s="36"/>
      <x:c r="R105" s="36"/>
      <x:c r="S105" s="36"/>
      <x:c r="T105" s="9" t="str">
        <x:v>Qualitative size: Several small vessels. Closure: Rigid latched case; each vial has its own seal. Contents: Sealed vials only; no direct liquid payload</x:v>
      </x:c>
      <x:c r="U105" s="37"/>
      <x:c r="V105" s="9" t="str">
        <x:v>New game proposal, October 14, 2026. New case proposal; materials chosen under current no-cloth game rule.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6" ht="100" customHeight="1">
      <x:c r="A106" s="9" t="str">
        <x:v>proposal.container.sealed_box</x:v>
      </x:c>
      <x:c r="B106" s="9" t="str">
        <x:v>Sealed cargo box</x:v>
      </x:c>
      <x:c r="C106" s="9" t="str">
        <x:v>Containers</x:v>
      </x:c>
      <x:c r="D106" s="9" t="str">
        <x:v>Protective carrier</x:v>
      </x:c>
      <x:c r="E106" s="9" t="str">
        <x:v>New proposal</x:v>
      </x:c>
      <x:c r="F106" s="9" t="str">
        <x:v>Carry containers and dry sample packets together</x:v>
      </x:c>
      <x:c r="G106" s="9" t="str">
        <x:v>None</x:v>
      </x:c>
      <x:c r="H106" s="9" t="str">
        <x:v>Filled raw-resource vessel: Legger/local owner; other carrier eligibility TBD</x:v>
      </x:c>
      <x:c r="I106" s="13"/>
      <x:c r="J106" s="15"/>
      <x:c r="K106" s="9" t="str">
        <x:v>Glassworker/fabricator or salvage candidate; no recipe authored</x:v>
      </x:c>
      <x:c r="L106" s="9" t="str">
        <x:v>Materials: Shell panels or metal; rigid dividers</x:v>
      </x:c>
      <x:c r="M106" s="9" t="str">
        <x:v>Not implemented</x:v>
      </x:c>
      <x:c r="N106" s="9" t="str">
        <x:v>Outer dust seal is not liquid or vapor certification; all nested contents still count</x:v>
      </x:c>
      <x:c r="O106" s="36"/>
      <x:c r="P106" s="36"/>
      <x:c r="Q106" s="36"/>
      <x:c r="R106" s="36"/>
      <x:c r="S106" s="36"/>
      <x:c r="T106" s="9" t="str">
        <x:v>Qualitative size: Cargo package. Closure: Latched lid with dust-excluding seat proposed. Contents: Separately sealed contents</x:v>
      </x:c>
      <x:c r="U106" s="37"/>
      <x:c r="V106" s="9" t="str">
        <x:v>New game proposal, October 14, 2026. New protective box proposal; not automatic liquid containment.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7" ht="100" customHeight="1">
      <x:c r="A107" s="9" t="str">
        <x:v>proposal.container.field_chest</x:v>
      </x:c>
      <x:c r="B107" s="9" t="str">
        <x:v>Locking field chest</x:v>
      </x:c>
      <x:c r="C107" s="9" t="str">
        <x:v>Containers</x:v>
      </x:c>
      <x:c r="D107" s="9" t="str">
        <x:v>Storage object candidate</x:v>
      </x:c>
      <x:c r="E107" s="9" t="str">
        <x:v>New proposal</x:v>
      </x:c>
      <x:c r="F107" s="9" t="str">
        <x:v>Secure expedition samples at a physical camp/worksite</x:v>
      </x:c>
      <x:c r="G107" s="9" t="str">
        <x:v>None</x:v>
      </x:c>
      <x:c r="H107" s="9" t="str">
        <x:v>Filled raw-resource vessel: Legger/local owner; other carrier eligibility TBD</x:v>
      </x:c>
      <x:c r="I107" s="13"/>
      <x:c r="J107" s="15"/>
      <x:c r="K107" s="9" t="str">
        <x:v>Glassworker/fabricator or salvage candidate; no recipe authored</x:v>
      </x:c>
      <x:c r="L107" s="9" t="str">
        <x:v>Materials: Metal/shell chest; rigid compartment tray</x:v>
      </x:c>
      <x:c r="M107" s="9" t="str">
        <x:v>Not implemented</x:v>
      </x:c>
      <x:c r="N107" s="9" t="str">
        <x:v>Physical local owner; no global stockpile. Portable versus fixed identity undecided</x:v>
      </x:c>
      <x:c r="O107" s="36"/>
      <x:c r="P107" s="36"/>
      <x:c r="Q107" s="36"/>
      <x:c r="R107" s="36"/>
      <x:c r="S107" s="36"/>
      <x:c r="T107" s="9" t="str">
        <x:v>Qualitative size: Local storage. Closure: Mechanical lock and rigid lid proposed. Contents: Sealed vessels and dry material</x:v>
      </x:c>
      <x:c r="U107" s="37"/>
      <x:c r="V107" s="9" t="str">
        <x:v>New game proposal, October 14, 2026. New storage-object candidate; not another implemented camp chest.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8" ht="100" customHeight="1">
      <x:c r="A108" s="9" t="str">
        <x:v>proposal.container.funnel</x:v>
      </x:c>
      <x:c r="B108" s="9" t="str">
        <x:v>Glass transfer funnel</x:v>
      </x:c>
      <x:c r="C108" s="9" t="str">
        <x:v>Containers</x:v>
      </x:c>
      <x:c r="D108" s="9" t="str">
        <x:v>Transfer glassware</x:v>
      </x:c>
      <x:c r="E108" s="9" t="str">
        <x:v>New proposal</x:v>
      </x:c>
      <x:c r="F108" s="9" t="str">
        <x:v>Assist transfers into a compatible narrow-neck vessel</x:v>
      </x:c>
      <x:c r="G108" s="9" t="str">
        <x:v>None</x:v>
      </x:c>
      <x:c r="H108" s="9" t="str">
        <x:v>Filled raw-resource vessel: Legger/local owner; other carrier eligibility TBD</x:v>
      </x:c>
      <x:c r="I108" s="13"/>
      <x:c r="J108" s="15"/>
      <x:c r="K108" s="9" t="str">
        <x:v>Glassworker/fabricator or salvage candidate; no recipe authored</x:v>
      </x:c>
      <x:c r="L108" s="9" t="str">
        <x:v>Materials: Glass bowl and stem</x:v>
      </x:c>
      <x:c r="M108" s="9" t="str">
        <x:v>Not implemented</x:v>
      </x:c>
      <x:c r="N108" s="9" t="str">
        <x:v>Residue/cross-contamination and workshop reconditioning unresolved; no ambient fluid pooling</x:v>
      </x:c>
      <x:c r="O108" s="36"/>
      <x:c r="P108" s="36"/>
      <x:c r="Q108" s="36"/>
      <x:c r="R108" s="36"/>
      <x:c r="S108" s="36"/>
      <x:c r="T108" s="9" t="str">
        <x:v>Qualitative size: Tool-sized. Closure: No closure; never a storage vessel. Contents: Temporary transfer contact only</x:v>
      </x:c>
      <x:c r="U108" s="37"/>
      <x:c r="V108" s="9" t="str">
        <x:v>New game proposal, October 14, 2026. New glassworking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9" ht="100" customHeight="1">
      <x:c r="A109" s="9" t="str">
        <x:v>proposal.container.draw_tube</x:v>
      </x:c>
      <x:c r="B109" s="9" t="str">
        <x:v>Glass draw tube</x:v>
      </x:c>
      <x:c r="C109" s="9" t="str">
        <x:v>Containers</x:v>
      </x:c>
      <x:c r="D109" s="9" t="str">
        <x:v>Transfer glassware</x:v>
      </x:c>
      <x:c r="E109" s="9" t="str">
        <x:v>New proposal</x:v>
      </x:c>
      <x:c r="F109" s="9" t="str">
        <x:v>Move a small sample through an inspectable transfer path</x:v>
      </x:c>
      <x:c r="G109" s="9" t="str">
        <x:v>None</x:v>
      </x:c>
      <x:c r="H109" s="9" t="str">
        <x:v>Filled raw-resource vessel: Legger/local owner; other carrier eligibility TBD</x:v>
      </x:c>
      <x:c r="I109" s="13"/>
      <x:c r="J109" s="15"/>
      <x:c r="K109" s="9" t="str">
        <x:v>Glassworker/fabricator or salvage candidate; no recipe authored</x:v>
      </x:c>
      <x:c r="L109" s="9" t="str">
        <x:v>Materials: Glass tube; proposed mechanical fitting</x:v>
      </x:c>
      <x:c r="M109" s="9" t="str">
        <x:v>Not implemented</x:v>
      </x:c>
      <x:c r="N109" s="9" t="str">
        <x:v>No mouth operation or real extraction procedure; gameplay tool and fittings unapproved</x:v>
      </x:c>
      <x:c r="O109" s="36"/>
      <x:c r="P109" s="36"/>
      <x:c r="Q109" s="36"/>
      <x:c r="R109" s="36"/>
      <x:c r="S109" s="36"/>
      <x:c r="T109" s="9" t="str">
        <x:v>Qualitative size: Tool-sized. Closure: Closed mechanical interface to design. Contents: Compatible small specimen transfer</x:v>
      </x:c>
      <x:c r="U109" s="37"/>
      <x:c r="V109" s="9" t="str">
        <x:v>New game proposal, October 14, 2026. New mechanical sample-transfer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0" ht="100" customHeight="1">
      <x:c r="A110" s="9" t="str">
        <x:v>proposal.container.glass_stopper</x:v>
      </x:c>
      <x:c r="B110" s="9" t="str">
        <x:v>Matched glass stopper</x:v>
      </x:c>
      <x:c r="C110" s="9" t="str">
        <x:v>Containers</x:v>
      </x:c>
      <x:c r="D110" s="9" t="str">
        <x:v>Closure component</x:v>
      </x:c>
      <x:c r="E110" s="9" t="str">
        <x:v>New proposal</x:v>
      </x:c>
      <x:c r="F110" s="9" t="str">
        <x:v>Close its matching vessel without cork or cloth</x:v>
      </x:c>
      <x:c r="G110" s="9" t="str">
        <x:v>None</x:v>
      </x:c>
      <x:c r="H110" s="9" t="str">
        <x:v>Filled raw-resource vessel: Legger/local owner; other carrier eligibility TBD</x:v>
      </x:c>
      <x:c r="I110" s="13"/>
      <x:c r="J110" s="15"/>
      <x:c r="K110" s="9" t="str">
        <x:v>Glassworker/fabricator or salvage candidate; no recipe authored</x:v>
      </x:c>
      <x:c r="L110" s="9" t="str">
        <x:v>Materials: Ground glass seat; retaining clip optional</x:v>
      </x:c>
      <x:c r="M110" s="9" t="str">
        <x:v>Not implemented</x:v>
      </x:c>
      <x:c r="N110" s="9" t="str">
        <x:v>Fit and material compatibility matter; no universal stopper or separate durability chore assumed</x:v>
      </x:c>
      <x:c r="O110" s="36"/>
      <x:c r="P110" s="36"/>
      <x:c r="Q110" s="36"/>
      <x:c r="R110" s="36"/>
      <x:c r="S110" s="36"/>
      <x:c r="T110" s="9" t="str">
        <x:v>Qualitative size: Part-sized. Closure: Matched seat. Contents: Vessel closure, not an independent payload</x:v>
      </x:c>
      <x:c r="U110" s="37"/>
      <x:c r="V110" s="9" t="str">
        <x:v>New game proposal, October 14, 2026. New glass closure component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1" ht="100" customHeight="1">
      <x:c r="A111" s="9" t="str">
        <x:v>proposal.container.seal_collar</x:v>
      </x:c>
      <x:c r="B111" s="9" t="str">
        <x:v>Compression seal collar</x:v>
      </x:c>
      <x:c r="C111" s="9" t="str">
        <x:v>Containers</x:v>
      </x:c>
      <x:c r="D111" s="9" t="str">
        <x:v>Closure component</x:v>
      </x:c>
      <x:c r="E111" s="9" t="str">
        <x:v>New proposal</x:v>
      </x:c>
      <x:c r="F111" s="9" t="str">
        <x:v>Retain and compress a vessel lid/seat</x:v>
      </x:c>
      <x:c r="G111" s="9" t="str">
        <x:v>None</x:v>
      </x:c>
      <x:c r="H111" s="9" t="str">
        <x:v>Filled raw-resource vessel: Legger/local owner; other carrier eligibility TBD</x:v>
      </x:c>
      <x:c r="I111" s="13"/>
      <x:c r="J111" s="15"/>
      <x:c r="K111" s="9" t="str">
        <x:v>Glassworker/fabricator or salvage candidate; no recipe authored</x:v>
      </x:c>
      <x:c r="L111" s="9" t="str">
        <x:v>Materials: Metal/shell collar; compatible mineral/biological seal insert TBD</x:v>
      </x:c>
      <x:c r="M111" s="9" t="str">
        <x:v>Not implemented</x:v>
      </x:c>
      <x:c r="N111" s="9" t="str">
        <x:v>Biological membrane is not automatically compatible; no fat/oil/gasket recipe accepted</x:v>
      </x:c>
      <x:c r="O111" s="36"/>
      <x:c r="P111" s="36"/>
      <x:c r="Q111" s="36"/>
      <x:c r="R111" s="36"/>
      <x:c r="S111" s="36"/>
      <x:c r="T111" s="9" t="str">
        <x:v>Qualitative size: Part-sized. Closure: Mechanical collar. Contents: Vessel closure, not a liquid container</x:v>
      </x:c>
      <x:c r="U111" s="37"/>
      <x:c r="V111" s="9" t="str">
        <x:v>New game proposal, October 14, 2026. New closure assembly proposal; exact seal material unresolved.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2" ht="105" customHeight="1">
      <x:c r="A112" s="9" t="str">
        <x:v>proposal.gear.mail_shirt</x:v>
      </x:c>
      <x:c r="B112" s="9" t="str">
        <x:v>Chainmail shirt</x:v>
      </x:c>
      <x:c r="C112" s="9" t="str">
        <x:v>Equipment</x:v>
      </x:c>
      <x:c r="D112" s="9" t="str">
        <x:v>Torso layer</x:v>
      </x:c>
      <x:c r="E112" s="9" t="str">
        <x:v>User direction; not implemented</x:v>
      </x:c>
      <x:c r="F112" s="9" t="str">
        <x:v>Flexible linked protection candidate</x:v>
      </x:c>
      <x:c r="G112" s="9" t="str">
        <x:v>Unassigned; loadout extension TBD</x:v>
      </x:c>
      <x:c r="H112" s="9" t="str">
        <x:v>Booter-worn/held concept; permitted spares in Legger cargo TBD</x:v>
      </x:c>
      <x:c r="I112" s="13"/>
      <x:c r="J112" s="15"/>
      <x:c r="K112" s="9" t="str">
        <x:v>Fabrication, trade or salvage candidate; no recipe authored</x:v>
      </x:c>
      <x:c r="L112" s="9" t="str">
        <x:v>Proposed materials: Metal rings; attachment/underlayer material undecided</x:v>
      </x:c>
      <x:c r="M112" s="9" t="str">
        <x:v>Not implemented</x:v>
      </x:c>
      <x:c r="N112" s="9" t="str">
        <x:v>Layering, weight, noise and underlayer requirements need design; no cloth assumed</x:v>
      </x:c>
      <x:c r="O112" s="42"/>
      <x:c r="P112" s="42"/>
      <x:c r="Q112" s="42"/>
      <x:c r="R112" s="42"/>
      <x:c r="S112" s="42"/>
      <x:c r="T112" s="9" t="str">
        <x:v>Crude: Patched ring sections with conspicuous repairs. Serviceable: Consistent linked rings and repairable closures. Elaborate: Closely fitted ringwork, shaped sleeves and deliberate detailing</x:v>
      </x:c>
      <x:c r="U112" s="43"/>
      <x:c r="V112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3" ht="105" customHeight="1">
      <x:c r="A113" s="9" t="str">
        <x:v>proposal.gear.metal_armor_set</x:v>
      </x:c>
      <x:c r="B113" s="9" t="str">
        <x:v>Assembled metal armor</x:v>
      </x:c>
      <x:c r="C113" s="9" t="str">
        <x:v>Equipment</x:v>
      </x:c>
      <x:c r="D113" s="9" t="str">
        <x:v>Whole-body assembly candidate</x:v>
      </x:c>
      <x:c r="E113" s="9" t="str">
        <x:v>User direction; not implemented</x:v>
      </x:c>
      <x:c r="F113" s="9" t="str">
        <x:v>A coordinated armor family from crude to elaborate</x:v>
      </x:c>
      <x:c r="G113" s="9" t="str">
        <x:v>Unassigned; loadout extension TBD</x:v>
      </x:c>
      <x:c r="H113" s="9" t="str">
        <x:v>Booter-worn/held concept; permitted spares in Legger cargo TBD</x:v>
      </x:c>
      <x:c r="I113" s="13"/>
      <x:c r="J113" s="15"/>
      <x:c r="K113" s="9" t="str">
        <x:v>Fabrication, trade or salvage candidate; no recipe authored</x:v>
      </x:c>
      <x:c r="L113" s="9" t="str">
        <x:v>Proposed materials: Metal plates; hinges/rivets; backing and connectors undecided</x:v>
      </x:c>
      <x:c r="M113" s="9" t="str">
        <x:v>Not implemented</x:v>
      </x:c>
      <x:c r="N113" s="9" t="str">
        <x:v>Set versus independently owned pieces unresolved; do not count the same plates as both set and components</x:v>
      </x:c>
      <x:c r="O113" s="42"/>
      <x:c r="P113" s="42"/>
      <x:c r="Q113" s="42"/>
      <x:c r="R113" s="42"/>
      <x:c r="S113" s="42"/>
      <x:c r="T113" s="9" t="str">
        <x:v>Crude: Mixed scavenged plates on a simple carrier. Serviceable: Coordinated torso and limb pieces. Elaborate: Fitted articulated ensemble with matched joints</x:v>
      </x:c>
      <x:c r="U113" s="43"/>
      <x:c r="V113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4" ht="105" customHeight="1">
      <x:c r="A114" s="9" t="str">
        <x:v>proposal.gear.chest_armor</x:v>
      </x:c>
      <x:c r="B114" s="9" t="str">
        <x:v>Chest armor</x:v>
      </x:c>
      <x:c r="C114" s="9" t="str">
        <x:v>Equipment</x:v>
      </x:c>
      <x:c r="D114" s="9" t="str">
        <x:v>Torso plate</x:v>
      </x:c>
      <x:c r="E114" s="9" t="str">
        <x:v>User direction; not implemented</x:v>
      </x:c>
      <x:c r="F114" s="9" t="str">
        <x:v>Torso protection candidate</x:v>
      </x:c>
      <x:c r="G114" s="9" t="str">
        <x:v>Unassigned; loadout extension TBD</x:v>
      </x:c>
      <x:c r="H114" s="9" t="str">
        <x:v>Booter-worn/held concept; permitted spares in Legger cargo TBD</x:v>
      </x:c>
      <x:c r="I114" s="13"/>
      <x:c r="J114" s="15"/>
      <x:c r="K114" s="9" t="str">
        <x:v>Fabrication, trade or salvage candidate; no recipe authored</x:v>
      </x:c>
      <x:c r="L114" s="9" t="str">
        <x:v>Proposed materials: Worked metal; optional shell/mineral-backed design</x:v>
      </x:c>
      <x:c r="M114" s="9" t="str">
        <x:v>Not implemented</x:v>
      </x:c>
      <x:c r="N114" s="9" t="str">
        <x:v>Relationship to chainmail, jacket, cloak and canisters unresolved; no automatic Jacket-slot compatibility</x:v>
      </x:c>
      <x:c r="O114" s="42"/>
      <x:c r="P114" s="42"/>
      <x:c r="Q114" s="42"/>
      <x:c r="R114" s="42"/>
      <x:c r="S114" s="42"/>
      <x:c r="T114" s="9" t="str">
        <x:v>Crude: Single repaired plate and simple retaining hardware. Serviceable: Shaped front/back panels with accessible closures. Elaborate: Fitted articulated chest assembly with replaceable panels</x:v>
      </x:c>
      <x:c r="U114" s="43"/>
      <x:c r="V114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5" ht="105" customHeight="1">
      <x:c r="A115" s="9" t="str">
        <x:v>proposal.gear.helmet</x:v>
      </x:c>
      <x:c r="B115" s="9" t="str">
        <x:v>Helmet</x:v>
      </x:c>
      <x:c r="C115" s="9" t="str">
        <x:v>Equipment</x:v>
      </x:c>
      <x:c r="D115" s="9" t="str">
        <x:v>Head</x:v>
      </x:c>
      <x:c r="E115" s="9" t="str">
        <x:v>User direction; not implemented</x:v>
      </x:c>
      <x:c r="F115" s="9" t="str">
        <x:v>Head protection with readable sight/hearing tradeoffs</x:v>
      </x:c>
      <x:c r="G115" s="9" t="str">
        <x:v>Unassigned; loadout extension TBD</x:v>
      </x:c>
      <x:c r="H115" s="9" t="str">
        <x:v>Booter-worn/held concept; permitted spares in Legger cargo TBD</x:v>
      </x:c>
      <x:c r="I115" s="13"/>
      <x:c r="J115" s="15"/>
      <x:c r="K115" s="9" t="str">
        <x:v>Fabrication, trade or salvage candidate; no recipe authored</x:v>
      </x:c>
      <x:c r="L115" s="9" t="str">
        <x:v>Proposed materials: Metal; optional shell panels; liner material undecided</x:v>
      </x:c>
      <x:c r="M115" s="9" t="str">
        <x:v>Not implemented</x:v>
      </x:c>
      <x:c r="N115" s="9" t="str">
        <x:v>Visibility, hearing, breathing and worn canister interaction need design; no sealed respiratory protection implied</x:v>
      </x:c>
      <x:c r="O115" s="42"/>
      <x:c r="P115" s="42"/>
      <x:c r="Q115" s="42"/>
      <x:c r="R115" s="42"/>
      <x:c r="S115" s="42"/>
      <x:c r="T115" s="9" t="str">
        <x:v>Crude: Simple open bowl or salvaged cap. Serviceable: Fitted shell with cheek/neck coverage options. Elaborate: Articulated protective helmet with carefully framed sightlines</x:v>
      </x:c>
      <x:c r="U115" s="43"/>
      <x:c r="V115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6" ht="105" customHeight="1">
      <x:c r="A116" s="9" t="str">
        <x:v>proposal.gear.leg_armor</x:v>
      </x:c>
      <x:c r="B116" s="9" t="str">
        <x:v>Leg armor</x:v>
      </x:c>
      <x:c r="C116" s="9" t="str">
        <x:v>Equipment</x:v>
      </x:c>
      <x:c r="D116" s="9" t="str">
        <x:v>Lower limbs</x:v>
      </x:c>
      <x:c r="E116" s="9" t="str">
        <x:v>User direction; not implemented</x:v>
      </x:c>
      <x:c r="F116" s="9" t="str">
        <x:v>Lower-limb protection candidate</x:v>
      </x:c>
      <x:c r="G116" s="9" t="str">
        <x:v>Unassigned; loadout extension TBD</x:v>
      </x:c>
      <x:c r="H116" s="9" t="str">
        <x:v>Booter-worn/held concept; permitted spares in Legger cargo TBD</x:v>
      </x:c>
      <x:c r="I116" s="13"/>
      <x:c r="J116" s="15"/>
      <x:c r="K116" s="9" t="str">
        <x:v>Fabrication, trade or salvage candidate; no recipe authored</x:v>
      </x:c>
      <x:c r="L116" s="9" t="str">
        <x:v>Proposed materials: Metal plate segments; mechanical/flexible joints TBD</x:v>
      </x:c>
      <x:c r="M116" s="9" t="str">
        <x:v>Not implemented</x:v>
      </x:c>
      <x:c r="N116" s="9" t="str">
        <x:v>Crouch, climb, gait and boots must remain compatible; no movement penalties fixed</x:v>
      </x:c>
      <x:c r="O116" s="42"/>
      <x:c r="P116" s="42"/>
      <x:c r="Q116" s="42"/>
      <x:c r="R116" s="42"/>
      <x:c r="S116" s="42"/>
      <x:c r="T116" s="9" t="str">
        <x:v>Crude: Separate shin plates and exposed joints. Serviceable: Matched shin/knee protection. Elaborate: Articulated thigh/knee/shin assembly</x:v>
      </x:c>
      <x:c r="U116" s="43"/>
      <x:c r="V116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7" ht="105" customHeight="1">
      <x:c r="A117" s="9" t="str">
        <x:v>proposal.gear.boots</x:v>
      </x:c>
      <x:c r="B117" s="9" t="str">
        <x:v>Boots</x:v>
      </x:c>
      <x:c r="C117" s="9" t="str">
        <x:v>Equipment</x:v>
      </x:c>
      <x:c r="D117" s="9" t="str">
        <x:v>Feet</x:v>
      </x:c>
      <x:c r="E117" s="9" t="str">
        <x:v>User direction; not implemented</x:v>
      </x:c>
      <x:c r="F117" s="9" t="str">
        <x:v>Footwear for traversal and exposure</x:v>
      </x:c>
      <x:c r="G117" s="9" t="str">
        <x:v>Unassigned; loadout extension TBD</x:v>
      </x:c>
      <x:c r="H117" s="9" t="str">
        <x:v>Booter-worn/held concept; permitted spares in Legger cargo TBD</x:v>
      </x:c>
      <x:c r="I117" s="13"/>
      <x:c r="J117" s="15"/>
      <x:c r="K117" s="9" t="str">
        <x:v>Fabrication, trade or salvage candidate; no recipe authored</x:v>
      </x:c>
      <x:c r="L117" s="9" t="str">
        <x:v>Proposed materials: Metal/shell structure; sole and flexible insert materials TBD</x:v>
      </x:c>
      <x:c r="M117" s="9" t="str">
        <x:v>Not implemented</x:v>
      </x:c>
      <x:c r="N117" s="9" t="str">
        <x:v>Grip, sound, grounding and insulation are separate proposals; no leather, rubber or cloth assumed</x:v>
      </x:c>
      <x:c r="O117" s="42"/>
      <x:c r="P117" s="42"/>
      <x:c r="Q117" s="42"/>
      <x:c r="R117" s="42"/>
      <x:c r="S117" s="42"/>
      <x:c r="T117" s="9" t="str">
        <x:v>Crude: Rigid foot shell with basic closure and replaceable sole pieces. Serviceable: Fitted boot with articulated ankle and serviceable tread. Elaborate: Carefully fitted armored boot with replaceable contact surfaces</x:v>
      </x:c>
      <x:c r="U117" s="43"/>
      <x:c r="V117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8" ht="105" customHeight="1">
      <x:c r="A118" s="9" t="str">
        <x:v>proposal.gear.gloves</x:v>
      </x:c>
      <x:c r="B118" s="9" t="str">
        <x:v>Gloves</x:v>
      </x:c>
      <x:c r="C118" s="9" t="str">
        <x:v>Equipment</x:v>
      </x:c>
      <x:c r="D118" s="9" t="str">
        <x:v>Hands</x:v>
      </x:c>
      <x:c r="E118" s="9" t="str">
        <x:v>User direction; not implemented</x:v>
      </x:c>
      <x:c r="F118" s="9" t="str">
        <x:v>Hand protection while handling tools and gear</x:v>
      </x:c>
      <x:c r="G118" s="9" t="str">
        <x:v>Unassigned; loadout extension TBD</x:v>
      </x:c>
      <x:c r="H118" s="9" t="str">
        <x:v>Booter-worn/held concept; permitted spares in Legger cargo TBD</x:v>
      </x:c>
      <x:c r="I118" s="13"/>
      <x:c r="J118" s="15"/>
      <x:c r="K118" s="9" t="str">
        <x:v>Fabrication, trade or salvage candidate; no recipe authored</x:v>
      </x:c>
      <x:c r="L118" s="9" t="str">
        <x:v>Proposed materials: Metal/shell guards; flexible insert material TBD</x:v>
      </x:c>
      <x:c r="M118" s="9" t="str">
        <x:v>Not implemented</x:v>
      </x:c>
      <x:c r="N118" s="9" t="str">
        <x:v>Dexterity, grip and chemical/electrical compatibility need design; no universal protective effect</x:v>
      </x:c>
      <x:c r="O118" s="42"/>
      <x:c r="P118" s="42"/>
      <x:c r="Q118" s="42"/>
      <x:c r="R118" s="42"/>
      <x:c r="S118" s="42"/>
      <x:c r="T118" s="9" t="str">
        <x:v>Crude: Palm/knuckle guards on a sparse carrier. Serviceable: Fitted hand protection with usable finger movement. Elaborate: Articulated plated glove with replaceable fingertips</x:v>
      </x:c>
      <x:c r="U118" s="43"/>
      <x:c r="V118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9" ht="105" customHeight="1">
      <x:c r="A119" s="9" t="str">
        <x:v>proposal.gear.backpack</x:v>
      </x:c>
      <x:c r="B119" s="9" t="str">
        <x:v>Backpack</x:v>
      </x:c>
      <x:c r="C119" s="9" t="str">
        <x:v>Equipment</x:v>
      </x:c>
      <x:c r="D119" s="9" t="str">
        <x:v>Back-mounted carrier</x:v>
      </x:c>
      <x:c r="E119" s="9" t="str">
        <x:v>User direction; not implemented</x:v>
      </x:c>
      <x:c r="F119" s="9" t="str">
        <x:v>Booter-carried supplies/tool carrier candidate</x:v>
      </x:c>
      <x:c r="G119" s="9" t="str">
        <x:v>Unassigned; loadout extension TBD</x:v>
      </x:c>
      <x:c r="H119" s="9" t="str">
        <x:v>Booter-worn/held concept; permitted spares in Legger cargo TBD</x:v>
      </x:c>
      <x:c r="I119" s="13"/>
      <x:c r="J119" s="15"/>
      <x:c r="K119" s="9" t="str">
        <x:v>Fabrication, trade or salvage candidate; no recipe authored</x:v>
      </x:c>
      <x:c r="L119" s="9" t="str">
        <x:v>Proposed materials: Shell panels, metal frame, hinges; harness material unresolved</x:v>
      </x:c>
      <x:c r="M119" s="9" t="str">
        <x:v>Not implemented</x:v>
      </x:c>
      <x:c r="N119" s="9" t="str">
        <x:v>No raw-resource carrying exception. Capacity, equipment spares, cloak clearance and mounts remain open</x:v>
      </x:c>
      <x:c r="O119" s="42"/>
      <x:c r="P119" s="42"/>
      <x:c r="Q119" s="42"/>
      <x:c r="R119" s="42"/>
      <x:c r="S119" s="42"/>
      <x:c r="T119" s="9" t="str">
        <x:v>Crude: Rigid back basket or simple carrying frame. Serviceable: Compartmented shell/metal case on a fitted frame. Elaborate: Tailored frame with modular tool mounts and access panels</x:v>
      </x:c>
      <x:c r="U119" s="43"/>
      <x:c r="V119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0" ht="105" customHeight="1">
      <x:c r="A120" s="9" t="str">
        <x:v>proposal.gear.special_plates</x:v>
      </x:c>
      <x:c r="B120" s="9" t="str">
        <x:v>Specialized armor plates</x:v>
      </x:c>
      <x:c r="C120" s="9" t="str">
        <x:v>Equipment</x:v>
      </x:c>
      <x:c r="D120" s="9" t="str">
        <x:v>Modular protection</x:v>
      </x:c>
      <x:c r="E120" s="9" t="str">
        <x:v>User direction; not implemented</x:v>
      </x:c>
      <x:c r="F120" s="9" t="str">
        <x:v>Purpose-specific protection modules</x:v>
      </x:c>
      <x:c r="G120" s="9" t="str">
        <x:v>Unassigned; loadout extension TBD</x:v>
      </x:c>
      <x:c r="H120" s="9" t="str">
        <x:v>Booter-worn/held concept; permitted spares in Legger cargo TBD</x:v>
      </x:c>
      <x:c r="I120" s="13"/>
      <x:c r="J120" s="15"/>
      <x:c r="K120" s="9" t="str">
        <x:v>Fabrication, trade or salvage candidate; no recipe authored</x:v>
      </x:c>
      <x:c r="L120" s="9" t="str">
        <x:v>Proposed materials: Metal, shell and optional mineral/ceramic layers; recipes TBD</x:v>
      </x:c>
      <x:c r="M120" s="9" t="str">
        <x:v>Not implemented</x:v>
      </x:c>
      <x:c r="N120" s="9" t="str">
        <x:v>Candidate functions: impact distribution, abrasion protection, joint coverage and electrical separation; all effects unapproved</x:v>
      </x:c>
      <x:c r="O120" s="42"/>
      <x:c r="P120" s="42"/>
      <x:c r="Q120" s="42"/>
      <x:c r="R120" s="42"/>
      <x:c r="S120" s="42"/>
      <x:c r="T120" s="9" t="str">
        <x:v>Crude: Replaceable abrasion plate or bolted reinforcement. Serviceable: Purpose-shaped joint cover or impact-spreading module. Elaborate: Integrated interchangeable plate system for specific tasks</x:v>
      </x:c>
      <x:c r="U120" s="43"/>
      <x:c r="V120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1" ht="105" customHeight="1">
      <x:c r="A121" s="9" t="str">
        <x:v>proposal.gear.shield</x:v>
      </x:c>
      <x:c r="B121" s="9" t="str">
        <x:v>Shield</x:v>
      </x:c>
      <x:c r="C121" s="9" t="str">
        <x:v>Equipment</x:v>
      </x:c>
      <x:c r="D121" s="9" t="str">
        <x:v>Held / mounted defensive gear</x:v>
      </x:c>
      <x:c r="E121" s="9" t="str">
        <x:v>User direction; not implemented</x:v>
      </x:c>
      <x:c r="F121" s="9" t="str">
        <x:v>Directional protection candidate</x:v>
      </x:c>
      <x:c r="G121" s="9" t="str">
        <x:v>Unassigned; loadout extension TBD</x:v>
      </x:c>
      <x:c r="H121" s="9" t="str">
        <x:v>Booter-worn/held concept; permitted spares in Legger cargo TBD</x:v>
      </x:c>
      <x:c r="I121" s="13"/>
      <x:c r="J121" s="15"/>
      <x:c r="K121" s="9" t="str">
        <x:v>Fabrication, trade or salvage candidate; no recipe authored</x:v>
      </x:c>
      <x:c r="L121" s="9" t="str">
        <x:v>Proposed materials: Metal and/or shell panels; grip and rim materials TBD</x:v>
      </x:c>
      <x:c r="M121" s="9" t="str">
        <x:v>Not implemented</x:v>
      </x:c>
      <x:c r="N121" s="9" t="str">
        <x:v>Hand ownership, tool use, carrying posture and Legger cargo storage need design; no blocking mechanics implemented</x:v>
      </x:c>
      <x:c r="O121" s="42"/>
      <x:c r="P121" s="42"/>
      <x:c r="Q121" s="42"/>
      <x:c r="R121" s="42"/>
      <x:c r="S121" s="42"/>
      <x:c r="T121" s="9" t="str">
        <x:v>Crude: Cut salvaged plate with a rigid grip. Serviceable: Shaped shield with reinforced edge and repairable face. Elaborate: Fitted layered shield with deliberate sightline and handling geometry</x:v>
      </x:c>
      <x:c r="U121" s="43"/>
      <x:c r="V121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2" ht="85" customHeight="1">
      <x:c r="A122" s="9" t="str">
        <x:v>proposal.weapon.caltrops</x:v>
      </x:c>
      <x:c r="B122" s="9" t="str">
        <x:v>Caltrops</x:v>
      </x:c>
      <x:c r="C122" s="9" t="str">
        <x:v>Weapons</x:v>
      </x:c>
      <x:c r="D122" s="9" t="str">
        <x:v>Trip-ups</x:v>
      </x:c>
      <x:c r="E122" s="9" t="str">
        <x:v>User direction; not implemented</x:v>
      </x:c>
      <x:c r="F122" s="9" t="str">
        <x:v>First named candidate for specialized, purpose-specific weapon brainstorming.</x:v>
      </x:c>
      <x:c r="G122" s="9" t="str">
        <x:v>Unassigned; future design</x:v>
      </x:c>
      <x:c r="H122" s="9" t="str">
        <x:v>Carrier and quantity policy TBD</x:v>
      </x:c>
      <x:c r="I122" s="13"/>
      <x:c r="J122" s="15"/>
      <x:c r="K122" s="9" t="str">
        <x:v>Acquisition and manufacture deferred</x:v>
      </x:c>
      <x:c r="L122" s="9" t="str">
        <x:v>No recipe authored</x:v>
      </x:c>
      <x:c r="M122" s="9" t="str">
        <x:v>Not implemented</x:v>
      </x:c>
      <x:c r="N122" s="9" t="str">
        <x:v>Weapon mechanics, damage, targets and deployment are deferred.</x:v>
      </x:c>
      <x:c r="O122" s="17"/>
      <x:c r="P122" s="17"/>
      <x:c r="Q122" s="17"/>
      <x:c r="R122" s="17"/>
      <x:c r="S122" s="17"/>
      <x:c r="T122" s="9" t="str">
        <x:v>Future weapon lanes: offensive weapons, defensive weapons, traps and trip-ups. No additional weapon roster proposed.</x:v>
      </x:c>
      <x:c r="U122" s="11"/>
      <x:c r="V122" s="9" t="str">
        <x:v>Direct author direction, October 14, 2026. Detailed brainstorming explicitly deferred.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2">
    <x:dataValidation type="list" sqref="C6:C23">
      <x:formula1>"Equipment,Field supplies,Resources,Crafting components,Weapons,Ammunition,Quest items,Trade goods"</x:formula1>
    </x:dataValidation>
    <x:dataValidation type="list" sqref="C96:C111">
      <x:formula1>"Equipment,Field supplies,Resources,Crafting components,Containers,Weapons,Ammunition,Quest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918f7c2f694de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056d8b9d619444f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a3d84b0ca4e849a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18</x:v>
      </x:c>
      <x:c r="C6" s="9" t="str">
        <x:v>Six existing fitted types, two carried-gear concepts and ten requested armor/carrier families</x:v>
      </x:c>
      <x:c r="D6" s="9" t="str">
        <x:v>New head/limb/hand/back/shield regions are design concepts; no runtime slots added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65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1 named candidate; design deferred</x:v>
      </x:c>
      <x:c r="C12" s="9" t="str">
        <x:v>Caltrops; four future specialized-purpose weapon lanes</x:v>
      </x:c>
      <x:c r="D12" s="9" t="str">
        <x:v>Offensive weapons, defensive weapons, traps and trip-ups. No ammunition roster defined.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  <x:row r="16" ht="70" customHeight="1">
      <x:c r="A16" s="41" t="str">
        <x:v>Containers</x:v>
      </x:c>
      <x:c r="B16" s="41" t="n">
        <x:f>COUNTIF(Items!$C$6:$C$1005,A16)</x:f>
        <x:v>16</x:v>
      </x:c>
      <x:c r="C16" s="41" t="str">
        <x:v>Primary vessels, protective carriers, transfer glassware and closures</x:v>
      </x:c>
      <x:c r="D16" s="41" t="str">
        <x:v>16 proposals; form distinguishes actual vessels from boxes, tools and the possible fixed chest</x:v>
      </x:c>
    </x:row>
    <x:row r="17" ht="60" customHeight="1">
      <x:c r="A17" s="4" t="str">
        <x:v>Offensive weapons</x:v>
      </x:c>
      <x:c r="B17" s="4" t="n">
        <x:f>COUNTIFS(Items!$C$6:$C$1005,"Weapons",Items!$D$6:$D$1005,A17)</x:f>
        <x:v>0</x:v>
      </x:c>
      <x:c r="C17" s="4" t="str">
        <x:v>Reserved category; no named item added</x:v>
      </x:c>
      <x:c r="D17" s="4" t="str">
        <x:v>Specialized purpose and detailed brainstorming deferred</x:v>
      </x:c>
    </x:row>
    <x:row r="18" ht="60" customHeight="1">
      <x:c r="A18" s="4" t="str">
        <x:v>Defensive weapons</x:v>
      </x:c>
      <x:c r="B18" s="4" t="n">
        <x:f>COUNTIFS(Items!$C$6:$C$1005,"Weapons",Items!$D$6:$D$1005,A18)</x:f>
        <x:v>0</x:v>
      </x:c>
      <x:c r="C18" s="4" t="str">
        <x:v>Reserved category; existing shield concept remains in Equipment</x:v>
      </x:c>
      <x:c r="D18" s="4" t="str">
        <x:v>No duplicate shield item or new defensive weapon added</x:v>
      </x:c>
    </x:row>
    <x:row r="19" ht="60" customHeight="1">
      <x:c r="A19" s="4" t="str">
        <x:v>Traps</x:v>
      </x:c>
      <x:c r="B19" s="4" t="n">
        <x:f>COUNTIFS(Items!$C$6:$C$1005,"Weapons",Items!$D$6:$D$1005,A19)</x:f>
        <x:v>0</x:v>
      </x:c>
      <x:c r="C19" s="4" t="str">
        <x:v>Reserved category; no named trap added</x:v>
      </x:c>
      <x:c r="D19" s="4" t="str">
        <x:v>Targets, trigger, recovery and mechanics deferred</x:v>
      </x:c>
    </x:row>
    <x:row r="20" ht="60" customHeight="1">
      <x:c r="A20" s="4" t="str">
        <x:v>Trip-ups</x:v>
      </x:c>
      <x:c r="B20" s="4" t="n">
        <x:f>COUNTIFS(Items!$C$6:$C$1005,"Weapons",Items!$D$6:$D$1005,A20)</x:f>
        <x:v>1</x:v>
      </x:c>
      <x:c r="C20" s="4" t="str">
        <x:v>Caltrops is the first named candidate</x:v>
      </x:c>
      <x:c r="D20" s="4" t="str">
        <x:v>No damage, recipe, deployment or target compatibility established</x:v>
      </x:c>
    </x:row>
  </x:sheetData>
  <x:pageMargins left="0.7" right="0.7" top="0.75" bottom="0.75" header="0.3" footer="0.3"/>
  <x:tableParts count="1">
    <x:tablePart xmlns:r="http://schemas.openxmlformats.org/officeDocument/2006/relationships" r:id="R7a435a6716294e65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117 design entries: 18 existing item IDs and 99 design concepts. Caltrops is the only newly named weapon candidate; four purpose-specific weapon lanes are reserved for later brainstorming.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  <x:row r="53" ht="70" customHeight="1">
      <x:c r="A53" s="4" t="str">
        <x:v>Container ownership</x:v>
      </x:c>
      <x:c r="B53" s="4" t="str">
        <x:v>Proposed filled vessel = one container instance with one contained payload. Transfer preserves vessel identity, content identity/quantity and ownership; no duplicate empty/full item stacks.</x:v>
      </x:c>
    </x:row>
    <x:row r="54" ht="70" customHeight="1">
      <x:c r="A54" s="4" t="str">
        <x:v>Cargo and packaging</x:v>
      </x:c>
      <x:c r="B54" s="4" t="str">
        <x:v>Gathered ichor and raw chemicals remain Legger/local resources. Boxes, cases and nested vessels grant no extra inventory capacity. All material and contents mass must be counted.</x:v>
      </x:c>
    </x:row>
    <x:row r="55" ht="70" customHeight="1">
      <x:c r="A55" s="4" t="str">
        <x:v>Capacity and compatibility</x:v>
      </x:c>
      <x:c r="B55" s="4" t="str">
        <x:v>Sizes are qualitative. Capacity, seal, liner and material compatibility are undecided per vessel/content pair. Glass is not assumed universally acid-proof or electrically insulating.</x:v>
      </x:c>
    </x:row>
    <x:row r="56" ht="70" customHeight="1">
      <x:c r="A56" s="4" t="str">
        <x:v>No cloth packing</x:v>
      </x:c>
      <x:c r="B56" s="4" t="str">
        <x:v>No cork, wood crates or cloth padding assumed. Proposed outer protection uses shell cages, metal partitions and shaped mineral supports.</x:v>
      </x:c>
    </x:row>
    <x:row r="57" ht="70" customHeight="1">
      <x:c r="A57" s="4" t="str">
        <x:v>Workshop and reuse</x:v>
      </x:c>
      <x:c r="B57" s="4" t="str">
        <x:v>Glassworks is a stationary craft/trade source proposal, not an inventory item or Legger platform. Returning empty vessels and workshop reconditioning could form a useful loop; methods/costs remain open.</x:v>
      </x:c>
    </x:row>
    <x:row r="58" ht="70" customHeight="1">
      <x:c r="A58" s="4" t="str">
        <x:v>Container costs</x:v>
      </x:c>
      <x:c r="B58" s="4" t="str">
        <x:v>No random breakage, leakage penalties, item durability chores or mandatory nested packing are introduced. Protective forms describe design options, not implemented mechanics.</x:v>
      </x:c>
    </x:row>
    <x:row r="59" ht="70" customHeight="1">
      <x:c r="A59" s="4" t="str">
        <x:v>World and save boundary</x:v>
      </x:c>
      <x:c r="B59" s="4" t="str">
        <x:v>Documentation only. No terrain, spawn, streaming or persistence changes. Future container ownership needs stable instances and versioned payloads; prototype canister code does not implement these new vessels.</x:v>
      </x:c>
    </x:row>
    <x:row r="60" ht="70" customHeight="1">
      <x:c r="A60" s="4" t="str">
        <x:v>Armor families</x:v>
      </x:c>
      <x:c r="B60" s="4" t="str">
        <x:v>User direction: chainmail shirts, crude-to-elaborate metal armor, chest armor, helmets, leg armor, boots, gloves, backpacks, specialized plates and shields.</x:v>
      </x:c>
    </x:row>
    <x:row r="61" ht="70" customHeight="1">
      <x:c r="A61" s="4" t="str">
        <x:v>Construction variants</x:v>
      </x:c>
      <x:c r="B61" s="4" t="str">
        <x:v>Crude, serviceable and elaborate are descriptive design bands, not rarity or numerical power tiers. Fit, articulation, replaceability and craft detail can differ.</x:v>
      </x:c>
    </x:row>
    <x:row r="62" ht="70" customHeight="1">
      <x:c r="A62" s="4" t="str">
        <x:v>Loadout extension</x:v>
      </x:c>
      <x:c r="B62" s="4" t="str">
        <x:v>The six current trial slots remain dust/algae canister, grapple, digging tool, cloak and jacket. New worn regions, layering and held-shield ownership need their own approved implementation.</x:v>
      </x:c>
    </x:row>
    <x:row r="63" ht="70" customHeight="1">
      <x:c r="A63" s="4" t="str">
        <x:v>Armor materials</x:v>
      </x:c>
      <x:c r="B63" s="4" t="str">
        <x:v>No cloth, cork, plant fiber, common leather or rubber assumed. Scarce hide/fur and difficult pressed husk materials remain possible only under established processing constraints.</x:v>
      </x:c>
    </x:row>
    <x:row r="64" ht="70" customHeight="1">
      <x:c r="A64" s="4" t="str">
        <x:v>Backpack policy</x:v>
      </x:c>
      <x:c r="B64" s="4" t="str">
        <x:v>A backpack concept does not permit Booter to carry raw resources. Supply capacity, spare equipment, harness, cloak/canister clearance and ground-kit placement remain unresolved.</x:v>
      </x:c>
    </x:row>
    <x:row r="65" ht="70" customHeight="1">
      <x:c r="A65" s="4" t="str">
        <x:v>Assembly ownership</x:v>
      </x:c>
      <x:c r="B65" s="4" t="str">
        <x:v>The assembled armor entry is a grouping candidate until set-versus-piece ownership is designed. Do not duplicate plates between a set, a module and separately equipped pieces.</x:v>
      </x:c>
    </x:row>
    <x:row r="66" ht="70" customHeight="1">
      <x:c r="A66" s="4" t="str">
        <x:v>Armor effects</x:v>
      </x:c>
      <x:c r="B66" s="4" t="str">
        <x:v>Damage mitigation, mass, durability, movement, electrical behavior, chemical protection and trade values are undecided. Visual metal or elaborate craft alone grants no implemented effect.</x:v>
      </x:c>
    </x:row>
    <x:row r="67" ht="70" customHeight="1">
      <x:c r="A67" s="4" t="str">
        <x:v>Specialized weapon direction</x:v>
      </x:c>
      <x:c r="B67" s="4" t="str">
        <x:v>Reserve offensive weapons, defensive weapons, traps and trip-ups. Caltrops is the first named candidate. Detailed weapon brainstorming is deferred at the author's request.</x:v>
      </x:c>
    </x:row>
    <x:row r="68" ht="70" customHeight="1">
      <x:c r="A68" s="4" t="str">
        <x:v>Weapon taxonomy</x:v>
      </x:c>
      <x:c r="B68" s="4" t="str">
        <x:v>Weapon lanes describe intended purpose, not new equipment slots or combat systems. Caltrops is provisionally under Trip-ups; future overlap with traps can be settled later. Existing shield equipment is not duplicated.</x:v>
      </x:c>
    </x:row>
  </x:sheetData>
  <x:pageMargins left="0.7" right="0.7" top="0.75" bottom="0.75" header="0.3" footer="0.3"/>
  <x:tableParts count="1">
    <x:tablePart xmlns:r="http://schemas.openxmlformats.org/officeDocument/2006/relationships" r:id="R18d20a55ff0c40a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3d73ac67262b4559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acf8195972664521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642415c6cf24423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29" hidden="0" customWidth="1"/>
    <x:col min="3" max="3" width="30" hidden="0" customWidth="1"/>
    <x:col min="4" max="4" width="50" hidden="0" customWidth="1"/>
    <x:col min="5" max="5" width="55" hidden="0" customWidth="1"/>
    <x:col min="6" max="6" width="24" hidden="0" customWidth="1"/>
    <x:col min="7" max="7" width="50" hidden="0" customWidth="1"/>
    <x:col min="8" max="8" width="50" hidden="0" customWidth="1"/>
    <x:col min="9" max="9" width="70" hidden="0" customWidth="1"/>
    <x:col min="10" max="10" width="78" hidden="0" customWidth="1"/>
    <x:col min="11" max="11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Liquid vessels, protective carriers and glasswork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All new proposals. Sizes are qualitative; filled resource vessels use finite Legger/local storage.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5" customHeight="1">
      <x:c r="A5" s="40" t="str">
        <x:v>Concept ID</x:v>
      </x:c>
      <x:c r="B5" s="40" t="str">
        <x:v>Working label</x:v>
      </x:c>
      <x:c r="C5" s="40" t="str">
        <x:v>Form</x:v>
      </x:c>
      <x:c r="D5" s="40" t="str">
        <x:v>Proposed materials</x:v>
      </x:c>
      <x:c r="E5" s="40" t="str">
        <x:v>Purpose</x:v>
      </x:c>
      <x:c r="F5" s="40" t="str">
        <x:v>Qualitative size</x:v>
      </x:c>
      <x:c r="G5" s="40" t="str">
        <x:v>Closure concept</x:v>
      </x:c>
      <x:c r="H5" s="40" t="str">
        <x:v>Contents / contact</x:v>
      </x:c>
      <x:c r="I5" s="40" t="str">
        <x:v>Design constraint</x:v>
      </x:c>
      <x:c r="J5" s="40" t="str">
        <x:v>Source relationship</x:v>
      </x:c>
      <x:c r="K5" s="40" t="str">
        <x:v>References</x:v>
      </x:c>
    </x:row>
    <x:row r="6" ht="90" customHeight="1">
      <x:c r="A6" s="4" t="str">
        <x:v>proposal.container.sample_vial</x:v>
      </x:c>
      <x:c r="B6" s="4" t="str">
        <x:v>Clear sample vial</x:v>
      </x:c>
      <x:c r="C6" s="4" t="str">
        <x:v>Primary vessel</x:v>
      </x:c>
      <x:c r="D6" s="4" t="str">
        <x:v>Scarce clear glass</x:v>
      </x:c>
      <x:c r="E6" s="4" t="str">
        <x:v>Inspect a small ichor or chemical sample without opening it</x:v>
      </x:c>
      <x:c r="F6" s="4" t="str">
        <x:v>Small sample</x:v>
      </x:c>
      <x:c r="G6" s="4" t="str">
        <x:v>Matched stopper with retained cover proposed</x:v>
      </x:c>
      <x:c r="H6" s="4" t="str">
        <x:v>Species-tagged ichor; compatible chemical samples</x:v>
      </x:c>
      <x:c r="I6" s="4" t="str">
        <x:v>Clear glass cost; liquid compatibility and fill limit unapproved</x:v>
      </x:c>
      <x:c r="J6" s="4" t="str">
        <x:v>Glass draft supports costly transparent material; this vessel is a new proposal</x:v>
      </x:c>
      <x:c r="K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7" ht="90" customHeight="1">
      <x:c r="A7" s="4" t="str">
        <x:v>proposal.container.reagent_bottle</x:v>
      </x:c>
      <x:c r="B7" s="4" t="str">
        <x:v>Opaque reagent bottle</x:v>
      </x:c>
      <x:c r="C7" s="4" t="str">
        <x:v>Primary vessel</x:v>
      </x:c>
      <x:c r="D7" s="4" t="str">
        <x:v>Opaque mineral glass; shell/metal cap</x:v>
      </x:c>
      <x:c r="E7" s="4" t="str">
        <x:v>Everyday transport of one known material</x:v>
      </x:c>
      <x:c r="F7" s="4" t="str">
        <x:v>Hand-sized</x:v>
      </x:c>
      <x:c r="G7" s="4" t="str">
        <x:v>Compression cap and compatible seat proposed</x:v>
      </x:c>
      <x:c r="H7" s="4" t="str">
        <x:v>One identified ichor or reagent batch</x:v>
      </x:c>
      <x:c r="I7" s="4" t="str">
        <x:v>Cannot inspect contents through the wall; external identity label matters</x:v>
      </x:c>
      <x:c r="J7" s="4" t="str">
        <x:v>Standard opaque glass vessels have a source-draft basis; exact item new</x:v>
      </x:c>
      <x:c r="K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8" ht="90" customHeight="1">
      <x:c r="A8" s="4" t="str">
        <x:v>proposal.container.wide_jar</x:v>
      </x:c>
      <x:c r="B8" s="4" t="str">
        <x:v>Wide-mouth sample jar</x:v>
      </x:c>
      <x:c r="C8" s="4" t="str">
        <x:v>Primary vessel</x:v>
      </x:c>
      <x:c r="D8" s="4" t="str">
        <x:v>Glass body; rigid broad lid</x:v>
      </x:c>
      <x:c r="E8" s="4" t="str">
        <x:v>Carry thick gels, clot samples and mineral-rich slurry</x:v>
      </x:c>
      <x:c r="F8" s="4" t="str">
        <x:v>Small to medium</x:v>
      </x:c>
      <x:c r="G8" s="4" t="str">
        <x:v>Broad fitted lid with compatible sealing seat</x:v>
      </x:c>
      <x:c r="H8" s="4" t="str">
        <x:v>Viscous material or solid/liquid sample</x:v>
      </x:c>
      <x:c r="I8" s="4" t="str">
        <x:v>Wide opening aids access but makes transfers less controlled; no scoop rules set</x:v>
      </x:c>
      <x:c r="J8" s="4" t="str">
        <x:v>Glass vessel basis; wide-mouth item and uses proposed</x:v>
      </x:c>
      <x:c r="K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" ht="90" customHeight="1">
      <x:c r="A9" s="4" t="str">
        <x:v>proposal.container.ampoule</x:v>
      </x:c>
      <x:c r="B9" s="4" t="str">
        <x:v>Sealed sample ampoule</x:v>
      </x:c>
      <x:c r="C9" s="4" t="str">
        <x:v>Primary vessel</x:v>
      </x:c>
      <x:c r="D9" s="4" t="str">
        <x:v>Sealed clear glass</x:v>
      </x:c>
      <x:c r="E9" s="4" t="str">
        <x:v>Preserve an isolated small specimen for later analysis or trade</x:v>
      </x:c>
      <x:c r="F9" s="4" t="str">
        <x:v>Very small</x:v>
      </x:c>
      <x:c r="G9" s="4" t="str">
        <x:v>Factory/workshop sealed</x:v>
      </x:c>
      <x:c r="H9" s="4" t="str">
        <x:v>One specimen; chemistry compatibility unresolved</x:v>
      </x:c>
      <x:c r="I9" s="4" t="str">
        <x:v>Opening and reuse undecided; no mandatory single-use depletion rule approved</x:v>
      </x:c>
      <x:c r="J9" s="4" t="str">
        <x:v>New sealed-glass form inspired by source glasswork</x:v>
      </x:c>
      <x:c r="K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" ht="90" customHeight="1">
      <x:c r="A10" s="4" t="str">
        <x:v>proposal.container.marked_flask</x:v>
      </x:c>
      <x:c r="B10" s="4" t="str">
        <x:v>Marked glass flask</x:v>
      </x:c>
      <x:c r="C10" s="4" t="str">
        <x:v>Primary vessel</x:v>
      </x:c>
      <x:c r="D10" s="4" t="str">
        <x:v>Clear glass with etched marks</x:v>
      </x:c>
      <x:c r="E10" s="4" t="str">
        <x:v>Read fill and compare a specimen before transfer</x:v>
      </x:c>
      <x:c r="F10" s="4" t="str">
        <x:v>Small sample / workshop</x:v>
      </x:c>
      <x:c r="G10" s="4" t="str">
        <x:v>Matched stopper proposed</x:v>
      </x:c>
      <x:c r="H10" s="4" t="str">
        <x:v>Compatible samples and liquids</x:v>
      </x:c>
      <x:c r="I10" s="4" t="str">
        <x:v>Marks do not establish numeric volume, chemistry analysis or automatic quality grading</x:v>
      </x:c>
      <x:c r="J10" s="4" t="str">
        <x:v>New measuring/inspection use; no authored volume system</x:v>
      </x:c>
      <x:c r="K1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" ht="90" customHeight="1">
      <x:c r="A11" s="4" t="str">
        <x:v>proposal.container.shell_cage</x:v>
      </x:c>
      <x:c r="B11" s="4" t="str">
        <x:v>Shell-caged glass flask</x:v>
      </x:c>
      <x:c r="C11" s="4" t="str">
        <x:v>Protected vessel assembly</x:v>
      </x:c>
      <x:c r="D11" s="4" t="str">
        <x:v>Glass inner vessel; slotted shell outer cage</x:v>
      </x:c>
      <x:c r="E11" s="4" t="str">
        <x:v>Protect a carried specimen while keeping a viewing opening</x:v>
      </x:c>
      <x:c r="F11" s="4" t="str">
        <x:v>Medium</x:v>
      </x:c>
      <x:c r="G11" s="4" t="str">
        <x:v>Retained cap and inspectable seat proposed</x:v>
      </x:c>
      <x:c r="H11" s="4" t="str">
        <x:v>One compatible liquid payload</x:v>
      </x:c>
      <x:c r="I11" s="4" t="str">
        <x:v>One assembled container, not two copies of storage; protection behavior undecided</x:v>
      </x:c>
      <x:c r="J11" s="4" t="str">
        <x:v>Chitin plate/curved vessel and glass drafts inspire assembly; item new</x:v>
      </x:c>
      <x:c r="K1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2" ht="90" customHeight="1">
      <x:c r="A12" s="4" t="str">
        <x:v>proposal.container.lined_canister</x:v>
      </x:c>
      <x:c r="B12" s="4" t="str">
        <x:v>Glass-lined haul canister</x:v>
      </x:c>
      <x:c r="C12" s="4" t="str">
        <x:v>Protected vessel assembly</x:v>
      </x:c>
      <x:c r="D12" s="4" t="str">
        <x:v>Metal/shell outer body; replaceable glass liner</x:v>
      </x:c>
      <x:c r="E12" s="4" t="str">
        <x:v>Transport larger quantities to a processing workshop</x:v>
      </x:c>
      <x:c r="F12" s="4" t="str">
        <x:v>Medium haul</x:v>
      </x:c>
      <x:c r="G12" s="4" t="str">
        <x:v>Compression lid with replaceable compatible seat</x:v>
      </x:c>
      <x:c r="H12" s="4" t="str">
        <x:v>One identified raw ichor or chemical batch</x:v>
      </x:c>
      <x:c r="I12" s="4" t="str">
        <x:v>Liner, seal and contents must all be compatible; filled payload belongs in resource cargo</x:v>
      </x:c>
      <x:c r="J12" s="4" t="str">
        <x:v>Glass draft includes internal canister linings; haul role and item new</x:v>
      </x:c>
      <x:c r="K12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3" ht="90" customHeight="1">
      <x:c r="A13" s="4" t="str">
        <x:v>proposal.container.ceramic_jar</x:v>
      </x:c>
      <x:c r="B13" s="4" t="str">
        <x:v>Glazed ceramic reagent jar</x:v>
      </x:c>
      <x:c r="C13" s="4" t="str">
        <x:v>Primary vessel</x:v>
      </x:c>
      <x:c r="D13" s="4" t="str">
        <x:v>Fired ceramic; proposed glaze; rigid lid</x:v>
      </x:c>
      <x:c r="E13" s="4" t="str">
        <x:v>Alternative storage for selected processing compounds</x:v>
      </x:c>
      <x:c r="F13" s="4" t="str">
        <x:v>Medium</x:v>
      </x:c>
      <x:c r="G13" s="4" t="str">
        <x:v>Fitted rigid lid and compatible seal</x:v>
      </x:c>
      <x:c r="H13" s="4" t="str">
        <x:v>Only compounds qualified for that jar</x:v>
      </x:c>
      <x:c r="I13" s="4" t="str">
        <x:v>Opaque; heavier/bulkier tradeoff proposed; glaze is not universally chemical-resistant</x:v>
      </x:c>
      <x:c r="J13" s="4" t="str">
        <x:v>New ceramic vessel proposal; not a validated recipe/material capability</x:v>
      </x:c>
      <x:c r="K13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4" ht="90" customHeight="1">
      <x:c r="A14" s="4" t="str">
        <x:v>proposal.container.bulk_ichor</x:v>
      </x:c>
      <x:c r="B14" s="4" t="str">
        <x:v>Bulk ichor vessel</x:v>
      </x:c>
      <x:c r="C14" s="4" t="str">
        <x:v>Primary vessel</x:v>
      </x:c>
      <x:c r="D14" s="4" t="str">
        <x:v>Reinforced outer body; qualified inner lining TBD</x:v>
      </x:c>
      <x:c r="E14" s="4" t="str">
        <x:v>Make a large harvest an expedition haul decision</x:v>
      </x:c>
      <x:c r="F14" s="4" t="str">
        <x:v>Bulk cargo</x:v>
      </x:c>
      <x:c r="G14" s="4" t="str">
        <x:v>Service lid and separate transfer fitting proposed</x:v>
      </x:c>
      <x:c r="H14" s="4" t="str">
        <x:v>One species/batch of gathered ichor</x:v>
      </x:c>
      <x:c r="I14" s="4" t="str">
        <x:v>Finite Legger cargo and contents mass; no backpack resource exception or free capacity</x:v>
      </x:c>
      <x:c r="J14" s="4" t="str">
        <x:v>New bulk vessel proposal; no liter capacity, hose or extraction mechanic approved</x:v>
      </x:c>
      <x:c r="K14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5" ht="90" customHeight="1">
      <x:c r="A15" s="4" t="str">
        <x:v>proposal.container.vial_case</x:v>
      </x:c>
      <x:c r="B15" s="4" t="str">
        <x:v>Divided vial case</x:v>
      </x:c>
      <x:c r="C15" s="4" t="str">
        <x:v>Protective carrier</x:v>
      </x:c>
      <x:c r="D15" s="4" t="str">
        <x:v>Shell/metal case; shaped mineral seats</x:v>
      </x:c>
      <x:c r="E15" s="4" t="str">
        <x:v>Keep separately sealed specimens organized and supported</x:v>
      </x:c>
      <x:c r="F15" s="4" t="str">
        <x:v>Several small vessels</x:v>
      </x:c>
      <x:c r="G15" s="4" t="str">
        <x:v>Rigid latched case; each vial has its own seal</x:v>
      </x:c>
      <x:c r="H15" s="4" t="str">
        <x:v>Sealed vials only; no direct liquid payload</x:v>
      </x:c>
      <x:c r="I15" s="4" t="str">
        <x:v>Does not create extra inventory capacity; inserts use no assumed wood, cork or cloth</x:v>
      </x:c>
      <x:c r="J15" s="4" t="str">
        <x:v>New case proposal; materials chosen under current no-cloth game rule</x:v>
      </x:c>
      <x:c r="K15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6" ht="90" customHeight="1">
      <x:c r="A16" s="4" t="str">
        <x:v>proposal.container.sealed_box</x:v>
      </x:c>
      <x:c r="B16" s="4" t="str">
        <x:v>Sealed cargo box</x:v>
      </x:c>
      <x:c r="C16" s="4" t="str">
        <x:v>Protective carrier</x:v>
      </x:c>
      <x:c r="D16" s="4" t="str">
        <x:v>Shell panels or metal; rigid dividers</x:v>
      </x:c>
      <x:c r="E16" s="4" t="str">
        <x:v>Carry containers and dry sample packets together</x:v>
      </x:c>
      <x:c r="F16" s="4" t="str">
        <x:v>Cargo package</x:v>
      </x:c>
      <x:c r="G16" s="4" t="str">
        <x:v>Latched lid with dust-excluding seat proposed</x:v>
      </x:c>
      <x:c r="H16" s="4" t="str">
        <x:v>Separately sealed contents</x:v>
      </x:c>
      <x:c r="I16" s="4" t="str">
        <x:v>Outer dust seal is not liquid or vapor certification; all nested contents still count</x:v>
      </x:c>
      <x:c r="J16" s="4" t="str">
        <x:v>New protective box proposal; not automatic liquid containment</x:v>
      </x:c>
      <x:c r="K1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7" ht="90" customHeight="1">
      <x:c r="A17" s="4" t="str">
        <x:v>proposal.container.field_chest</x:v>
      </x:c>
      <x:c r="B17" s="4" t="str">
        <x:v>Locking field chest</x:v>
      </x:c>
      <x:c r="C17" s="4" t="str">
        <x:v>Storage object candidate</x:v>
      </x:c>
      <x:c r="D17" s="4" t="str">
        <x:v>Metal/shell chest; rigid compartment tray</x:v>
      </x:c>
      <x:c r="E17" s="4" t="str">
        <x:v>Secure expedition samples at a physical camp/worksite</x:v>
      </x:c>
      <x:c r="F17" s="4" t="str">
        <x:v>Local storage</x:v>
      </x:c>
      <x:c r="G17" s="4" t="str">
        <x:v>Mechanical lock and rigid lid proposed</x:v>
      </x:c>
      <x:c r="H17" s="4" t="str">
        <x:v>Sealed vessels and dry material</x:v>
      </x:c>
      <x:c r="I17" s="4" t="str">
        <x:v>Physical local owner; no global stockpile. Portable versus fixed identity undecided</x:v>
      </x:c>
      <x:c r="J17" s="4" t="str">
        <x:v>New storage-object candidate; not another implemented camp chest</x:v>
      </x:c>
      <x:c r="K1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8" ht="90" customHeight="1">
      <x:c r="A18" s="4" t="str">
        <x:v>proposal.container.funnel</x:v>
      </x:c>
      <x:c r="B18" s="4" t="str">
        <x:v>Glass transfer funnel</x:v>
      </x:c>
      <x:c r="C18" s="4" t="str">
        <x:v>Transfer glassware</x:v>
      </x:c>
      <x:c r="D18" s="4" t="str">
        <x:v>Glass bowl and stem</x:v>
      </x:c>
      <x:c r="E18" s="4" t="str">
        <x:v>Assist transfers into a compatible narrow-neck vessel</x:v>
      </x:c>
      <x:c r="F18" s="4" t="str">
        <x:v>Tool-sized</x:v>
      </x:c>
      <x:c r="G18" s="4" t="str">
        <x:v>No closure; never a storage vessel</x:v>
      </x:c>
      <x:c r="H18" s="4" t="str">
        <x:v>Temporary transfer contact only</x:v>
      </x:c>
      <x:c r="I18" s="4" t="str">
        <x:v>Residue/cross-contamination and workshop reconditioning unresolved; no ambient fluid pooling</x:v>
      </x:c>
      <x:c r="J18" s="4" t="str">
        <x:v>New glassworking tool proposal</x:v>
      </x:c>
      <x:c r="K1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9" ht="90" customHeight="1">
      <x:c r="A19" s="4" t="str">
        <x:v>proposal.container.draw_tube</x:v>
      </x:c>
      <x:c r="B19" s="4" t="str">
        <x:v>Glass draw tube</x:v>
      </x:c>
      <x:c r="C19" s="4" t="str">
        <x:v>Transfer glassware</x:v>
      </x:c>
      <x:c r="D19" s="4" t="str">
        <x:v>Glass tube; proposed mechanical fitting</x:v>
      </x:c>
      <x:c r="E19" s="4" t="str">
        <x:v>Move a small sample through an inspectable transfer path</x:v>
      </x:c>
      <x:c r="F19" s="4" t="str">
        <x:v>Tool-sized</x:v>
      </x:c>
      <x:c r="G19" s="4" t="str">
        <x:v>Closed mechanical interface to design</x:v>
      </x:c>
      <x:c r="H19" s="4" t="str">
        <x:v>Compatible small specimen transfer</x:v>
      </x:c>
      <x:c r="I19" s="4" t="str">
        <x:v>No mouth operation or real extraction procedure; gameplay tool and fittings unapproved</x:v>
      </x:c>
      <x:c r="J19" s="4" t="str">
        <x:v>New mechanical sample-transfer tool proposal</x:v>
      </x:c>
      <x:c r="K1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0" ht="90" customHeight="1">
      <x:c r="A20" s="4" t="str">
        <x:v>proposal.container.glass_stopper</x:v>
      </x:c>
      <x:c r="B20" s="4" t="str">
        <x:v>Matched glass stopper</x:v>
      </x:c>
      <x:c r="C20" s="4" t="str">
        <x:v>Closure component</x:v>
      </x:c>
      <x:c r="D20" s="4" t="str">
        <x:v>Ground glass seat; retaining clip optional</x:v>
      </x:c>
      <x:c r="E20" s="4" t="str">
        <x:v>Close its matching vessel without cork or cloth</x:v>
      </x:c>
      <x:c r="F20" s="4" t="str">
        <x:v>Part-sized</x:v>
      </x:c>
      <x:c r="G20" s="4" t="str">
        <x:v>Matched seat</x:v>
      </x:c>
      <x:c r="H20" s="4" t="str">
        <x:v>Vessel closure, not an independent payload</x:v>
      </x:c>
      <x:c r="I20" s="4" t="str">
        <x:v>Fit and material compatibility matter; no universal stopper or separate durability chore assumed</x:v>
      </x:c>
      <x:c r="J20" s="4" t="str">
        <x:v>New glass closure component proposal</x:v>
      </x:c>
      <x:c r="K2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1" ht="90" customHeight="1">
      <x:c r="A21" s="4" t="str">
        <x:v>proposal.container.seal_collar</x:v>
      </x:c>
      <x:c r="B21" s="4" t="str">
        <x:v>Compression seal collar</x:v>
      </x:c>
      <x:c r="C21" s="4" t="str">
        <x:v>Closure component</x:v>
      </x:c>
      <x:c r="D21" s="4" t="str">
        <x:v>Metal/shell collar; compatible mineral/biological seal insert TBD</x:v>
      </x:c>
      <x:c r="E21" s="4" t="str">
        <x:v>Retain and compress a vessel lid/seat</x:v>
      </x:c>
      <x:c r="F21" s="4" t="str">
        <x:v>Part-sized</x:v>
      </x:c>
      <x:c r="G21" s="4" t="str">
        <x:v>Mechanical collar</x:v>
      </x:c>
      <x:c r="H21" s="4" t="str">
        <x:v>Vessel closure, not a liquid container</x:v>
      </x:c>
      <x:c r="I21" s="4" t="str">
        <x:v>Biological membrane is not automatically compatible; no fat/oil/gasket recipe accepted</x:v>
      </x:c>
      <x:c r="J21" s="4" t="str">
        <x:v>New closure assembly proposal; exact seal material unresolved</x:v>
      </x:c>
      <x:c r="K2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pageMargins left="0.7" right="0.7" top="0.75" bottom="0.75" header="0.3" footer="0.3"/>
  <x:tableParts count="1">
    <x:tablePart xmlns:r="http://schemas.openxmlformats.org/officeDocument/2006/relationships" r:id="Rdc494984be7b4bf3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52" hidden="0" customWidth="1"/>
    <x:col min="5" max="5" width="52" hidden="0" customWidth="1"/>
    <x:col min="6" max="6" width="58" hidden="0" customWidth="1"/>
    <x:col min="7" max="7" width="62" hidden="0" customWidth="1"/>
    <x:col min="8" max="8" width="52" hidden="0" customWidth="1"/>
    <x:col min="9" max="9" width="78" hidden="0" customWidth="1"/>
    <x:col min="10" max="10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Armor, shields and backpacks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Requested families. Construction bands are proposals; slots, layering, capacity and effects remain undecided.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6" customHeight="1">
      <x:c r="A5" s="45" t="str">
        <x:v>Concept ID</x:v>
      </x:c>
      <x:c r="B5" s="45" t="str">
        <x:v>Item family</x:v>
      </x:c>
      <x:c r="C5" s="45" t="str">
        <x:v>Region / form</x:v>
      </x:c>
      <x:c r="D5" s="45" t="str">
        <x:v>Crude concept</x:v>
      </x:c>
      <x:c r="E5" s="45" t="str">
        <x:v>Serviceable concept</x:v>
      </x:c>
      <x:c r="F5" s="45" t="str">
        <x:v>Elaborate concept</x:v>
      </x:c>
      <x:c r="G5" s="45" t="str">
        <x:v>Material candidates</x:v>
      </x:c>
      <x:c r="H5" s="45" t="str">
        <x:v>Design purpose</x:v>
      </x:c>
      <x:c r="I5" s="45" t="str">
        <x:v>Open compatibility / ownership</x:v>
      </x:c>
      <x:c r="J5" s="45" t="str">
        <x:v>Status / basis</x:v>
      </x:c>
    </x:row>
    <x:row r="6" ht="100" customHeight="1">
      <x:c r="A6" s="4" t="str">
        <x:v>proposal.gear.mail_shirt</x:v>
      </x:c>
      <x:c r="B6" s="4" t="str">
        <x:v>Chainmail shirt</x:v>
      </x:c>
      <x:c r="C6" s="4" t="str">
        <x:v>Torso layer</x:v>
      </x:c>
      <x:c r="D6" s="4" t="str">
        <x:v>Patched ring sections with conspicuous repairs</x:v>
      </x:c>
      <x:c r="E6" s="4" t="str">
        <x:v>Consistent linked rings and repairable closures</x:v>
      </x:c>
      <x:c r="F6" s="4" t="str">
        <x:v>Closely fitted ringwork, shaped sleeves and deliberate detailing</x:v>
      </x:c>
      <x:c r="G6" s="4" t="str">
        <x:v>Metal rings; attachment/underlayer material undecided</x:v>
      </x:c>
      <x:c r="H6" s="4" t="str">
        <x:v>Flexible linked protection candidate</x:v>
      </x:c>
      <x:c r="I6" s="4" t="str">
        <x:v>Layering, weight, noise and underlayer requirements need design; no cloth assumed</x:v>
      </x:c>
      <x:c r="J6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7" ht="100" customHeight="1">
      <x:c r="A7" s="4" t="str">
        <x:v>proposal.gear.metal_armor_set</x:v>
      </x:c>
      <x:c r="B7" s="4" t="str">
        <x:v>Assembled metal armor</x:v>
      </x:c>
      <x:c r="C7" s="4" t="str">
        <x:v>Whole-body assembly candidate</x:v>
      </x:c>
      <x:c r="D7" s="4" t="str">
        <x:v>Mixed scavenged plates on a simple carrier</x:v>
      </x:c>
      <x:c r="E7" s="4" t="str">
        <x:v>Coordinated torso and limb pieces</x:v>
      </x:c>
      <x:c r="F7" s="4" t="str">
        <x:v>Fitted articulated ensemble with matched joints</x:v>
      </x:c>
      <x:c r="G7" s="4" t="str">
        <x:v>Metal plates; hinges/rivets; backing and connectors undecided</x:v>
      </x:c>
      <x:c r="H7" s="4" t="str">
        <x:v>A coordinated armor family from crude to elaborate</x:v>
      </x:c>
      <x:c r="I7" s="4" t="str">
        <x:v>Set versus independently owned pieces unresolved; do not count the same plates as both set and components</x:v>
      </x:c>
      <x:c r="J7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8" ht="100" customHeight="1">
      <x:c r="A8" s="4" t="str">
        <x:v>proposal.gear.chest_armor</x:v>
      </x:c>
      <x:c r="B8" s="4" t="str">
        <x:v>Chest armor</x:v>
      </x:c>
      <x:c r="C8" s="4" t="str">
        <x:v>Torso plate</x:v>
      </x:c>
      <x:c r="D8" s="4" t="str">
        <x:v>Single repaired plate and simple retaining hardware</x:v>
      </x:c>
      <x:c r="E8" s="4" t="str">
        <x:v>Shaped front/back panels with accessible closures</x:v>
      </x:c>
      <x:c r="F8" s="4" t="str">
        <x:v>Fitted articulated chest assembly with replaceable panels</x:v>
      </x:c>
      <x:c r="G8" s="4" t="str">
        <x:v>Worked metal; optional shell/mineral-backed design</x:v>
      </x:c>
      <x:c r="H8" s="4" t="str">
        <x:v>Torso protection candidate</x:v>
      </x:c>
      <x:c r="I8" s="4" t="str">
        <x:v>Relationship to chainmail, jacket, cloak and canisters unresolved; no automatic Jacket-slot compatibility</x:v>
      </x:c>
      <x:c r="J8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9" ht="100" customHeight="1">
      <x:c r="A9" s="4" t="str">
        <x:v>proposal.gear.helmet</x:v>
      </x:c>
      <x:c r="B9" s="4" t="str">
        <x:v>Helmet</x:v>
      </x:c>
      <x:c r="C9" s="4" t="str">
        <x:v>Head</x:v>
      </x:c>
      <x:c r="D9" s="4" t="str">
        <x:v>Simple open bowl or salvaged cap</x:v>
      </x:c>
      <x:c r="E9" s="4" t="str">
        <x:v>Fitted shell with cheek/neck coverage options</x:v>
      </x:c>
      <x:c r="F9" s="4" t="str">
        <x:v>Articulated protective helmet with carefully framed sightlines</x:v>
      </x:c>
      <x:c r="G9" s="4" t="str">
        <x:v>Metal; optional shell panels; liner material undecided</x:v>
      </x:c>
      <x:c r="H9" s="4" t="str">
        <x:v>Head protection with readable sight/hearing tradeoffs</x:v>
      </x:c>
      <x:c r="I9" s="4" t="str">
        <x:v>Visibility, hearing, breathing and worn canister interaction need design; no sealed respiratory protection implied</x:v>
      </x:c>
      <x:c r="J9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0" ht="100" customHeight="1">
      <x:c r="A10" s="4" t="str">
        <x:v>proposal.gear.leg_armor</x:v>
      </x:c>
      <x:c r="B10" s="4" t="str">
        <x:v>Leg armor</x:v>
      </x:c>
      <x:c r="C10" s="4" t="str">
        <x:v>Lower limbs</x:v>
      </x:c>
      <x:c r="D10" s="4" t="str">
        <x:v>Separate shin plates and exposed joints</x:v>
      </x:c>
      <x:c r="E10" s="4" t="str">
        <x:v>Matched shin/knee protection</x:v>
      </x:c>
      <x:c r="F10" s="4" t="str">
        <x:v>Articulated thigh/knee/shin assembly</x:v>
      </x:c>
      <x:c r="G10" s="4" t="str">
        <x:v>Metal plate segments; mechanical/flexible joints TBD</x:v>
      </x:c>
      <x:c r="H10" s="4" t="str">
        <x:v>Lower-limb protection candidate</x:v>
      </x:c>
      <x:c r="I10" s="4" t="str">
        <x:v>Crouch, climb, gait and boots must remain compatible; no movement penalties fixed</x:v>
      </x:c>
      <x:c r="J10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" ht="100" customHeight="1">
      <x:c r="A11" s="4" t="str">
        <x:v>proposal.gear.boots</x:v>
      </x:c>
      <x:c r="B11" s="4" t="str">
        <x:v>Boots</x:v>
      </x:c>
      <x:c r="C11" s="4" t="str">
        <x:v>Feet</x:v>
      </x:c>
      <x:c r="D11" s="4" t="str">
        <x:v>Rigid foot shell with basic closure and replaceable sole pieces</x:v>
      </x:c>
      <x:c r="E11" s="4" t="str">
        <x:v>Fitted boot with articulated ankle and serviceable tread</x:v>
      </x:c>
      <x:c r="F11" s="4" t="str">
        <x:v>Carefully fitted armored boot with replaceable contact surfaces</x:v>
      </x:c>
      <x:c r="G11" s="4" t="str">
        <x:v>Metal/shell structure; sole and flexible insert materials TBD</x:v>
      </x:c>
      <x:c r="H11" s="4" t="str">
        <x:v>Footwear for traversal and exposure</x:v>
      </x:c>
      <x:c r="I11" s="4" t="str">
        <x:v>Grip, sound, grounding and insulation are separate proposals; no leather, rubber or cloth assumed</x:v>
      </x:c>
      <x:c r="J11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" ht="100" customHeight="1">
      <x:c r="A12" s="4" t="str">
        <x:v>proposal.gear.gloves</x:v>
      </x:c>
      <x:c r="B12" s="4" t="str">
        <x:v>Gloves</x:v>
      </x:c>
      <x:c r="C12" s="4" t="str">
        <x:v>Hands</x:v>
      </x:c>
      <x:c r="D12" s="4" t="str">
        <x:v>Palm/knuckle guards on a sparse carrier</x:v>
      </x:c>
      <x:c r="E12" s="4" t="str">
        <x:v>Fitted hand protection with usable finger movement</x:v>
      </x:c>
      <x:c r="F12" s="4" t="str">
        <x:v>Articulated plated glove with replaceable fingertips</x:v>
      </x:c>
      <x:c r="G12" s="4" t="str">
        <x:v>Metal/shell guards; flexible insert material TBD</x:v>
      </x:c>
      <x:c r="H12" s="4" t="str">
        <x:v>Hand protection while handling tools and gear</x:v>
      </x:c>
      <x:c r="I12" s="4" t="str">
        <x:v>Dexterity, grip and chemical/electrical compatibility need design; no universal protective effect</x:v>
      </x:c>
      <x:c r="J12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3" ht="100" customHeight="1">
      <x:c r="A13" s="4" t="str">
        <x:v>proposal.gear.backpack</x:v>
      </x:c>
      <x:c r="B13" s="4" t="str">
        <x:v>Backpack</x:v>
      </x:c>
      <x:c r="C13" s="4" t="str">
        <x:v>Back-mounted carrier</x:v>
      </x:c>
      <x:c r="D13" s="4" t="str">
        <x:v>Rigid back basket or simple carrying frame</x:v>
      </x:c>
      <x:c r="E13" s="4" t="str">
        <x:v>Compartmented shell/metal case on a fitted frame</x:v>
      </x:c>
      <x:c r="F13" s="4" t="str">
        <x:v>Tailored frame with modular tool mounts and access panels</x:v>
      </x:c>
      <x:c r="G13" s="4" t="str">
        <x:v>Shell panels, metal frame, hinges; harness material unresolved</x:v>
      </x:c>
      <x:c r="H13" s="4" t="str">
        <x:v>Booter-carried supplies/tool carrier candidate</x:v>
      </x:c>
      <x:c r="I13" s="4" t="str">
        <x:v>No raw-resource carrying exception. Capacity, equipment spares, cloak clearance and mounts remain open</x:v>
      </x:c>
      <x:c r="J13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4" ht="100" customHeight="1">
      <x:c r="A14" s="4" t="str">
        <x:v>proposal.gear.special_plates</x:v>
      </x:c>
      <x:c r="B14" s="4" t="str">
        <x:v>Specialized armor plates</x:v>
      </x:c>
      <x:c r="C14" s="4" t="str">
        <x:v>Modular protection</x:v>
      </x:c>
      <x:c r="D14" s="4" t="str">
        <x:v>Replaceable abrasion plate or bolted reinforcement</x:v>
      </x:c>
      <x:c r="E14" s="4" t="str">
        <x:v>Purpose-shaped joint cover or impact-spreading module</x:v>
      </x:c>
      <x:c r="F14" s="4" t="str">
        <x:v>Integrated interchangeable plate system for specific tasks</x:v>
      </x:c>
      <x:c r="G14" s="4" t="str">
        <x:v>Metal, shell and optional mineral/ceramic layers; recipes TBD</x:v>
      </x:c>
      <x:c r="H14" s="4" t="str">
        <x:v>Purpose-specific protection modules</x:v>
      </x:c>
      <x:c r="I14" s="4" t="str">
        <x:v>Candidate functions: impact distribution, abrasion protection, joint coverage and electrical separation; all effects unapproved</x:v>
      </x:c>
      <x:c r="J14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5" ht="100" customHeight="1">
      <x:c r="A15" s="4" t="str">
        <x:v>proposal.gear.shield</x:v>
      </x:c>
      <x:c r="B15" s="4" t="str">
        <x:v>Shield</x:v>
      </x:c>
      <x:c r="C15" s="4" t="str">
        <x:v>Held / mounted defensive gear</x:v>
      </x:c>
      <x:c r="D15" s="4" t="str">
        <x:v>Cut salvaged plate with a rigid grip</x:v>
      </x:c>
      <x:c r="E15" s="4" t="str">
        <x:v>Shaped shield with reinforced edge and repairable face</x:v>
      </x:c>
      <x:c r="F15" s="4" t="str">
        <x:v>Fitted layered shield with deliberate sightline and handling geometry</x:v>
      </x:c>
      <x:c r="G15" s="4" t="str">
        <x:v>Metal and/or shell panels; grip and rim materials TBD</x:v>
      </x:c>
      <x:c r="H15" s="4" t="str">
        <x:v>Directional protection candidate</x:v>
      </x:c>
      <x:c r="I15" s="4" t="str">
        <x:v>Hand ownership, tool use, carrying posture and Legger cargo storage need design; no blocking mechanics implemented</x:v>
      </x:c>
      <x:c r="J15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</x:sheetData>
  <x:pageMargins left="0.7" right="0.7" top="0.75" bottom="0.75" header="0.3" footer="0.3"/>
  <x:tableParts count="1">
    <x:tablePart xmlns:r="http://schemas.openxmlformats.org/officeDocument/2006/relationships" r:id="R6e36ef076f6842d0"/>
  </x:tableParts>
</x:worksheet>
</file>